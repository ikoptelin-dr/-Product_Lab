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одели" sheetId="2" state="visible" r:id="rId2"/>
    <sheet xmlns:r="http://schemas.openxmlformats.org/officeDocument/2006/relationships" name="Матрица" sheetId="3" state="visible" r:id="rId3"/>
    <sheet xmlns:r="http://schemas.openxmlformats.org/officeDocument/2006/relationships" name="Этапы" sheetId="4" state="visible" r:id="rId4"/>
    <sheet xmlns:r="http://schemas.openxmlformats.org/officeDocument/2006/relationships" name="Бренды" sheetId="5" state="visible" r:id="rId5"/>
    <sheet xmlns:r="http://schemas.openxmlformats.org/officeDocument/2006/relationships" name="Не берё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1" customWidth="1" min="3" max="3"/>
    <col width="10" customWidth="1" min="4" max="4"/>
    <col width="11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Ассортимент 1 500 карточек: автозапчасти на Озоне</t>
        </is>
      </c>
    </row>
    <row r="2">
      <c r="A2" t="inlineStr">
        <is>
          <t>14 семейств моделей × ~96 позиций + 156 универсальных. Числа — план; точный список собираем по прайсу поставщика и данным спроса.</t>
        </is>
      </c>
    </row>
    <row r="4">
      <c r="A4" s="2" t="inlineStr">
        <is>
          <t>Группа</t>
        </is>
      </c>
      <c r="B4" s="2" t="inlineStr">
        <is>
          <t>Что входит</t>
        </is>
      </c>
      <c r="C4" s="2" t="inlineStr">
        <is>
          <t>На 1 модель</t>
        </is>
      </c>
      <c r="D4" s="2" t="inlineStr">
        <is>
          <t>Моделей</t>
        </is>
      </c>
      <c r="E4" s="2" t="inlineStr">
        <is>
          <t>По моделям</t>
        </is>
      </c>
      <c r="F4" s="2" t="inlineStr">
        <is>
          <t>Универсальные</t>
        </is>
      </c>
      <c r="G4" s="2" t="inlineStr">
        <is>
          <t>Итого</t>
        </is>
      </c>
      <c r="H4" s="2" t="inlineStr">
        <is>
          <t>Риск ошибки подбора</t>
        </is>
      </c>
      <c r="I4" s="2" t="inlineStr">
        <is>
          <t>Этап</t>
        </is>
      </c>
    </row>
    <row r="5">
      <c r="A5" s="3" t="inlineStr">
        <is>
          <t>Фильтры</t>
        </is>
      </c>
      <c r="B5" s="4" t="inlineStr">
        <is>
          <t>масляный, воздушный, салонный (обычный и угольный), топливный; 2–3 бренда; варианты по двигателю</t>
        </is>
      </c>
      <c r="C5" s="4" t="n">
        <v>15</v>
      </c>
      <c r="D5" s="4" t="n">
        <v>14</v>
      </c>
      <c r="E5" s="4">
        <f>C5*D5</f>
        <v/>
      </c>
      <c r="F5" s="4" t="n">
        <v>0</v>
      </c>
      <c r="G5" s="4">
        <f>E5+F5</f>
        <v/>
      </c>
      <c r="H5" s="4" t="inlineStr">
        <is>
          <t>Низкий</t>
        </is>
      </c>
      <c r="I5" s="4" t="inlineStr">
        <is>
          <t>Старт</t>
        </is>
      </c>
    </row>
    <row r="6">
      <c r="A6" s="3" t="inlineStr">
        <is>
          <t>Тормозные колодки</t>
        </is>
      </c>
      <c r="B6" s="4" t="inlineStr">
        <is>
          <t>передние и задние, 3 бренда</t>
        </is>
      </c>
      <c r="C6" s="4" t="n">
        <v>6</v>
      </c>
      <c r="D6" s="4" t="n">
        <v>14</v>
      </c>
      <c r="E6" s="4">
        <f>C6*D6</f>
        <v/>
      </c>
      <c r="F6" s="4" t="n">
        <v>0</v>
      </c>
      <c r="G6" s="4">
        <f>E6+F6</f>
        <v/>
      </c>
      <c r="H6" s="4" t="inlineStr">
        <is>
          <t>Средний</t>
        </is>
      </c>
      <c r="I6" s="4" t="inlineStr">
        <is>
          <t>Старт</t>
        </is>
      </c>
    </row>
    <row r="7">
      <c r="A7" s="3" t="inlineStr">
        <is>
          <t>Тормозные диски</t>
        </is>
      </c>
      <c r="B7" s="4" t="inlineStr">
        <is>
          <t>передние и задние, 2 бренда</t>
        </is>
      </c>
      <c r="C7" s="4" t="n">
        <v>4</v>
      </c>
      <c r="D7" s="4" t="n">
        <v>14</v>
      </c>
      <c r="E7" s="4">
        <f>C7*D7</f>
        <v/>
      </c>
      <c r="F7" s="4" t="n">
        <v>0</v>
      </c>
      <c r="G7" s="4">
        <f>E7+F7</f>
        <v/>
      </c>
      <c r="H7" s="4" t="inlineStr">
        <is>
          <t>Средний</t>
        </is>
      </c>
      <c r="I7" s="4" t="inlineStr">
        <is>
          <t>500</t>
        </is>
      </c>
    </row>
    <row r="8">
      <c r="A8" s="3" t="inlineStr">
        <is>
          <t>Тормоза прочее</t>
        </is>
      </c>
      <c r="B8" s="4" t="inlineStr">
        <is>
          <t>датчики износа колодок, тормозные шланги</t>
        </is>
      </c>
      <c r="C8" s="4" t="n">
        <v>4</v>
      </c>
      <c r="D8" s="4" t="n">
        <v>14</v>
      </c>
      <c r="E8" s="4">
        <f>C8*D8</f>
        <v/>
      </c>
      <c r="F8" s="4" t="n">
        <v>0</v>
      </c>
      <c r="G8" s="4">
        <f>E8+F8</f>
        <v/>
      </c>
      <c r="H8" s="4" t="inlineStr">
        <is>
          <t>Средний</t>
        </is>
      </c>
      <c r="I8" s="4" t="inlineStr">
        <is>
          <t>1500</t>
        </is>
      </c>
    </row>
    <row r="9">
      <c r="A9" s="3" t="inlineStr">
        <is>
          <t>Свечи и катушки</t>
        </is>
      </c>
      <c r="B9" s="4" t="inlineStr">
        <is>
          <t>комплекты свечей 2 бренда, катушки зажигания</t>
        </is>
      </c>
      <c r="C9" s="4" t="n">
        <v>5</v>
      </c>
      <c r="D9" s="4" t="n">
        <v>14</v>
      </c>
      <c r="E9" s="4">
        <f>C9*D9</f>
        <v/>
      </c>
      <c r="F9" s="4" t="n">
        <v>0</v>
      </c>
      <c r="G9" s="4">
        <f>E9+F9</f>
        <v/>
      </c>
      <c r="H9" s="4" t="inlineStr">
        <is>
          <t>Низкий–средний</t>
        </is>
      </c>
      <c r="I9" s="4" t="inlineStr">
        <is>
          <t>Старт</t>
        </is>
      </c>
    </row>
    <row r="10">
      <c r="A10" s="3" t="inlineStr">
        <is>
          <t>Щётки стеклоочистителя</t>
        </is>
      </c>
      <c r="B10" s="4" t="inlineStr">
        <is>
          <t>комплекты под модель 2–3 бренда; плюс универсальные</t>
        </is>
      </c>
      <c r="C10" s="4" t="n">
        <v>3</v>
      </c>
      <c r="D10" s="4" t="n">
        <v>14</v>
      </c>
      <c r="E10" s="4">
        <f>C10*D10</f>
        <v/>
      </c>
      <c r="F10" s="4" t="n">
        <v>40</v>
      </c>
      <c r="G10" s="4">
        <f>E10+F10</f>
        <v/>
      </c>
      <c r="H10" s="4" t="inlineStr">
        <is>
          <t>Низкий</t>
        </is>
      </c>
      <c r="I10" s="4" t="inlineStr">
        <is>
          <t>Старт</t>
        </is>
      </c>
    </row>
    <row r="11">
      <c r="A11" s="3" t="inlineStr">
        <is>
          <t>Ремни, ролики, ГРМ</t>
        </is>
      </c>
      <c r="B11" s="4" t="inlineStr">
        <is>
          <t>ремень ГРМ/цепь-комплект, приводной ремень, ролики; по двигателю</t>
        </is>
      </c>
      <c r="C11" s="4" t="n">
        <v>8</v>
      </c>
      <c r="D11" s="4" t="n">
        <v>14</v>
      </c>
      <c r="E11" s="4">
        <f>C11*D11</f>
        <v/>
      </c>
      <c r="F11" s="4" t="n">
        <v>0</v>
      </c>
      <c r="G11" s="4">
        <f>E11+F11</f>
        <v/>
      </c>
      <c r="H11" s="4" t="inlineStr">
        <is>
          <t>Средний–высокий</t>
        </is>
      </c>
      <c r="I11" s="4" t="inlineStr">
        <is>
          <t>500</t>
        </is>
      </c>
    </row>
    <row r="12">
      <c r="A12" s="3" t="inlineStr">
        <is>
          <t>Подвеска и рулевое</t>
        </is>
      </c>
      <c r="B12" s="4" t="inlineStr">
        <is>
          <t>стойки и втулки стабилизатора, рычаги, шаровые, сайлентблоки, наконечники и тяги; лево/право</t>
        </is>
      </c>
      <c r="C12" s="4" t="n">
        <v>25</v>
      </c>
      <c r="D12" s="4" t="n">
        <v>14</v>
      </c>
      <c r="E12" s="4">
        <f>C12*D12</f>
        <v/>
      </c>
      <c r="F12" s="4" t="n">
        <v>0</v>
      </c>
      <c r="G12" s="4">
        <f>E12+F12</f>
        <v/>
      </c>
      <c r="H12" s="4" t="inlineStr">
        <is>
          <t>Средний</t>
        </is>
      </c>
      <c r="I12" s="4" t="inlineStr">
        <is>
          <t>500</t>
        </is>
      </c>
    </row>
    <row r="13">
      <c r="A13" s="3" t="inlineStr">
        <is>
          <t>Амортизаторы и опоры</t>
        </is>
      </c>
      <c r="B13" s="4" t="inlineStr">
        <is>
          <t>передние лево/право, задние, опоры стоек; 2 бренда</t>
        </is>
      </c>
      <c r="C13" s="4" t="n">
        <v>8</v>
      </c>
      <c r="D13" s="4" t="n">
        <v>14</v>
      </c>
      <c r="E13" s="4">
        <f>C13*D13</f>
        <v/>
      </c>
      <c r="F13" s="4" t="n">
        <v>0</v>
      </c>
      <c r="G13" s="4">
        <f>E13+F13</f>
        <v/>
      </c>
      <c r="H13" s="4" t="inlineStr">
        <is>
          <t>Средний</t>
        </is>
      </c>
      <c r="I13" s="4" t="inlineStr">
        <is>
          <t>500</t>
        </is>
      </c>
    </row>
    <row r="14">
      <c r="A14" s="3" t="inlineStr">
        <is>
          <t>Ступицы и подшипники</t>
        </is>
      </c>
      <c r="B14" s="4" t="inlineStr">
        <is>
          <t>ступичные подшипники/ступицы перед и зад</t>
        </is>
      </c>
      <c r="C14" s="4" t="n">
        <v>4</v>
      </c>
      <c r="D14" s="4" t="n">
        <v>14</v>
      </c>
      <c r="E14" s="4">
        <f>C14*D14</f>
        <v/>
      </c>
      <c r="F14" s="4" t="n">
        <v>0</v>
      </c>
      <c r="G14" s="4">
        <f>E14+F14</f>
        <v/>
      </c>
      <c r="H14" s="4" t="inlineStr">
        <is>
          <t>Средний</t>
        </is>
      </c>
      <c r="I14" s="4" t="inlineStr">
        <is>
          <t>1500</t>
        </is>
      </c>
    </row>
    <row r="15">
      <c r="A15" s="3" t="inlineStr">
        <is>
          <t>Охлаждение</t>
        </is>
      </c>
      <c r="B15" s="4" t="inlineStr">
        <is>
          <t>помпа, термостат, датчик температуры</t>
        </is>
      </c>
      <c r="C15" s="4" t="n">
        <v>5</v>
      </c>
      <c r="D15" s="4" t="n">
        <v>14</v>
      </c>
      <c r="E15" s="4">
        <f>C15*D15</f>
        <v/>
      </c>
      <c r="F15" s="4" t="n">
        <v>0</v>
      </c>
      <c r="G15" s="4">
        <f>E15+F15</f>
        <v/>
      </c>
      <c r="H15" s="4" t="inlineStr">
        <is>
          <t>Средний</t>
        </is>
      </c>
      <c r="I15" s="4" t="inlineStr">
        <is>
          <t>1500</t>
        </is>
      </c>
    </row>
    <row r="16">
      <c r="A16" s="3" t="inlineStr">
        <is>
          <t>Датчики</t>
        </is>
      </c>
      <c r="B16" s="4" t="inlineStr">
        <is>
          <t>ABS, кислорода, коленвала — вторая волна</t>
        </is>
      </c>
      <c r="C16" s="4" t="n">
        <v>6</v>
      </c>
      <c r="D16" s="4" t="n">
        <v>14</v>
      </c>
      <c r="E16" s="4">
        <f>C16*D16</f>
        <v/>
      </c>
      <c r="F16" s="4" t="n">
        <v>0</v>
      </c>
      <c r="G16" s="4">
        <f>E16+F16</f>
        <v/>
      </c>
      <c r="H16" s="4" t="inlineStr">
        <is>
          <t>Высокий</t>
        </is>
      </c>
      <c r="I16" s="4" t="inlineStr">
        <is>
          <t>1500</t>
        </is>
      </c>
    </row>
    <row r="17">
      <c r="A17" s="3" t="inlineStr">
        <is>
          <t>Расходники ТО</t>
        </is>
      </c>
      <c r="B17" s="4" t="inlineStr">
        <is>
          <t>прокладка клапанной крышки, сливная пробка и шайбы</t>
        </is>
      </c>
      <c r="C17" s="4" t="n">
        <v>3</v>
      </c>
      <c r="D17" s="4" t="n">
        <v>14</v>
      </c>
      <c r="E17" s="4">
        <f>C17*D17</f>
        <v/>
      </c>
      <c r="F17" s="4" t="n">
        <v>0</v>
      </c>
      <c r="G17" s="4">
        <f>E17+F17</f>
        <v/>
      </c>
      <c r="H17" s="4" t="inlineStr">
        <is>
          <t>Низкий</t>
        </is>
      </c>
      <c r="I17" s="4" t="inlineStr">
        <is>
          <t>1500</t>
        </is>
      </c>
    </row>
    <row r="18">
      <c r="A18" s="3" t="inlineStr">
        <is>
          <t>Лампы</t>
        </is>
      </c>
      <c r="B18" s="4" t="inlineStr">
        <is>
          <t>по цоколям H4, H7, H1, H11, W5W и др.; галоген и LED — не по моделям</t>
        </is>
      </c>
      <c r="C18" s="4" t="n">
        <v>0</v>
      </c>
      <c r="D18" s="4" t="n">
        <v>14</v>
      </c>
      <c r="E18" s="4">
        <f>C18*D18</f>
        <v/>
      </c>
      <c r="F18" s="4" t="n">
        <v>80</v>
      </c>
      <c r="G18" s="4">
        <f>E18+F18</f>
        <v/>
      </c>
      <c r="H18" s="4" t="inlineStr">
        <is>
          <t>Низкий</t>
        </is>
      </c>
      <c r="I18" s="4" t="inlineStr">
        <is>
          <t>500</t>
        </is>
      </c>
    </row>
    <row r="19">
      <c r="A19" s="3" t="inlineStr">
        <is>
          <t>Клипсы и крепёж</t>
        </is>
      </c>
      <c r="B19" s="4" t="inlineStr">
        <is>
          <t>пистоны, клипсы обшивки — универсальные наборы</t>
        </is>
      </c>
      <c r="C19" s="4" t="n">
        <v>0</v>
      </c>
      <c r="D19" s="4" t="n">
        <v>14</v>
      </c>
      <c r="E19" s="4">
        <f>C19*D19</f>
        <v/>
      </c>
      <c r="F19" s="4" t="n">
        <v>36</v>
      </c>
      <c r="G19" s="4">
        <f>E19+F19</f>
        <v/>
      </c>
      <c r="H19" s="4" t="inlineStr">
        <is>
          <t>Низкий</t>
        </is>
      </c>
      <c r="I19" s="4" t="inlineStr">
        <is>
          <t>1500</t>
        </is>
      </c>
    </row>
    <row r="20">
      <c r="A20" s="5" t="inlineStr">
        <is>
          <t>ИТОГО</t>
        </is>
      </c>
      <c r="C20" s="5">
        <f>SUM(C5:C19)</f>
        <v/>
      </c>
      <c r="E20" s="5">
        <f>SUM(E5:E19)</f>
        <v/>
      </c>
      <c r="F20" s="5">
        <f>SUM(F5:F19)</f>
        <v/>
      </c>
      <c r="G20" s="5">
        <f>SUM(G5:G19)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2" customWidth="1" min="4" max="4"/>
    <col width="56" customWidth="1" min="5" max="5"/>
  </cols>
  <sheetData>
    <row r="1">
      <c r="A1" s="2" t="inlineStr">
        <is>
          <t>Модель</t>
        </is>
      </c>
      <c r="B1" s="2" t="inlineStr">
        <is>
          <t>Годы (уточнить)</t>
        </is>
      </c>
      <c r="C1" s="2" t="inlineStr">
        <is>
          <t>Происхождение</t>
        </is>
      </c>
      <c r="D1" s="2" t="inlineStr">
        <is>
          <t>Волна</t>
        </is>
      </c>
      <c r="E1" s="2" t="inlineStr">
        <is>
          <t>Комментарий</t>
        </is>
      </c>
    </row>
    <row r="2">
      <c r="A2" t="inlineStr">
        <is>
          <t>Haval Jolion</t>
        </is>
      </c>
      <c r="B2" t="inlineStr">
        <is>
          <t>≈2021–</t>
        </is>
      </c>
      <c r="C2" t="inlineStr">
        <is>
          <t>Китай</t>
        </is>
      </c>
      <c r="D2" t="inlineStr">
        <is>
          <t>1 — быстрые деньги</t>
        </is>
      </c>
      <c r="E2" t="inlineStr">
        <is>
          <t>Самая массовая китайская модель в парке (~275 тыс.)</t>
        </is>
      </c>
    </row>
    <row r="3">
      <c r="A3" t="inlineStr">
        <is>
          <t>Haval F7 / F7x</t>
        </is>
      </c>
      <c r="B3" t="inlineStr">
        <is>
          <t>≈2019–</t>
        </is>
      </c>
      <c r="C3" t="inlineStr">
        <is>
          <t>Китай</t>
        </is>
      </c>
      <c r="D3" t="inlineStr">
        <is>
          <t>1 — быстрые деньги</t>
        </is>
      </c>
      <c r="E3" t="inlineStr"/>
    </row>
    <row r="4">
      <c r="A4" t="inlineStr">
        <is>
          <t>Chery Tiggo 4 / 4 Pro</t>
        </is>
      </c>
      <c r="B4" t="inlineStr">
        <is>
          <t>≈2019–</t>
        </is>
      </c>
      <c r="C4" t="inlineStr">
        <is>
          <t>Китай</t>
        </is>
      </c>
      <c r="D4" t="inlineStr">
        <is>
          <t>1 — быстрые деньги</t>
        </is>
      </c>
      <c r="E4" t="inlineStr"/>
    </row>
    <row r="5">
      <c r="A5" t="inlineStr">
        <is>
          <t>Chery Tiggo 7 Pro / Pro Max</t>
        </is>
      </c>
      <c r="B5" t="inlineStr">
        <is>
          <t>≈2020–</t>
        </is>
      </c>
      <c r="C5" t="inlineStr">
        <is>
          <t>Китай</t>
        </is>
      </c>
      <c r="D5" t="inlineStr">
        <is>
          <t>1 — быстрые деньги</t>
        </is>
      </c>
      <c r="E5" t="inlineStr">
        <is>
          <t>~132 тыс. в парке</t>
        </is>
      </c>
    </row>
    <row r="6">
      <c r="A6" t="inlineStr">
        <is>
          <t>Chery Tiggo 8 Pro / Pro Max</t>
        </is>
      </c>
      <c r="B6" t="inlineStr">
        <is>
          <t>≈2021–</t>
        </is>
      </c>
      <c r="C6" t="inlineStr">
        <is>
          <t>Китай</t>
        </is>
      </c>
      <c r="D6" t="inlineStr">
        <is>
          <t>1 — быстрые деньги</t>
        </is>
      </c>
      <c r="E6" t="inlineStr"/>
    </row>
    <row r="7">
      <c r="A7" t="inlineStr">
        <is>
          <t>Geely Coolray</t>
        </is>
      </c>
      <c r="B7" t="inlineStr">
        <is>
          <t>≈2020–</t>
        </is>
      </c>
      <c r="C7" t="inlineStr">
        <is>
          <t>Китай</t>
        </is>
      </c>
      <c r="D7" t="inlineStr">
        <is>
          <t>1 — быстрые деньги</t>
        </is>
      </c>
      <c r="E7" t="inlineStr">
        <is>
          <t>~114 тыс. в парке</t>
        </is>
      </c>
    </row>
    <row r="8">
      <c r="A8" t="inlineStr">
        <is>
          <t>Geely Monjaro</t>
        </is>
      </c>
      <c r="B8" t="inlineStr">
        <is>
          <t>≈2023–</t>
        </is>
      </c>
      <c r="C8" t="inlineStr">
        <is>
          <t>Китай</t>
        </is>
      </c>
      <c r="D8" t="inlineStr">
        <is>
          <t>1 — быстрые деньги</t>
        </is>
      </c>
      <c r="E8" t="inlineStr">
        <is>
          <t>~122 тыс. в парке</t>
        </is>
      </c>
    </row>
    <row r="9">
      <c r="A9" t="inlineStr">
        <is>
          <t>Geely Atlas / Atlas Pro</t>
        </is>
      </c>
      <c r="B9" t="inlineStr">
        <is>
          <t>≈2018–</t>
        </is>
      </c>
      <c r="C9" t="inlineStr">
        <is>
          <t>Китай</t>
        </is>
      </c>
      <c r="D9" t="inlineStr">
        <is>
          <t>1 — быстрые деньги</t>
        </is>
      </c>
      <c r="E9" t="inlineStr"/>
    </row>
    <row r="10">
      <c r="A10" t="inlineStr">
        <is>
          <t>Lada Granta</t>
        </is>
      </c>
      <c r="B10" t="inlineStr">
        <is>
          <t>2011–</t>
        </is>
      </c>
      <c r="C10" t="inlineStr">
        <is>
          <t>Россия</t>
        </is>
      </c>
      <c r="D10" t="inlineStr">
        <is>
          <t>1 — объём</t>
        </is>
      </c>
      <c r="E10" t="inlineStr">
        <is>
          <t>Огромный парк, высокая конкуренция: только расходники ТО</t>
        </is>
      </c>
    </row>
    <row r="11">
      <c r="A11" t="inlineStr">
        <is>
          <t>Lada Vesta</t>
        </is>
      </c>
      <c r="B11" t="inlineStr">
        <is>
          <t>2015–</t>
        </is>
      </c>
      <c r="C11" t="inlineStr">
        <is>
          <t>Россия</t>
        </is>
      </c>
      <c r="D11" t="inlineStr">
        <is>
          <t>1 — объём</t>
        </is>
      </c>
      <c r="E11" t="inlineStr"/>
    </row>
    <row r="12">
      <c r="A12" t="inlineStr">
        <is>
          <t>Lada Niva Legend / Travel</t>
        </is>
      </c>
      <c r="B12" t="inlineStr">
        <is>
          <t>—</t>
        </is>
      </c>
      <c r="C12" t="inlineStr">
        <is>
          <t>Россия</t>
        </is>
      </c>
      <c r="D12" t="inlineStr">
        <is>
          <t>1 — объём</t>
        </is>
      </c>
      <c r="E12" t="inlineStr"/>
    </row>
    <row r="13">
      <c r="A13" t="inlineStr">
        <is>
          <t>Hyundai Solaris / Kia Rio</t>
        </is>
      </c>
      <c r="B13" t="inlineStr">
        <is>
          <t>≈2010–2020</t>
        </is>
      </c>
      <c r="C13" t="inlineStr">
        <is>
          <t>Корея</t>
        </is>
      </c>
      <c r="D13" t="inlineStr">
        <is>
          <t>1 — объём</t>
        </is>
      </c>
      <c r="E13" t="inlineStr">
        <is>
          <t>Общие запчасти у двух моделей</t>
        </is>
      </c>
    </row>
    <row r="14">
      <c r="A14" t="inlineStr">
        <is>
          <t>VW Polo седан / Skoda Rapid</t>
        </is>
      </c>
      <c r="B14" t="inlineStr">
        <is>
          <t>≈2010–2020</t>
        </is>
      </c>
      <c r="C14" t="inlineStr">
        <is>
          <t>Европа</t>
        </is>
      </c>
      <c r="D14" t="inlineStr">
        <is>
          <t>1 — объём</t>
        </is>
      </c>
      <c r="E14" t="inlineStr">
        <is>
          <t>Общая платформа</t>
        </is>
      </c>
    </row>
    <row r="15">
      <c r="A15" t="inlineStr">
        <is>
          <t>Renault Logan / Sandero / Duster</t>
        </is>
      </c>
      <c r="B15" t="inlineStr">
        <is>
          <t>≈2010–</t>
        </is>
      </c>
      <c r="C15" t="inlineStr">
        <is>
          <t>Европа</t>
        </is>
      </c>
      <c r="D15" t="inlineStr">
        <is>
          <t>1 — объём</t>
        </is>
      </c>
      <c r="E15" t="inlineStr">
        <is>
          <t>Много общего с Lada Largus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</cols>
  <sheetData>
    <row r="1" ht="48" customHeight="1">
      <c r="A1" s="2" t="inlineStr">
        <is>
          <t>Модель</t>
        </is>
      </c>
      <c r="B1" s="2" t="inlineStr">
        <is>
          <t>Фильтры</t>
        </is>
      </c>
      <c r="C1" s="2" t="inlineStr">
        <is>
          <t>Тормозные колодки</t>
        </is>
      </c>
      <c r="D1" s="2" t="inlineStr">
        <is>
          <t>Тормозные диски</t>
        </is>
      </c>
      <c r="E1" s="2" t="inlineStr">
        <is>
          <t>Тормоза прочее</t>
        </is>
      </c>
      <c r="F1" s="2" t="inlineStr">
        <is>
          <t>Свечи и катушки</t>
        </is>
      </c>
      <c r="G1" s="2" t="inlineStr">
        <is>
          <t>Щётки стеклоочистителя</t>
        </is>
      </c>
      <c r="H1" s="2" t="inlineStr">
        <is>
          <t>Ремни, ролики, ГРМ</t>
        </is>
      </c>
      <c r="I1" s="2" t="inlineStr">
        <is>
          <t>Подвеска и рулевое</t>
        </is>
      </c>
      <c r="J1" s="2" t="inlineStr">
        <is>
          <t>Амортизаторы и опоры</t>
        </is>
      </c>
      <c r="K1" s="2" t="inlineStr">
        <is>
          <t>Ступицы и подшипники</t>
        </is>
      </c>
      <c r="L1" s="2" t="inlineStr">
        <is>
          <t>Охлаждение</t>
        </is>
      </c>
      <c r="M1" s="2" t="inlineStr">
        <is>
          <t>Датчики</t>
        </is>
      </c>
      <c r="N1" s="2" t="inlineStr">
        <is>
          <t>Расходники ТО</t>
        </is>
      </c>
      <c r="O1" s="2" t="inlineStr">
        <is>
          <t>Итого</t>
        </is>
      </c>
    </row>
    <row r="2">
      <c r="A2" s="5" t="inlineStr">
        <is>
          <t>Haval Jolion</t>
        </is>
      </c>
      <c r="B2" t="n">
        <v>15</v>
      </c>
      <c r="C2" t="n">
        <v>6</v>
      </c>
      <c r="D2" t="n">
        <v>4</v>
      </c>
      <c r="E2" t="n">
        <v>4</v>
      </c>
      <c r="F2" t="n">
        <v>5</v>
      </c>
      <c r="G2" t="n">
        <v>3</v>
      </c>
      <c r="H2" t="n">
        <v>8</v>
      </c>
      <c r="I2" t="n">
        <v>25</v>
      </c>
      <c r="J2" t="n">
        <v>8</v>
      </c>
      <c r="K2" t="n">
        <v>4</v>
      </c>
      <c r="L2" t="n">
        <v>5</v>
      </c>
      <c r="M2" t="n">
        <v>6</v>
      </c>
      <c r="N2" t="n">
        <v>3</v>
      </c>
      <c r="O2" s="5">
        <f>SUM(B2:N2)</f>
        <v/>
      </c>
    </row>
    <row r="3">
      <c r="A3" s="5" t="inlineStr">
        <is>
          <t>Haval F7 / F7x</t>
        </is>
      </c>
      <c r="B3" t="n">
        <v>15</v>
      </c>
      <c r="C3" t="n">
        <v>6</v>
      </c>
      <c r="D3" t="n">
        <v>4</v>
      </c>
      <c r="E3" t="n">
        <v>4</v>
      </c>
      <c r="F3" t="n">
        <v>5</v>
      </c>
      <c r="G3" t="n">
        <v>3</v>
      </c>
      <c r="H3" t="n">
        <v>8</v>
      </c>
      <c r="I3" t="n">
        <v>25</v>
      </c>
      <c r="J3" t="n">
        <v>8</v>
      </c>
      <c r="K3" t="n">
        <v>4</v>
      </c>
      <c r="L3" t="n">
        <v>5</v>
      </c>
      <c r="M3" t="n">
        <v>6</v>
      </c>
      <c r="N3" t="n">
        <v>3</v>
      </c>
      <c r="O3" s="5">
        <f>SUM(B3:N3)</f>
        <v/>
      </c>
    </row>
    <row r="4">
      <c r="A4" s="5" t="inlineStr">
        <is>
          <t>Chery Tiggo 4 / 4 Pro</t>
        </is>
      </c>
      <c r="B4" t="n">
        <v>15</v>
      </c>
      <c r="C4" t="n">
        <v>6</v>
      </c>
      <c r="D4" t="n">
        <v>4</v>
      </c>
      <c r="E4" t="n">
        <v>4</v>
      </c>
      <c r="F4" t="n">
        <v>5</v>
      </c>
      <c r="G4" t="n">
        <v>3</v>
      </c>
      <c r="H4" t="n">
        <v>8</v>
      </c>
      <c r="I4" t="n">
        <v>25</v>
      </c>
      <c r="J4" t="n">
        <v>8</v>
      </c>
      <c r="K4" t="n">
        <v>4</v>
      </c>
      <c r="L4" t="n">
        <v>5</v>
      </c>
      <c r="M4" t="n">
        <v>6</v>
      </c>
      <c r="N4" t="n">
        <v>3</v>
      </c>
      <c r="O4" s="5">
        <f>SUM(B4:N4)</f>
        <v/>
      </c>
    </row>
    <row r="5">
      <c r="A5" s="5" t="inlineStr">
        <is>
          <t>Chery Tiggo 7 Pro / Pro Max</t>
        </is>
      </c>
      <c r="B5" t="n">
        <v>15</v>
      </c>
      <c r="C5" t="n">
        <v>6</v>
      </c>
      <c r="D5" t="n">
        <v>4</v>
      </c>
      <c r="E5" t="n">
        <v>4</v>
      </c>
      <c r="F5" t="n">
        <v>5</v>
      </c>
      <c r="G5" t="n">
        <v>3</v>
      </c>
      <c r="H5" t="n">
        <v>8</v>
      </c>
      <c r="I5" t="n">
        <v>25</v>
      </c>
      <c r="J5" t="n">
        <v>8</v>
      </c>
      <c r="K5" t="n">
        <v>4</v>
      </c>
      <c r="L5" t="n">
        <v>5</v>
      </c>
      <c r="M5" t="n">
        <v>6</v>
      </c>
      <c r="N5" t="n">
        <v>3</v>
      </c>
      <c r="O5" s="5">
        <f>SUM(B5:N5)</f>
        <v/>
      </c>
    </row>
    <row r="6">
      <c r="A6" s="5" t="inlineStr">
        <is>
          <t>Chery Tiggo 8 Pro / Pro Max</t>
        </is>
      </c>
      <c r="B6" t="n">
        <v>15</v>
      </c>
      <c r="C6" t="n">
        <v>6</v>
      </c>
      <c r="D6" t="n">
        <v>4</v>
      </c>
      <c r="E6" t="n">
        <v>4</v>
      </c>
      <c r="F6" t="n">
        <v>5</v>
      </c>
      <c r="G6" t="n">
        <v>3</v>
      </c>
      <c r="H6" t="n">
        <v>8</v>
      </c>
      <c r="I6" t="n">
        <v>25</v>
      </c>
      <c r="J6" t="n">
        <v>8</v>
      </c>
      <c r="K6" t="n">
        <v>4</v>
      </c>
      <c r="L6" t="n">
        <v>5</v>
      </c>
      <c r="M6" t="n">
        <v>6</v>
      </c>
      <c r="N6" t="n">
        <v>3</v>
      </c>
      <c r="O6" s="5">
        <f>SUM(B6:N6)</f>
        <v/>
      </c>
    </row>
    <row r="7">
      <c r="A7" s="5" t="inlineStr">
        <is>
          <t>Geely Coolray</t>
        </is>
      </c>
      <c r="B7" t="n">
        <v>15</v>
      </c>
      <c r="C7" t="n">
        <v>6</v>
      </c>
      <c r="D7" t="n">
        <v>4</v>
      </c>
      <c r="E7" t="n">
        <v>4</v>
      </c>
      <c r="F7" t="n">
        <v>5</v>
      </c>
      <c r="G7" t="n">
        <v>3</v>
      </c>
      <c r="H7" t="n">
        <v>8</v>
      </c>
      <c r="I7" t="n">
        <v>25</v>
      </c>
      <c r="J7" t="n">
        <v>8</v>
      </c>
      <c r="K7" t="n">
        <v>4</v>
      </c>
      <c r="L7" t="n">
        <v>5</v>
      </c>
      <c r="M7" t="n">
        <v>6</v>
      </c>
      <c r="N7" t="n">
        <v>3</v>
      </c>
      <c r="O7" s="5">
        <f>SUM(B7:N7)</f>
        <v/>
      </c>
    </row>
    <row r="8">
      <c r="A8" s="5" t="inlineStr">
        <is>
          <t>Geely Monjaro</t>
        </is>
      </c>
      <c r="B8" t="n">
        <v>15</v>
      </c>
      <c r="C8" t="n">
        <v>6</v>
      </c>
      <c r="D8" t="n">
        <v>4</v>
      </c>
      <c r="E8" t="n">
        <v>4</v>
      </c>
      <c r="F8" t="n">
        <v>5</v>
      </c>
      <c r="G8" t="n">
        <v>3</v>
      </c>
      <c r="H8" t="n">
        <v>8</v>
      </c>
      <c r="I8" t="n">
        <v>25</v>
      </c>
      <c r="J8" t="n">
        <v>8</v>
      </c>
      <c r="K8" t="n">
        <v>4</v>
      </c>
      <c r="L8" t="n">
        <v>5</v>
      </c>
      <c r="M8" t="n">
        <v>6</v>
      </c>
      <c r="N8" t="n">
        <v>3</v>
      </c>
      <c r="O8" s="5">
        <f>SUM(B8:N8)</f>
        <v/>
      </c>
    </row>
    <row r="9">
      <c r="A9" s="5" t="inlineStr">
        <is>
          <t>Geely Atlas / Atlas Pro</t>
        </is>
      </c>
      <c r="B9" t="n">
        <v>15</v>
      </c>
      <c r="C9" t="n">
        <v>6</v>
      </c>
      <c r="D9" t="n">
        <v>4</v>
      </c>
      <c r="E9" t="n">
        <v>4</v>
      </c>
      <c r="F9" t="n">
        <v>5</v>
      </c>
      <c r="G9" t="n">
        <v>3</v>
      </c>
      <c r="H9" t="n">
        <v>8</v>
      </c>
      <c r="I9" t="n">
        <v>25</v>
      </c>
      <c r="J9" t="n">
        <v>8</v>
      </c>
      <c r="K9" t="n">
        <v>4</v>
      </c>
      <c r="L9" t="n">
        <v>5</v>
      </c>
      <c r="M9" t="n">
        <v>6</v>
      </c>
      <c r="N9" t="n">
        <v>3</v>
      </c>
      <c r="O9" s="5">
        <f>SUM(B9:N9)</f>
        <v/>
      </c>
    </row>
    <row r="10">
      <c r="A10" s="5" t="inlineStr">
        <is>
          <t>Lada Granta</t>
        </is>
      </c>
      <c r="B10" t="n">
        <v>15</v>
      </c>
      <c r="C10" t="n">
        <v>6</v>
      </c>
      <c r="D10" t="n">
        <v>4</v>
      </c>
      <c r="E10" t="n">
        <v>4</v>
      </c>
      <c r="F10" t="n">
        <v>5</v>
      </c>
      <c r="G10" t="n">
        <v>3</v>
      </c>
      <c r="H10" t="n">
        <v>8</v>
      </c>
      <c r="I10" t="n">
        <v>25</v>
      </c>
      <c r="J10" t="n">
        <v>8</v>
      </c>
      <c r="K10" t="n">
        <v>4</v>
      </c>
      <c r="L10" t="n">
        <v>5</v>
      </c>
      <c r="M10" t="n">
        <v>6</v>
      </c>
      <c r="N10" t="n">
        <v>3</v>
      </c>
      <c r="O10" s="5">
        <f>SUM(B10:N10)</f>
        <v/>
      </c>
    </row>
    <row r="11">
      <c r="A11" s="5" t="inlineStr">
        <is>
          <t>Lada Vesta</t>
        </is>
      </c>
      <c r="B11" t="n">
        <v>15</v>
      </c>
      <c r="C11" t="n">
        <v>6</v>
      </c>
      <c r="D11" t="n">
        <v>4</v>
      </c>
      <c r="E11" t="n">
        <v>4</v>
      </c>
      <c r="F11" t="n">
        <v>5</v>
      </c>
      <c r="G11" t="n">
        <v>3</v>
      </c>
      <c r="H11" t="n">
        <v>8</v>
      </c>
      <c r="I11" t="n">
        <v>25</v>
      </c>
      <c r="J11" t="n">
        <v>8</v>
      </c>
      <c r="K11" t="n">
        <v>4</v>
      </c>
      <c r="L11" t="n">
        <v>5</v>
      </c>
      <c r="M11" t="n">
        <v>6</v>
      </c>
      <c r="N11" t="n">
        <v>3</v>
      </c>
      <c r="O11" s="5">
        <f>SUM(B11:N11)</f>
        <v/>
      </c>
    </row>
    <row r="12">
      <c r="A12" s="5" t="inlineStr">
        <is>
          <t>Lada Niva Legend / Travel</t>
        </is>
      </c>
      <c r="B12" t="n">
        <v>15</v>
      </c>
      <c r="C12" t="n">
        <v>6</v>
      </c>
      <c r="D12" t="n">
        <v>4</v>
      </c>
      <c r="E12" t="n">
        <v>4</v>
      </c>
      <c r="F12" t="n">
        <v>5</v>
      </c>
      <c r="G12" t="n">
        <v>3</v>
      </c>
      <c r="H12" t="n">
        <v>8</v>
      </c>
      <c r="I12" t="n">
        <v>25</v>
      </c>
      <c r="J12" t="n">
        <v>8</v>
      </c>
      <c r="K12" t="n">
        <v>4</v>
      </c>
      <c r="L12" t="n">
        <v>5</v>
      </c>
      <c r="M12" t="n">
        <v>6</v>
      </c>
      <c r="N12" t="n">
        <v>3</v>
      </c>
      <c r="O12" s="5">
        <f>SUM(B12:N12)</f>
        <v/>
      </c>
    </row>
    <row r="13">
      <c r="A13" s="5" t="inlineStr">
        <is>
          <t>Hyundai Solaris / Kia Rio</t>
        </is>
      </c>
      <c r="B13" t="n">
        <v>15</v>
      </c>
      <c r="C13" t="n">
        <v>6</v>
      </c>
      <c r="D13" t="n">
        <v>4</v>
      </c>
      <c r="E13" t="n">
        <v>4</v>
      </c>
      <c r="F13" t="n">
        <v>5</v>
      </c>
      <c r="G13" t="n">
        <v>3</v>
      </c>
      <c r="H13" t="n">
        <v>8</v>
      </c>
      <c r="I13" t="n">
        <v>25</v>
      </c>
      <c r="J13" t="n">
        <v>8</v>
      </c>
      <c r="K13" t="n">
        <v>4</v>
      </c>
      <c r="L13" t="n">
        <v>5</v>
      </c>
      <c r="M13" t="n">
        <v>6</v>
      </c>
      <c r="N13" t="n">
        <v>3</v>
      </c>
      <c r="O13" s="5">
        <f>SUM(B13:N13)</f>
        <v/>
      </c>
    </row>
    <row r="14">
      <c r="A14" s="5" t="inlineStr">
        <is>
          <t>VW Polo седан / Skoda Rapid</t>
        </is>
      </c>
      <c r="B14" t="n">
        <v>15</v>
      </c>
      <c r="C14" t="n">
        <v>6</v>
      </c>
      <c r="D14" t="n">
        <v>4</v>
      </c>
      <c r="E14" t="n">
        <v>4</v>
      </c>
      <c r="F14" t="n">
        <v>5</v>
      </c>
      <c r="G14" t="n">
        <v>3</v>
      </c>
      <c r="H14" t="n">
        <v>8</v>
      </c>
      <c r="I14" t="n">
        <v>25</v>
      </c>
      <c r="J14" t="n">
        <v>8</v>
      </c>
      <c r="K14" t="n">
        <v>4</v>
      </c>
      <c r="L14" t="n">
        <v>5</v>
      </c>
      <c r="M14" t="n">
        <v>6</v>
      </c>
      <c r="N14" t="n">
        <v>3</v>
      </c>
      <c r="O14" s="5">
        <f>SUM(B14:N14)</f>
        <v/>
      </c>
    </row>
    <row r="15">
      <c r="A15" s="5" t="inlineStr">
        <is>
          <t>Renault Logan / Sandero / Duster</t>
        </is>
      </c>
      <c r="B15" t="n">
        <v>15</v>
      </c>
      <c r="C15" t="n">
        <v>6</v>
      </c>
      <c r="D15" t="n">
        <v>4</v>
      </c>
      <c r="E15" t="n">
        <v>4</v>
      </c>
      <c r="F15" t="n">
        <v>5</v>
      </c>
      <c r="G15" t="n">
        <v>3</v>
      </c>
      <c r="H15" t="n">
        <v>8</v>
      </c>
      <c r="I15" t="n">
        <v>25</v>
      </c>
      <c r="J15" t="n">
        <v>8</v>
      </c>
      <c r="K15" t="n">
        <v>4</v>
      </c>
      <c r="L15" t="n">
        <v>5</v>
      </c>
      <c r="M15" t="n">
        <v>6</v>
      </c>
      <c r="N15" t="n">
        <v>3</v>
      </c>
      <c r="O15" s="5">
        <f>SUM(B15:N15)</f>
        <v/>
      </c>
    </row>
    <row r="16">
      <c r="A16" s="5" t="inlineStr">
        <is>
          <t>Итого по моделям</t>
        </is>
      </c>
      <c r="B16" s="5">
        <f>SUM(B2:B15)</f>
        <v/>
      </c>
      <c r="C16" s="5">
        <f>SUM(C2:C15)</f>
        <v/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H16" s="5">
        <f>SUM(H2:H15)</f>
        <v/>
      </c>
      <c r="I16" s="5">
        <f>SUM(I2:I15)</f>
        <v/>
      </c>
      <c r="J16" s="5">
        <f>SUM(J2:J15)</f>
        <v/>
      </c>
      <c r="K16" s="5">
        <f>SUM(K2:K15)</f>
        <v/>
      </c>
      <c r="L16" s="5">
        <f>SUM(L2:L15)</f>
        <v/>
      </c>
      <c r="M16" s="5">
        <f>SUM(M2:M15)</f>
        <v/>
      </c>
      <c r="N16" s="5">
        <f>SUM(N2:N15)</f>
        <v/>
      </c>
      <c r="O16" s="5">
        <f>SUM(O2:O15)</f>
        <v/>
      </c>
    </row>
    <row r="17">
      <c r="A17" s="5" t="inlineStr">
        <is>
          <t>Универсальные (лампы, щётки, крепёж)</t>
        </is>
      </c>
      <c r="O17" s="5" t="n">
        <v>156</v>
      </c>
    </row>
    <row r="18">
      <c r="A18" s="5" t="inlineStr">
        <is>
          <t>ВСЕГО</t>
        </is>
      </c>
      <c r="O18" s="5">
        <f>O16+O17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Этап</t>
        </is>
      </c>
      <c r="B1" s="2" t="inlineStr">
        <is>
          <t>Карточек</t>
        </is>
      </c>
      <c r="C1" s="2" t="inlineStr">
        <is>
          <t>Что входит</t>
        </is>
      </c>
      <c r="D1" s="2" t="inlineStr">
        <is>
          <t>Когда переходить дальше</t>
        </is>
      </c>
    </row>
    <row r="2">
      <c r="A2" s="4" t="inlineStr">
        <is>
          <t>Пилот</t>
        </is>
      </c>
      <c r="B2" s="4" t="n">
        <v>100</v>
      </c>
      <c r="C2" s="4" t="inlineStr">
        <is>
          <t>20 хитов (Максим): фильтры и колодки на Jolion, Tiggo 7 Pro, Monjaro, Coolray, Granta, Vesta, Solaris/Rio. 80 хвоста: фильтры, колодки, свечи, щётки на эти же модели</t>
        </is>
      </c>
      <c r="D2" s="4" t="inlineStr">
        <is>
          <t>≥50 доставленных заказов за ≥14 дней, ≥99% сданы вовремя, ноль двойных закупок</t>
        </is>
      </c>
    </row>
    <row r="3">
      <c r="A3" s="4" t="inlineStr">
        <is>
          <t>Рост</t>
        </is>
      </c>
      <c r="B3" s="4" t="n">
        <v>500</v>
      </c>
      <c r="C3" s="4" t="inlineStr">
        <is>
          <t>Все 8 китайских моделей: + диски, ремни/ГРМ, подвеска, амортизаторы. Лампы по цоколям</t>
        </is>
      </c>
      <c r="D3" s="4" t="inlineStr">
        <is>
          <t>≥200 доставленных заказов, отмены из-за отсутствия ≤0,5%, сверка сходится на ≥99%</t>
        </is>
      </c>
    </row>
    <row r="4">
      <c r="A4" s="4" t="inlineStr">
        <is>
          <t>Широкий</t>
        </is>
      </c>
      <c r="B4" s="4" t="n">
        <v>1500</v>
      </c>
      <c r="C4" s="4" t="inlineStr">
        <is>
          <t>Все 14 моделей и все группы, включая датчики, ступицы, охлаждение, крепёж</t>
        </is>
      </c>
      <c r="D4" s="4" t="inlineStr">
        <is>
          <t>30 стабильных дней; второй поставщик подключён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40" customWidth="1" min="3" max="3"/>
    <col width="44" customWidth="1" min="4" max="4"/>
  </cols>
  <sheetData>
    <row r="1">
      <c r="A1" s="2" t="inlineStr">
        <is>
          <t>Уровень</t>
        </is>
      </c>
      <c r="B1" s="2" t="inlineStr">
        <is>
          <t>Примеры брендов</t>
        </is>
      </c>
      <c r="C1" s="2" t="inlineStr">
        <is>
          <t>Зачем</t>
        </is>
      </c>
      <c r="D1" s="2" t="inlineStr">
        <is>
          <t>Осторожно</t>
        </is>
      </c>
    </row>
    <row r="2">
      <c r="A2" s="4" t="inlineStr">
        <is>
          <t>Оригинал</t>
        </is>
      </c>
      <c r="B2" s="4" t="inlineStr">
        <is>
          <t>Оригинальные запчасти Haval, Chery, Geely, Lada (через дистрибьютора)</t>
        </is>
      </c>
      <c r="C2" s="4" t="inlineStr">
        <is>
          <t>Покупатель ищет «оригинал», выше чек</t>
        </is>
      </c>
      <c r="D2" s="4" t="inlineStr">
        <is>
          <t>Нужны документы о происхождении</t>
        </is>
      </c>
    </row>
    <row r="3">
      <c r="A3" s="4" t="inlineStr">
        <is>
          <t>Средний (основной для старта)</t>
        </is>
      </c>
      <c r="B3" s="4" t="inlineStr">
        <is>
          <t>Masuma, Patron, Fenox, Trialli, Marshall, Febest, CTR, Mando, Sangsin, Stellox, LUZAR, BIG Filter</t>
        </is>
      </c>
      <c r="C3" s="4" t="inlineStr">
        <is>
          <t>Лучшее соотношение цены и спроса, меньше подделок</t>
        </is>
      </c>
      <c r="D3" s="4" t="inlineStr">
        <is>
          <t>Проверить наличие у поставщика по нужным моделям</t>
        </is>
      </c>
    </row>
    <row r="4">
      <c r="A4" s="4" t="inlineStr">
        <is>
          <t>Премиум</t>
        </is>
      </c>
      <c r="B4" s="4" t="inlineStr">
        <is>
          <t>Bosch, Mann, Mahle, NGK, Denso, TRW, Sachs, KYB, Lemförder, Gates, INA, SKF</t>
        </is>
      </c>
      <c r="C4" s="4" t="inlineStr">
        <is>
          <t>Узнаваемость, высокий чек</t>
        </is>
      </c>
      <c r="D4" s="4" t="inlineStr">
        <is>
          <t>Частые жалобы правообладателей; без писем дистрибьютора не брать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Группа</t>
        </is>
      </c>
      <c r="B1" s="2" t="inlineStr">
        <is>
          <t>Почему</t>
        </is>
      </c>
    </row>
    <row r="2">
      <c r="A2" t="inlineStr">
        <is>
          <t>Масла и жидкости</t>
        </is>
      </c>
      <c r="B2" t="inlineStr">
        <is>
          <t>Тяжёлые, подделки, ценовая война, протечки при упаковке</t>
        </is>
      </c>
    </row>
    <row r="3">
      <c r="A3" t="inlineStr">
        <is>
          <t>Аккумуляторы</t>
        </is>
      </c>
      <c r="B3" t="inlineStr">
        <is>
          <t>Тяжёлые, опасный груз, ограничения логистики</t>
        </is>
      </c>
    </row>
    <row r="4">
      <c r="A4" t="inlineStr">
        <is>
          <t>Кузовные детали и оптика</t>
        </is>
      </c>
      <c r="B4" t="inlineStr">
        <is>
          <t>Крупногабарит, бой, много возвратов</t>
        </is>
      </c>
    </row>
    <row r="5">
      <c r="A5" t="inlineStr">
        <is>
          <t>Детали двигателя и КПП</t>
        </is>
      </c>
      <c r="B5" t="inlineStr">
        <is>
          <t>Высокий риск ошибки подбора, дорогие возвраты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2026-10-14T09:40:21Z</dcterms:created>
  <dcterms:modified xmlns:dcterms="http://purl.org/dc/terms/" xmlns:xsi="http://www.w3.org/2001/XMLSchema-instance" xsi:type="dcterms:W3CDTF">2026-10-14T09:40:22Z</dcterms:modified>
</cp:coreProperties>
</file>