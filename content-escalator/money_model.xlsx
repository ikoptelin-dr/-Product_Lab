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Допущения" sheetId="1" state="visible" r:id="rId3"/>
    <sheet name="Сводка" sheetId="2" state="visible" r:id="rId4"/>
    <sheet name="A_дропшиппинг" sheetId="3" state="visible" r:id="rId5"/>
    <sheet name="D_курсы_родителям" sheetId="4" state="visible" r:id="rId6"/>
    <sheet name="B_свой_бренд" sheetId="5" state="visible" r:id="rId7"/>
    <sheet name="C_обучение_профи" sheetId="6" state="visible" r:id="rId8"/>
    <sheet name="E_B2B" sheetId="7" state="visible" r:id="rId9"/>
    <sheet name="F_минимум" sheetId="8" state="visible" r:id="rId10"/>
    <sheet name="R_комбо" sheetId="9" state="visible" r:id="rId11"/>
    <sheet name="Чувствительность" sheetId="10" state="visible" r:id="rId12"/>
    <sheet name="Источники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<sst xmlns="http://schemas.openxmlformats.org/spreadsheetml/2006/main" count="1334" uniqueCount="451">
  <si>
    <t xml:space="preserve">Допущения модели. Меняйте значения в колонках C–E (жёлтые): все листы пересчитаются. ФАКТ = есть источник, ОЦЕНКА = допущение аналитика.</t>
  </si>
  <si>
    <t xml:space="preserve">id</t>
  </si>
  <si>
    <t xml:space="preserve">Допущение</t>
  </si>
  <si>
    <t xml:space="preserve">Осторожный</t>
  </si>
  <si>
    <t xml:space="preserve">Базовый</t>
  </si>
  <si>
    <t xml:space="preserve">Оптимистичный</t>
  </si>
  <si>
    <t xml:space="preserve">Ед.</t>
  </si>
  <si>
    <t xml:space="preserve">Источник / тип</t>
  </si>
  <si>
    <t xml:space="preserve">Уверенность</t>
  </si>
  <si>
    <t xml:space="preserve">ОБЩИЕ: КОММЕРЦИЯ НА OZON</t>
  </si>
  <si>
    <t xml:space="preserve">aov</t>
  </si>
  <si>
    <t xml:space="preserve">Средний чек заказа на Ozon (детские вещи)</t>
  </si>
  <si>
    <t xml:space="preserve">₽</t>
  </si>
  <si>
    <t xml:space="preserve">Владелец (1 600 ₽). Края диапазона: оценка</t>
  </si>
  <si>
    <t xml:space="preserve">средняя</t>
  </si>
  <si>
    <t xml:space="preserve">ds_margin</t>
  </si>
  <si>
    <t xml:space="preserve">Чистая маржа дропшиппинга FBS на заказ (после комиссии, логистики, возвратов, налога)</t>
  </si>
  <si>
    <t xml:space="preserve">% от чека</t>
  </si>
  <si>
    <t xml:space="preserve">ОЦЕНКА. Комиссии Ozon 2026 на одежду и детские товары 43–55% (Коммерсантъ 8401352, RB.ru, Selsup). Прежний анализ брал 15%. Нужна выгрузка владельца</t>
  </si>
  <si>
    <t xml:space="preserve">низкая</t>
  </si>
  <si>
    <t xml:space="preserve">cr_ozon</t>
  </si>
  <si>
    <t xml:space="preserve">Конверсия внешнего клика в заказ на Ozon</t>
  </si>
  <si>
    <t xml:space="preserve">%</t>
  </si>
  <si>
    <t xml:space="preserve">ОЦЕНКА: публичной статистики нет. Прежний анализ брал 5%</t>
  </si>
  <si>
    <t xml:space="preserve">ozon_mult</t>
  </si>
  <si>
    <t xml:space="preserve">«Эффект Ozon»: множитель к заказам от внешнего трафика (органика)</t>
  </si>
  <si>
    <t xml:space="preserve">x</t>
  </si>
  <si>
    <t xml:space="preserve">ОЦЕНКА: Ozon официально не подтверждает влияние внешнего трафика на ранжирование</t>
  </si>
  <si>
    <t xml:space="preserve">rpm</t>
  </si>
  <si>
    <t xml:space="preserve">Доход РСЯ на 1 000 визитов сайта</t>
  </si>
  <si>
    <t xml:space="preserve">Нет данных по нише; Habr: десятки центов за 1 000 показов. ОЦЕНКА</t>
  </si>
  <si>
    <t xml:space="preserve">tg_cps</t>
  </si>
  <si>
    <t xml:space="preserve">Стоимость платного подписчика Telegram (посевы, ниша дети и родители)</t>
  </si>
  <si>
    <t xml:space="preserve">Обзор по тематикам: «дети и родители» 120–600 ₽ (нативные посевы); TG Ads, детская психология: 32–105 ₽ (Habr)</t>
  </si>
  <si>
    <t xml:space="preserve">tg_cpm</t>
  </si>
  <si>
    <t xml:space="preserve">CPM рекламного поста в своём канале</t>
  </si>
  <si>
    <t xml:space="preserve">ОЦЕНКА. Канал 50k: 3–10 тыс. ₽ за пост (Точка, Tele-scope); мем-каналы CPM 150–200, IT 1 000–2 000</t>
  </si>
  <si>
    <t xml:space="preserve">tg_view</t>
  </si>
  <si>
    <t xml:space="preserve">Доля подписчиков, видящих пост</t>
  </si>
  <si>
    <t xml:space="preserve">ОЦЕНКА (типичный ERR для каналов 10–60k)</t>
  </si>
  <si>
    <t xml:space="preserve">tg_ads_pm</t>
  </si>
  <si>
    <t xml:space="preserve">Рекламных постов в месяц в своём канале</t>
  </si>
  <si>
    <t xml:space="preserve">шт</t>
  </si>
  <si>
    <t xml:space="preserve">ОЦЕНКА; больше постов снижают охват</t>
  </si>
  <si>
    <t xml:space="preserve">tg_org</t>
  </si>
  <si>
    <t xml:space="preserve">Доля подписчиков, пришедших бесплатно (из клипов, SEO)</t>
  </si>
  <si>
    <t xml:space="preserve">ОЦЕНКА</t>
  </si>
  <si>
    <t xml:space="preserve">tax_serv</t>
  </si>
  <si>
    <t xml:space="preserve">Налог с выручки услуг/обучения (УСН доходы)</t>
  </si>
  <si>
    <t xml:space="preserve">ОЦЕНКА; режим уточнить у владельца</t>
  </si>
  <si>
    <t xml:space="preserve">КОНТЕНТ-ЯДРО</t>
  </si>
  <si>
    <t xml:space="preserve">core_full</t>
  </si>
  <si>
    <t xml:space="preserve">Полный эскалатор: команда и гонорары в месяц</t>
  </si>
  <si>
    <t xml:space="preserve">₽/мес</t>
  </si>
  <si>
    <t xml:space="preserve">ОЦЕНКА: продюсер-редактор, монтаж, SEO-автор, SMM, гонорары профессорам и рецензентам. Прежний анализ: 300–500 тыс.</t>
  </si>
  <si>
    <t xml:space="preserve">core_lite</t>
  </si>
  <si>
    <t xml:space="preserve">Урезанное ядро (без подкастов и сетки блогов)</t>
  </si>
  <si>
    <t xml:space="preserve">ОЦЕНКА: 1 редактор-продюсер, монтаж на сдельной, рецензент</t>
  </si>
  <si>
    <t xml:space="preserve">capex_full</t>
  </si>
  <si>
    <t xml:space="preserve">Старт полного эскалатора (сайт, дизайн, техника)</t>
  </si>
  <si>
    <t xml:space="preserve">ОЦЕНКА; свой продакшн снижает</t>
  </si>
  <si>
    <t xml:space="preserve">capex_lite</t>
  </si>
  <si>
    <t xml:space="preserve">Старт урезанного ядра</t>
  </si>
  <si>
    <t xml:space="preserve">A. ПОЛНЫЙ ЭСКАЛАТОР → ДРОПШИППИНГ OZON</t>
  </si>
  <si>
    <t xml:space="preserve">A_visits</t>
  </si>
  <si>
    <t xml:space="preserve">Визиты сайта в месяц на 36-м месяце</t>
  </si>
  <si>
    <t xml:space="preserve">визитов</t>
  </si>
  <si>
    <t xml:space="preserve">Прежний анализ 60/200/500 тыс.; база снижена из-за нейроответов (инфо-сайты −30%, Kokoc через ppc.world; −15…−60%, Timeweb)</t>
  </si>
  <si>
    <t xml:space="preserve">A_subs</t>
  </si>
  <si>
    <t xml:space="preserve">Подписчики Telegram на 36-м месяце</t>
  </si>
  <si>
    <t xml:space="preserve">подп.</t>
  </si>
  <si>
    <t xml:space="preserve">Прежний 15/40/100 тыс. снижен: каждый подписчик стоит денег (см. tg_cps)</t>
  </si>
  <si>
    <t xml:space="preserve">A_clips</t>
  </si>
  <si>
    <t xml:space="preserve">Просмотры клипов в месяц на 36-м месяце</t>
  </si>
  <si>
    <t xml:space="preserve">просм.</t>
  </si>
  <si>
    <t xml:space="preserve">Прежний анализ; ОЦЕНКА</t>
  </si>
  <si>
    <t xml:space="preserve">A_ctr_site</t>
  </si>
  <si>
    <t xml:space="preserve">Доля визитов медстатей с кликом на Ozon</t>
  </si>
  <si>
    <t xml:space="preserve">ОЦЕНКА: информационный медицинский интент, товар не в фокусе</t>
  </si>
  <si>
    <t xml:space="preserve">A_click_sub</t>
  </si>
  <si>
    <t xml:space="preserve">Кликов на Ozon на подписчика в месяц</t>
  </si>
  <si>
    <t xml:space="preserve">клик</t>
  </si>
  <si>
    <t xml:space="preserve">A_ctr_clip</t>
  </si>
  <si>
    <t xml:space="preserve">Кликов на Ozon на 1 просмотр клипа</t>
  </si>
  <si>
    <t xml:space="preserve">ОЦЕНКА: клипы VK/Rutube дают мало переходов</t>
  </si>
  <si>
    <t xml:space="preserve">A_start</t>
  </si>
  <si>
    <t xml:space="preserve">Месяц начала трафика</t>
  </si>
  <si>
    <t xml:space="preserve">мес</t>
  </si>
  <si>
    <t xml:space="preserve">A_k</t>
  </si>
  <si>
    <t xml:space="preserve">Форма кривой роста (&gt;1 медленный старт)</t>
  </si>
  <si>
    <t xml:space="preserve">D. ПЛАТНЫЕ КУРСЫ И КЛУБ ДЛЯ РОДИТЕЛЕЙ (поверх A)</t>
  </si>
  <si>
    <t xml:space="preserve">D_start</t>
  </si>
  <si>
    <t xml:space="preserve">Месяц первого запуска</t>
  </si>
  <si>
    <t xml:space="preserve">D_price</t>
  </si>
  <si>
    <t xml:space="preserve">Цена курса</t>
  </si>
  <si>
    <t xml:space="preserve">ОЦЕНКА; на рынке много бесплатного (Stepik, бесплатные курсы первой помощи)</t>
  </si>
  <si>
    <t xml:space="preserve">D_launch</t>
  </si>
  <si>
    <t xml:space="preserve">Запусков курса в год</t>
  </si>
  <si>
    <t xml:space="preserve">D_conv</t>
  </si>
  <si>
    <t xml:space="preserve">Конверсия тёплой аудитории в покупку за запуск</t>
  </si>
  <si>
    <t xml:space="preserve">ОЦЕНКА (инфобиз: 0,5–2% от базы)</t>
  </si>
  <si>
    <t xml:space="preserve">D_warm</t>
  </si>
  <si>
    <t xml:space="preserve">Доп. тёплая база (email, VK) к подписчикам TG</t>
  </si>
  <si>
    <t xml:space="preserve">D_club_price</t>
  </si>
  <si>
    <t xml:space="preserve">Подписка клуба</t>
  </si>
  <si>
    <t xml:space="preserve">D_club_pen</t>
  </si>
  <si>
    <t xml:space="preserve">Доля тёплой базы в клубе</t>
  </si>
  <si>
    <t xml:space="preserve">D_fees</t>
  </si>
  <si>
    <t xml:space="preserve">Платформа и эквайринг</t>
  </si>
  <si>
    <t xml:space="preserve">% выручки</t>
  </si>
  <si>
    <t xml:space="preserve">D_mkt</t>
  </si>
  <si>
    <t xml:space="preserve">Реклама запусков</t>
  </si>
  <si>
    <t xml:space="preserve">% выручки курса</t>
  </si>
  <si>
    <t xml:space="preserve">D_team</t>
  </si>
  <si>
    <t xml:space="preserve">Куратор и поддержка</t>
  </si>
  <si>
    <t xml:space="preserve">D_capex</t>
  </si>
  <si>
    <t xml:space="preserve">Производство 2 курсов</t>
  </si>
  <si>
    <t xml:space="preserve">B. PRIVATE LABEL: СВОЙ ДЕТСКИЙ ТЕКСТИЛЬ НА OZON</t>
  </si>
  <si>
    <t xml:space="preserve">B_start</t>
  </si>
  <si>
    <t xml:space="preserve">Месяц первых продаж</t>
  </si>
  <si>
    <t xml:space="preserve">ОЦЕНКА: лекала, образцы, декларация ТР ТС, маркировка</t>
  </si>
  <si>
    <t xml:space="preserve">B_sku</t>
  </si>
  <si>
    <t xml:space="preserve">Число SKU (модель×цвет) к 36-му месяцу</t>
  </si>
  <si>
    <t xml:space="preserve">SKU</t>
  </si>
  <si>
    <t xml:space="preserve">B_upm</t>
  </si>
  <si>
    <t xml:space="preserve">Продаж на SKU в месяц в зрелости</t>
  </si>
  <si>
    <t xml:space="preserve">ОЦЕНКА; проверить по своим 30 тыс. карточек</t>
  </si>
  <si>
    <t xml:space="preserve">B_price</t>
  </si>
  <si>
    <t xml:space="preserve">Цена продажи</t>
  </si>
  <si>
    <t xml:space="preserve">ОЦЕНКА (слипы, спальники, муслин)</t>
  </si>
  <si>
    <t xml:space="preserve">B_cogs</t>
  </si>
  <si>
    <t xml:space="preserve">Себестоимость пошива</t>
  </si>
  <si>
    <t xml:space="preserve">% цены</t>
  </si>
  <si>
    <t xml:space="preserve">Иваново: 300–1 500 ₽/ед., тираж от 100 на модель (Uniseller)</t>
  </si>
  <si>
    <t xml:space="preserve">B_comm</t>
  </si>
  <si>
    <t xml:space="preserve">Комиссия Ozon</t>
  </si>
  <si>
    <t xml:space="preserve">ФАКТ 2026: одежда 43–55%, детские ~47–50% (Коммерсантъ, RB.ru, Selsup, Sellerblog)</t>
  </si>
  <si>
    <t xml:space="preserve">B_log</t>
  </si>
  <si>
    <t xml:space="preserve">Логистика и обработка FBS на ед.</t>
  </si>
  <si>
    <t xml:space="preserve">ОЦЕНКА: Ozon снизил логистику в обмен на рост комиссий (Oborot); +10 ₽ за отправление с 29.09.2026 (Selsup)</t>
  </si>
  <si>
    <t xml:space="preserve">B_drr</t>
  </si>
  <si>
    <t xml:space="preserve">Реклама внутри Ozon (ДРР)</t>
  </si>
  <si>
    <t xml:space="preserve">B_ret</t>
  </si>
  <si>
    <t xml:space="preserve">Возвраты, брак, уценка</t>
  </si>
  <si>
    <t xml:space="preserve">B_mark</t>
  </si>
  <si>
    <t xml:space="preserve">Маркировка «Честный знак» и упаковка на ед.</t>
  </si>
  <si>
    <t xml:space="preserve">Маркировка детской одежды обязательна с 01.03.2025 (честныйзнак.рф); сумма ОЦЕНКА</t>
  </si>
  <si>
    <t xml:space="preserve">B_tax</t>
  </si>
  <si>
    <t xml:space="preserve">Налоги</t>
  </si>
  <si>
    <t xml:space="preserve">ОЦЕНКА; режим и НДС уточнить у бухгалтера</t>
  </si>
  <si>
    <t xml:space="preserve">B_inv</t>
  </si>
  <si>
    <t xml:space="preserve">Запас на складе</t>
  </si>
  <si>
    <t xml:space="preserve">мес продаж</t>
  </si>
  <si>
    <t xml:space="preserve">B_over</t>
  </si>
  <si>
    <t xml:space="preserve">Команда бренда (продакт, дизайнер, ОТК, контент)</t>
  </si>
  <si>
    <t xml:space="preserve">B_capex</t>
  </si>
  <si>
    <t xml:space="preserve">Старт: лекала, образцы, декларации, фото</t>
  </si>
  <si>
    <t xml:space="preserve">B_k</t>
  </si>
  <si>
    <t xml:space="preserve">Форма кривой роста</t>
  </si>
  <si>
    <t xml:space="preserve">C. ОБУЧЕНИЕ ПРОФЕССИОНАЛОВ (ДПО/НМО с лицензией НГУ + первая помощь детям для педагогов)</t>
  </si>
  <si>
    <t xml:space="preserve">C_start</t>
  </si>
  <si>
    <t xml:space="preserve">Месяц первых продаж (договор с НГУ, утверждение программ)</t>
  </si>
  <si>
    <t xml:space="preserve">C_share</t>
  </si>
  <si>
    <t xml:space="preserve">Доля владельца в выручке (остальное НГУ как лицензиату)</t>
  </si>
  <si>
    <t xml:space="preserve">ОЦЕНКА: условия НГУ неизвестны</t>
  </si>
  <si>
    <t xml:space="preserve">C_pro_price</t>
  </si>
  <si>
    <t xml:space="preserve">Средний чек курса для медсестёр и педиатров</t>
  </si>
  <si>
    <t xml:space="preserve">Рынок: 144 ч для медсестёр 29 900 ₽ (kedu.ru); курсы для врачей 39–55 тыс. (checkroi). Короткие 18–36 ч: ОЦЕНКА</t>
  </si>
  <si>
    <t xml:space="preserve">C_pro_n</t>
  </si>
  <si>
    <t xml:space="preserve">Продаж медработникам в месяц на 36-м мес.</t>
  </si>
  <si>
    <t xml:space="preserve">ОЦЕНКА. Врачей ~558 тыс. (Минздрав, 2025); средний медперсонал ~1,3–1,5 млн (оценка)</t>
  </si>
  <si>
    <t xml:space="preserve">C_ped_price</t>
  </si>
  <si>
    <t xml:space="preserve">Средний чек «Первая помощь детям» для педагогов и воспитателей</t>
  </si>
  <si>
    <t xml:space="preserve">Нет данных; рынок массовый и дешёвый. ОЦЕНКА</t>
  </si>
  <si>
    <t xml:space="preserve">C_ped_n</t>
  </si>
  <si>
    <t xml:space="preserve">Продаж педагогам в месяц на 36-м мес. (B2B через сады и школы)</t>
  </si>
  <si>
    <t xml:space="preserve">ОЦЕНКА. Обучение первой помощи педагогов обязательно (ст. 41 273-ФЗ) [ЮРИСТ]</t>
  </si>
  <si>
    <t xml:space="preserve">C_cac</t>
  </si>
  <si>
    <t xml:space="preserve">Маркетинг и продажи</t>
  </si>
  <si>
    <t xml:space="preserve">% валовой выручки</t>
  </si>
  <si>
    <t xml:space="preserve">C_team</t>
  </si>
  <si>
    <t xml:space="preserve">Методист и менеджер B2B</t>
  </si>
  <si>
    <t xml:space="preserve">C_capex</t>
  </si>
  <si>
    <t xml:space="preserve">Производство 4–6 программ (видео, тесты)</t>
  </si>
  <si>
    <t xml:space="preserve">ОЦЕНКА; свой продакшн</t>
  </si>
  <si>
    <t xml:space="preserve">C_k</t>
  </si>
  <si>
    <t xml:space="preserve">E. ПРОДАЖИ ОРГАНИЗАЦИЯМ (лицензия видеотеки + продакшн экспертного контента)</t>
  </si>
  <si>
    <t xml:space="preserve">E_lic_start</t>
  </si>
  <si>
    <t xml:space="preserve">Месяц первого лицензиата</t>
  </si>
  <si>
    <t xml:space="preserve">ОЦЕНКА: цикл сделки 4–9 мес.</t>
  </si>
  <si>
    <t xml:space="preserve">E_lic_n</t>
  </si>
  <si>
    <t xml:space="preserve">Лицензиатов на 36-м мес. (телемед, страховые, аптечные сети, работодатели)</t>
  </si>
  <si>
    <t xml:space="preserve">E_lic_price</t>
  </si>
  <si>
    <t xml:space="preserve">Лицензия видеотеки в год на клиента</t>
  </si>
  <si>
    <t xml:space="preserve">₽/год</t>
  </si>
  <si>
    <t xml:space="preserve">ОЦЕНКА; публичных прайсов нет</t>
  </si>
  <si>
    <t xml:space="preserve">E_ag_start</t>
  </si>
  <si>
    <t xml:space="preserve">Месяц первого клиента продакшна</t>
  </si>
  <si>
    <t xml:space="preserve">E_ag_n</t>
  </si>
  <si>
    <t xml:space="preserve">Клиентов продакшна (клиники, бренды без «веществ») на 36-м мес.</t>
  </si>
  <si>
    <t xml:space="preserve">E_ag_fee</t>
  </si>
  <si>
    <t xml:space="preserve">Абонентская плата продакшна</t>
  </si>
  <si>
    <t xml:space="preserve">E_ag_margin</t>
  </si>
  <si>
    <t xml:space="preserve">Маржа продакшна</t>
  </si>
  <si>
    <t xml:space="preserve">E_sales</t>
  </si>
  <si>
    <t xml:space="preserve">Менеджер по B2B</t>
  </si>
  <si>
    <t xml:space="preserve">E_capex</t>
  </si>
  <si>
    <t xml:space="preserve">Демо-ролики, презентация, договоры</t>
  </si>
  <si>
    <t xml:space="preserve">F. МИНИМУМ: SEO-ПОДБОРКИ И TELEGRAM-КАНАЛ ПОД OZON</t>
  </si>
  <si>
    <t xml:space="preserve">F_visits</t>
  </si>
  <si>
    <t xml:space="preserve">Визиты коммерческих подборок в месяц на 36-м мес.</t>
  </si>
  <si>
    <t xml:space="preserve">ОЦЕНКА: коммерческий интент, меньше Нейро</t>
  </si>
  <si>
    <t xml:space="preserve">F_ctr</t>
  </si>
  <si>
    <t xml:space="preserve">Доля визитов с кликом на Ozon</t>
  </si>
  <si>
    <t xml:space="preserve">ОЦЕНКА (подборки и обзоры)</t>
  </si>
  <si>
    <t xml:space="preserve">F_subs</t>
  </si>
  <si>
    <t xml:space="preserve">Подписчики канала находок на 36-м мес.</t>
  </si>
  <si>
    <t xml:space="preserve">F_click_sub</t>
  </si>
  <si>
    <t xml:space="preserve">Кликов на подписчика в месяц</t>
  </si>
  <si>
    <t xml:space="preserve">F_org</t>
  </si>
  <si>
    <t xml:space="preserve">Доля бесплатных подписчиков канала</t>
  </si>
  <si>
    <t xml:space="preserve">F_team</t>
  </si>
  <si>
    <t xml:space="preserve">Команда F отдельно</t>
  </si>
  <si>
    <t xml:space="preserve">ОЦЕНКА: 1 редактор + LLM + точечная проверка врачом</t>
  </si>
  <si>
    <t xml:space="preserve">F_incr</t>
  </si>
  <si>
    <t xml:space="preserve">Прирост затрат F поверх ядра (в комбинации R)</t>
  </si>
  <si>
    <t xml:space="preserve">F_capex</t>
  </si>
  <si>
    <t xml:space="preserve">Старт F</t>
  </si>
  <si>
    <t xml:space="preserve">F_k</t>
  </si>
  <si>
    <t xml:space="preserve">Сводка по моделям и сценариям (₽). Пересчитывается из листов моделей. 99 = не достигнуто за 36 мес.</t>
  </si>
  <si>
    <t xml:space="preserve">Модель</t>
  </si>
  <si>
    <t xml:space="preserve">Сценарий</t>
  </si>
  <si>
    <t xml:space="preserve">Выручка год 1</t>
  </si>
  <si>
    <t xml:space="preserve">Выручка год 2</t>
  </si>
  <si>
    <t xml:space="preserve">Выручка год 3</t>
  </si>
  <si>
    <t xml:space="preserve">Опер. прибыль год 3</t>
  </si>
  <si>
    <t xml:space="preserve">Опер. прибыль, мес. 36</t>
  </si>
  <si>
    <t xml:space="preserve">Макс. глубина минуса</t>
  </si>
  <si>
    <t xml:space="preserve">Накоплено за 36 мес</t>
  </si>
  <si>
    <t xml:space="preserve">Мес. устойчивой опер. прибыли</t>
  </si>
  <si>
    <t xml:space="preserve">Мес. окупаемости</t>
  </si>
  <si>
    <t xml:space="preserve">CAPEX+оборотка 36 мес</t>
  </si>
  <si>
    <t xml:space="preserve">A. Эскалатор → дропшиппинг</t>
  </si>
  <si>
    <t xml:space="preserve">D. Эскалатор + курсы/клуб (A+D)</t>
  </si>
  <si>
    <t xml:space="preserve">B. Свой бренд текстиля</t>
  </si>
  <si>
    <t xml:space="preserve">C. Обучение профи (НГУ)</t>
  </si>
  <si>
    <t xml:space="preserve">E. B2B: лицензия + продакшн</t>
  </si>
  <si>
    <t xml:space="preserve">F. Минимум: подборки + TG</t>
  </si>
  <si>
    <t xml:space="preserve">R. Комбо: ядро-лайт + C + E + F</t>
  </si>
  <si>
    <t xml:space="preserve">A. Полный эскалатор → трафик на свои карточки Ozon (дропшиппинг FBS)</t>
  </si>
  <si>
    <t xml:space="preserve">Реклама в TG продаётся только при ≥10 тыс. подписчиков (порог реестра РКН, 303-ФЗ: канал нужно зарегистрировать).</t>
  </si>
  <si>
    <t xml:space="preserve">Сценарий: Осторожный</t>
  </si>
  <si>
    <t xml:space="preserve">Месяц →</t>
  </si>
  <si>
    <t xml:space="preserve">Год 1</t>
  </si>
  <si>
    <t xml:space="preserve">Год 2</t>
  </si>
  <si>
    <t xml:space="preserve">Год 3</t>
  </si>
  <si>
    <t xml:space="preserve">Итого 36 мес</t>
  </si>
  <si>
    <t xml:space="preserve">visits</t>
  </si>
  <si>
    <t xml:space="preserve">Визиты сайта</t>
  </si>
  <si>
    <t xml:space="preserve">subs</t>
  </si>
  <si>
    <t xml:space="preserve">Подписчики Telegram (на конец мес.)</t>
  </si>
  <si>
    <t xml:space="preserve">clips</t>
  </si>
  <si>
    <t xml:space="preserve">Просмотры клипов</t>
  </si>
  <si>
    <t xml:space="preserve">clicks</t>
  </si>
  <si>
    <t xml:space="preserve">Клики на Ozon</t>
  </si>
  <si>
    <t xml:space="preserve">orders</t>
  </si>
  <si>
    <t xml:space="preserve">Заказы (с «эффектом Ozon»)</t>
  </si>
  <si>
    <t xml:space="preserve">rev</t>
  </si>
  <si>
    <t xml:space="preserve">Оборот на Ozon, ₽</t>
  </si>
  <si>
    <t xml:space="preserve">c_comm</t>
  </si>
  <si>
    <t xml:space="preserve">Маржа дропшиппинга</t>
  </si>
  <si>
    <t xml:space="preserve">c_rsya</t>
  </si>
  <si>
    <t xml:space="preserve">РСЯ на сайте</t>
  </si>
  <si>
    <t xml:space="preserve">c_tg</t>
  </si>
  <si>
    <t xml:space="preserve">Реклама в своём Telegram (за вычетом налога)</t>
  </si>
  <si>
    <t xml:space="preserve">contrib</t>
  </si>
  <si>
    <t xml:space="preserve">Маржинальный доход</t>
  </si>
  <si>
    <t xml:space="preserve">acq</t>
  </si>
  <si>
    <t xml:space="preserve">Покупка подписчиков Telegram</t>
  </si>
  <si>
    <t xml:space="preserve">fixed</t>
  </si>
  <si>
    <t xml:space="preserve">Постоянные расходы (команда)</t>
  </si>
  <si>
    <t xml:space="preserve">op</t>
  </si>
  <si>
    <t xml:space="preserve">Операционная прибыль (маржинальный доход − постоянные − привлечение)</t>
  </si>
  <si>
    <t xml:space="preserve">capex</t>
  </si>
  <si>
    <t xml:space="preserve">CAPEX и вложения в оборотку</t>
  </si>
  <si>
    <t xml:space="preserve">cf</t>
  </si>
  <si>
    <t xml:space="preserve">Денежный поток</t>
  </si>
  <si>
    <t xml:space="preserve">cum</t>
  </si>
  <si>
    <t xml:space="preserve">Накопленный денежный поток</t>
  </si>
  <si>
    <t xml:space="preserve">be_flag</t>
  </si>
  <si>
    <t xml:space="preserve">служебно: месяц устойчивой опер. прибыли</t>
  </si>
  <si>
    <t xml:space="preserve">pb_flag</t>
  </si>
  <si>
    <t xml:space="preserve">служебно: месяц окупаемости</t>
  </si>
  <si>
    <t xml:space="preserve">Сценарий: Базовый</t>
  </si>
  <si>
    <t xml:space="preserve">Сценарий: Оптимистичный</t>
  </si>
  <si>
    <t xml:space="preserve">D. Полный эскалатор + платные курсы и клуб для родителей (включает всю коммерцию A)</t>
  </si>
  <si>
    <t xml:space="preserve">contribA</t>
  </si>
  <si>
    <t xml:space="preserve">Маржинальный доход A (коммерция, РСЯ, TG)</t>
  </si>
  <si>
    <t xml:space="preserve">warm</t>
  </si>
  <si>
    <t xml:space="preserve">Тёплая база (TG + email/VK)</t>
  </si>
  <si>
    <t xml:space="preserve">course</t>
  </si>
  <si>
    <t xml:space="preserve">Выручка курсов (сглажено по месяцам)</t>
  </si>
  <si>
    <t xml:space="preserve">club</t>
  </si>
  <si>
    <t xml:space="preserve">Выручка клуба</t>
  </si>
  <si>
    <t xml:space="preserve">Выручка платных продуктов</t>
  </si>
  <si>
    <t xml:space="preserve">Маржинальный доход (A + продукты − комиссии, реклама запусков, налог)</t>
  </si>
  <si>
    <t xml:space="preserve">B. Private label: свой бренд детского текстиля на Ozon (контент — поддержка, а не двигатель)</t>
  </si>
  <si>
    <t xml:space="preserve">Запас: не меньше тиража (100 шт на SKU) либо B_inv месяцев продаж. Вложения в запас идут в CAPEX-строку.</t>
  </si>
  <si>
    <t xml:space="preserve">units</t>
  </si>
  <si>
    <t xml:space="preserve">Продажи, шт</t>
  </si>
  <si>
    <t xml:space="preserve">Выручка на Ozon, ₽</t>
  </si>
  <si>
    <t xml:space="preserve">unit_cm</t>
  </si>
  <si>
    <t xml:space="preserve">Маржа на единицу, ₽</t>
  </si>
  <si>
    <t xml:space="preserve">Внешнее привлечение (учтено в ДРР)</t>
  </si>
  <si>
    <t xml:space="preserve">sku</t>
  </si>
  <si>
    <t xml:space="preserve">Активных SKU</t>
  </si>
  <si>
    <t xml:space="preserve">inv</t>
  </si>
  <si>
    <t xml:space="preserve">Запас на складе по себестоимости</t>
  </si>
  <si>
    <t xml:space="preserve">C. Обучение профессионалов: ДПО/НМО для медсестёр и педиатров + «первая помощь детям» для педагогов (лицензия НГУ, доля выручки)</t>
  </si>
  <si>
    <t xml:space="preserve">n_pro</t>
  </si>
  <si>
    <t xml:space="preserve">Продажи медработникам, шт</t>
  </si>
  <si>
    <t xml:space="preserve">n_ped</t>
  </si>
  <si>
    <t xml:space="preserve">Продажи педагогам, шт</t>
  </si>
  <si>
    <t xml:space="preserve">gross</t>
  </si>
  <si>
    <t xml:space="preserve">Валовая выручка программ (вся, вкл. долю НГУ)</t>
  </si>
  <si>
    <t xml:space="preserve">Выручка владельца (его доля)</t>
  </si>
  <si>
    <t xml:space="preserve">Маржинальный доход (доля − налог)</t>
  </si>
  <si>
    <t xml:space="preserve">E. Продажи организациям: лицензия видеотеки экспертов + продакшн медконтента (стоит на урезанном ядре)</t>
  </si>
  <si>
    <t xml:space="preserve">n_lic</t>
  </si>
  <si>
    <t xml:space="preserve">Лицензиатов видеотеки</t>
  </si>
  <si>
    <t xml:space="preserve">n_ag</t>
  </si>
  <si>
    <t xml:space="preserve">Клиентов продакшна</t>
  </si>
  <si>
    <t xml:space="preserve">Выручка B2B</t>
  </si>
  <si>
    <t xml:space="preserve">Маржинальный доход (лицензии − налог + маржа продакшна)</t>
  </si>
  <si>
    <t xml:space="preserve">Привлечение (в зарплате менеджера)</t>
  </si>
  <si>
    <t xml:space="preserve">F. Минимум без эскалатора: коммерческие SEO-подборки + Telegram-канал находок → свои карточки Ozon</t>
  </si>
  <si>
    <t xml:space="preserve">Визиты коммерческих подборок</t>
  </si>
  <si>
    <t xml:space="preserve">Подписчики канала находок</t>
  </si>
  <si>
    <t xml:space="preserve">Заказы</t>
  </si>
  <si>
    <t xml:space="preserve">Маржинальный доход (маржа дропшиппинга + РСЯ)</t>
  </si>
  <si>
    <t xml:space="preserve">Покупка подписчиков</t>
  </si>
  <si>
    <t xml:space="preserve">R (рекомендуемая комбинация). Урезанное ядро + C (обучение профи) + E (B2B) + F (подборки под Ozon)</t>
  </si>
  <si>
    <t xml:space="preserve">Общие расходы ядра считаются один раз. B (свой бренд) — отдельная ставка после теста, в R не включена.</t>
  </si>
  <si>
    <t xml:space="preserve">rF</t>
  </si>
  <si>
    <t xml:space="preserve">Оборот F на Ozon</t>
  </si>
  <si>
    <t xml:space="preserve">rC</t>
  </si>
  <si>
    <t xml:space="preserve">Выручка C (доля владельца)</t>
  </si>
  <si>
    <t xml:space="preserve">rE</t>
  </si>
  <si>
    <t xml:space="preserve">Выручка E</t>
  </si>
  <si>
    <t xml:space="preserve">Выручка владельца (без оборота F)</t>
  </si>
  <si>
    <t xml:space="preserve">Маржинальный доход F + C + E</t>
  </si>
  <si>
    <t xml:space="preserve">Привлечение: подписчики F + маркетинг C</t>
  </si>
  <si>
    <t xml:space="preserve">Чувствительность (базовый сценарий; значения посчитаны пересчётом модели, статичны). Порог = значение, при котором опер. прибыль 3-го года = 0 (линейная оценка).</t>
  </si>
  <si>
    <t xml:space="preserve">Переменная</t>
  </si>
  <si>
    <t xml:space="preserve">База</t>
  </si>
  <si>
    <t xml:space="preserve">Опер. прибыль Y3 при ×0,5</t>
  </si>
  <si>
    <t xml:space="preserve">×0,75</t>
  </si>
  <si>
    <t xml:space="preserve">×1 (база)</t>
  </si>
  <si>
    <t xml:space="preserve">×1,25</t>
  </si>
  <si>
    <t xml:space="preserve">×1,5</t>
  </si>
  <si>
    <t xml:space="preserve">Порог: опер. прибыль Y3 = 0</t>
  </si>
  <si>
    <t xml:space="preserve">Порог: накоплено за 36 мес = 0</t>
  </si>
  <si>
    <t xml:space="preserve">R_комбо</t>
  </si>
  <si>
    <t xml:space="preserve">A_дропшиппинг</t>
  </si>
  <si>
    <t xml:space="preserve">D_курсы_родителям</t>
  </si>
  <si>
    <t xml:space="preserve">B_свой_бренд</t>
  </si>
  <si>
    <t xml:space="preserve">C_обучение_профи</t>
  </si>
  <si>
    <t xml:space="preserve">F_минимум</t>
  </si>
  <si>
    <t xml:space="preserve">Факт</t>
  </si>
  <si>
    <t xml:space="preserve">Источник</t>
  </si>
  <si>
    <t xml:space="preserve">URL</t>
  </si>
  <si>
    <t xml:space="preserve">Рождения 2024: 1 222,4 тыс. (−3,4% г/г); 2023: 1 264,9 тыс.</t>
  </si>
  <si>
    <t xml:space="preserve">Росстат через «Вечерняя Казань»</t>
  </si>
  <si>
    <t xml:space="preserve">https://evening-kazan.ru/obshhestvo/news/v-rossii-snizilos-chislo-rodivshihsya-i-vyroslo-chislo-umershih</t>
  </si>
  <si>
    <t xml:space="preserve">I кв. 2025: 288,8 тыс. рождений (−11,5% г/г); оценка года ~1,08 млн; Росстат сократил публикацию демографии</t>
  </si>
  <si>
    <t xml:space="preserve">Т—Ж; Новая газета Европа; The Moscow Times</t>
  </si>
  <si>
    <t xml:space="preserve">https://t-j.ru/fertility-stat/</t>
  </si>
  <si>
    <t xml:space="preserve">Ozon с 06.04.2026 поднял комиссии: одежда, обувь, детские товары около 50%, до 55% для части товаров</t>
  </si>
  <si>
    <t xml:space="preserve">Коммерсантъ</t>
  </si>
  <si>
    <t xml:space="preserve">https://www.kommersant.ru/doc/8401352</t>
  </si>
  <si>
    <t xml:space="preserve">Одежда FBO 43–48% (ранее не выше 36%); детские товары частично 50%</t>
  </si>
  <si>
    <t xml:space="preserve">RB.ru со ссылкой на РБК</t>
  </si>
  <si>
    <t xml:space="preserve">https://rb.ru/news/ozon-snova-povysit-komissii-s-aprelya-2026-go-tarify-marketplejsa-na-nekotorye-tovary-vyrastut-srazu-v-dva-raza/</t>
  </si>
  <si>
    <t xml:space="preserve">Одежда 55% → 52% с 28.08.2026; дешёвые товары 20–26%</t>
  </si>
  <si>
    <t xml:space="preserve">Selsup</t>
  </si>
  <si>
    <t xml:space="preserve">https://selsup.ru/blog/izmeneniya-tarifov-ozon-s-28-avgusta-2026-logistika-voznagrazhdenie-i-kgt/</t>
  </si>
  <si>
    <t xml:space="preserve">Медианы 2026: одежда FBS 54%, детские товары FBO ~47%</t>
  </si>
  <si>
    <t xml:space="preserve">Sellerblog</t>
  </si>
  <si>
    <t xml:space="preserve">https://sellerblog.ru/komissii-marketpleysov-sravnenie/</t>
  </si>
  <si>
    <t xml:space="preserve">Рост комиссий Ozon компенсирует снижением логистики</t>
  </si>
  <si>
    <t xml:space="preserve">Oborot.ru</t>
  </si>
  <si>
    <t xml:space="preserve">https://oborot.ru/news/s-aprelya-ozon-snova-povyshaet-komissii-sobiraetsya-kompensirovat-rost-zatrat-snizheniem-rascenok-na-logistiku-no-pomozhet-li-eto-i263050.html</t>
  </si>
  <si>
    <t xml:space="preserve">10 ₽ за отправление с 29.09.2026; логистика по маршруту с 30.10.2026</t>
  </si>
  <si>
    <t xml:space="preserve">https://selsup.ru/blog/tarify-ozon-logistika-po-marshrutu/</t>
  </si>
  <si>
    <t xml:space="preserve">Ozon Blogger: вознаграждение до 50% в зависимости от категории, выплаты 2 раза в месяц; бета для Telegram (дек. 2025), расширение на VK и MAX (2026)</t>
  </si>
  <si>
    <t xml:space="preserve">Oborot.ru; Sostav; РБК Стиль; click.ru</t>
  </si>
  <si>
    <t xml:space="preserve">https://oborot.ru/news/ozon-zapustil-referalnuyu-programmu-dlya-blogerov-telegram-kak-ona-rabotaet-i-komu-uzhe-dostupna-i259549.html</t>
  </si>
  <si>
    <t xml:space="preserve">«Бонусы за пост» (17.02–31.03.2025): селлеру 3,2–34 тыс. баллов за пост в TG, 8–60 тыс. во VK</t>
  </si>
  <si>
    <t xml:space="preserve">ComNews; click.ru</t>
  </si>
  <si>
    <t xml:space="preserve">https://www.comnews.ru/content/237835/2025-02-18/2025-w08/1010/ozon-zapustil-programmu-monetizacii-trafika-blogerov</t>
  </si>
  <si>
    <t xml:space="preserve">Год авторского контента на Ozon: 9,5 млн выкупленных заказов, 22 тыс. продавцов, 700 тыс. шопсов</t>
  </si>
  <si>
    <t xml:space="preserve">Москвич Mag (пресс-материал Ozon)</t>
  </si>
  <si>
    <t xml:space="preserve">https://moskvichmag.ru/gorod/tsifra-dnya-bolee-95-mln-zakazov-poluchili-prodavtsy-ozon-cherez-reklamu-u-blogerov/</t>
  </si>
  <si>
    <t xml:space="preserve">E-com 2025: 8,3 млрд заказов, 13,4 трлн ₽, доля маркетплейсов 81% заказов</t>
  </si>
  <si>
    <t xml:space="preserve">Data Insight через Selsup</t>
  </si>
  <si>
    <t xml:space="preserve">https://selsup.ru/blog/rynok-e-commerce-v-2025-godu-8-3-mlrd-zakazov-minimalnyj-rost-za-8-let-i-dolya-marketplejsov-81/</t>
  </si>
  <si>
    <t xml:space="preserve">Рынок детских товаров 2025: прогноз до 4,55 трлн ₽ (+15–16,7%); первоисточник не назван</t>
  </si>
  <si>
    <t xml:space="preserve">Retail.ru</t>
  </si>
  <si>
    <t xml:space="preserve">https://www.retail.ru/news/rynok-detskikh-tovarov-v-rossii-mozhet-prevysit-4-5-trln-rubley-po-itogam-2025-g-1-oktyabrya-2025-269672/</t>
  </si>
  <si>
    <t xml:space="preserve">Стоимость подписчика TG по тематикам: 40–800 ₽; дети и родители 120–600 ₽ (нативные посевы)</t>
  </si>
  <si>
    <t xml:space="preserve">ppc.world; обзор в выдаче</t>
  </si>
  <si>
    <t xml:space="preserve">https://ppc.world/articles/skolko-stoit-podpischik-v-telegram-obzor-50-tematik/</t>
  </si>
  <si>
    <t xml:space="preserve">Канал ~50k: 3–10 тыс. ₽ за пост; CPM мем-каналов 150–200 ₽, IT 1–2 тыс. ₽</t>
  </si>
  <si>
    <t xml:space="preserve">Точка; Tele-scope</t>
  </si>
  <si>
    <t xml:space="preserve">https://reklama.tochka.com/blog/reklama-v-telegram-u-blogerov</t>
  </si>
  <si>
    <t xml:space="preserve">Цены посевов +38% (янв. 2024 → янв. 2025); каналы 30–50k подорожали более чем вдвое в 2025</t>
  </si>
  <si>
    <t xml:space="preserve">eLama; ppc.world</t>
  </si>
  <si>
    <t xml:space="preserve">https://ppc.world/news/stoimost-reklamnyh-postov-v-telegram-kanalah-vyrosla-pochti-v-3-raza-za-mesyac/</t>
  </si>
  <si>
    <t xml:space="preserve">303-ФЗ: каналы от 10 тыс. подписчиков регистрируются в РКН; с 01.01.2025 реклама только в зарегистрированных</t>
  </si>
  <si>
    <t xml:space="preserve">ppc.world</t>
  </si>
  <si>
    <t xml:space="preserve">https://ppc.world/articles/obyazatelnaya-registraciya-blogerov-v-reestre-rkn-10-glavnyh-voprosov-yuristam/</t>
  </si>
  <si>
    <t xml:space="preserve">С 01.09.2025 запрещена реклама на ресурсах экстремистских и нежелательных организаций (Meta); штрафы юрлицам 100–500 тыс. ₽</t>
  </si>
  <si>
    <t xml:space="preserve">РБК; Т—Ж; Unisender</t>
  </si>
  <si>
    <t xml:space="preserve">https://rbc.ru/society/07/04/2025/67f3c1569a79478b85f9f1ec</t>
  </si>
  <si>
    <t xml:space="preserve">Информационные сайты потеряли ~30% органики из-за нейроответов; нейроответ на 27% запросов; инфо-трафик −15…−60%</t>
  </si>
  <si>
    <t xml:space="preserve">Kokoc Group через ppc.world; Коммерсантъ; Timeweb</t>
  </si>
  <si>
    <t xml:space="preserve">https://timeweb.com/ru/community/articles/pozicii-est-trafika-net-kak-neyrootvety-yandeksa-menyayut-seo-i-chto-s-etim-delat</t>
  </si>
  <si>
    <t xml:space="preserve">Врачей ~558 тыс. (2025)</t>
  </si>
  <si>
    <t xml:space="preserve">Минздрав (Мурашко) через Эксперт / The Moscow Times</t>
  </si>
  <si>
    <t xml:space="preserve">https://expert.ru/news/mikhail-murashko-otsenil-defitsit-vrachey-v-rossii-v-23-tys-chelovek/</t>
  </si>
  <si>
    <t xml:space="preserve">Курс «Сестринское дело» 144 ч дистанционно: 29 900 ₽</t>
  </si>
  <si>
    <t xml:space="preserve">kedu.ru</t>
  </si>
  <si>
    <t xml:space="preserve">https://kedu.ru/obuchenie/sestrinskoe-delo-144-chasa-154212/</t>
  </si>
  <si>
    <t xml:space="preserve">Курсы по неонатологии для врачей с НМО: 39 910–54 980 ₽</t>
  </si>
  <si>
    <t xml:space="preserve">checkroi.ru</t>
  </si>
  <si>
    <t xml:space="preserve">https://checkroi.ru/courses/navyk/neonatologiya/</t>
  </si>
  <si>
    <t xml:space="preserve">Более 10 тыс. ИОМ на портале НМО; часть организаций продаёт устаревший контент</t>
  </si>
  <si>
    <t xml:space="preserve">GxP News (Балкизов, 09.2025)</t>
  </si>
  <si>
    <t xml:space="preserve">https://gxpnews.net/2025/09/zalim-balkizov-ryad-obrazovatelnyh-organizaczij-prodayut-prosrochennyj-kontent/</t>
  </si>
  <si>
    <t xml:space="preserve">Обязательная маркировка детской одежды с 01.03.2025; игрушки с 01.09.2025 (ПП № 819)</t>
  </si>
  <si>
    <t xml:space="preserve">честныйзнак.рф; markirovka.ru</t>
  </si>
  <si>
    <t xml:space="preserve">https://xn--90aivcdt6dxbc.xn--p1ai/articles/news/startovala-obyazatelnaya-markirovka-detskoy-odezhdy-i-nizhnego-belya/</t>
  </si>
  <si>
    <t xml:space="preserve">Пошив в Иваново: 300–1 500 ₽/ед., тираж от 100 шт. на модель</t>
  </si>
  <si>
    <t xml:space="preserve">Uniseller</t>
  </si>
  <si>
    <t xml:space="preserve">https://uniseller.io/blog/svoj-brend-odezhdy-na-marketplejsah</t>
  </si>
  <si>
    <t xml:space="preserve">«Детский мир»: собственные марки 98,8% выручки в одежде и обуви</t>
  </si>
  <si>
    <t xml:space="preserve">corp.detmir.ru</t>
  </si>
  <si>
    <t xml:space="preserve">https://corp.detmir.ru/en/?p=1270</t>
  </si>
  <si>
    <t xml:space="preserve">С 2026 корпоративные выплаты при рождении ребёнка до 1 млн ₽ не облагаются НДФЛ; 41% компаний доплачивают к пособию по беременности (в среднем 280 тыс. ₽)</t>
  </si>
  <si>
    <t xml:space="preserve">Госуслуги; V2B (05.2026)</t>
  </si>
  <si>
    <t xml:space="preserve">https://www.v2b.ru/2026/05/12/sorok-odin-protsent-kompaniy-v-rossii-predlagaet-sotrudnikam-doplaty/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</si>
</sst>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0%"/>
    <numFmt numFmtId="168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9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" hidden="false" customHeight="false" outlineLevel="0" collapsed="false">
      <c r="B3" s="1" t="s">
        <v>9</v>
      </c>
    </row>
    <row r="4" customFormat="false" ht="15" hidden="false" customHeight="false" outlineLevel="0" collapsed="false">
      <c r="A4" s="0" t="s">
        <v>10</v>
      </c>
      <c r="B4" s="0" t="s">
        <v>11</v>
      </c>
      <c r="C4" s="2" t="n">
        <v>1300</v>
      </c>
      <c r="D4" s="2" t="n">
        <v>1600</v>
      </c>
      <c r="E4" s="2" t="n">
        <v>2000</v>
      </c>
      <c r="F4" s="3" t="s">
        <v>12</v>
      </c>
      <c r="G4" s="3" t="s">
        <v>13</v>
      </c>
      <c r="H4" s="3" t="s">
        <v>14</v>
      </c>
    </row>
    <row r="5" customFormat="false" ht="15" hidden="false" customHeight="false" outlineLevel="0" collapsed="false">
      <c r="A5" s="0" t="s">
        <v>15</v>
      </c>
      <c r="B5" s="0" t="s">
        <v>16</v>
      </c>
      <c r="C5" s="4" t="n">
        <v>0.08</v>
      </c>
      <c r="D5" s="4" t="n">
        <v>0.12</v>
      </c>
      <c r="E5" s="4" t="n">
        <v>0.18</v>
      </c>
      <c r="F5" s="3" t="s">
        <v>17</v>
      </c>
      <c r="G5" s="3" t="s">
        <v>18</v>
      </c>
      <c r="H5" s="3" t="s">
        <v>19</v>
      </c>
    </row>
    <row r="6" customFormat="false" ht="15" hidden="false" customHeight="false" outlineLevel="0" collapsed="false">
      <c r="A6" s="0" t="s">
        <v>20</v>
      </c>
      <c r="B6" s="0" t="s">
        <v>21</v>
      </c>
      <c r="C6" s="4" t="n">
        <v>0.02</v>
      </c>
      <c r="D6" s="4" t="n">
        <v>0.035</v>
      </c>
      <c r="E6" s="4" t="n">
        <v>0.05</v>
      </c>
      <c r="F6" s="3" t="s">
        <v>22</v>
      </c>
      <c r="G6" s="3" t="s">
        <v>23</v>
      </c>
      <c r="H6" s="3" t="s">
        <v>19</v>
      </c>
    </row>
    <row r="7" customFormat="false" ht="15" hidden="false" customHeight="false" outlineLevel="0" collapsed="false">
      <c r="A7" s="0" t="s">
        <v>24</v>
      </c>
      <c r="B7" s="0" t="s">
        <v>25</v>
      </c>
      <c r="C7" s="5" t="n">
        <v>1</v>
      </c>
      <c r="D7" s="5" t="n">
        <v>1.15</v>
      </c>
      <c r="E7" s="5" t="n">
        <v>1.5</v>
      </c>
      <c r="F7" s="3" t="s">
        <v>26</v>
      </c>
      <c r="G7" s="3" t="s">
        <v>27</v>
      </c>
      <c r="H7" s="3" t="s">
        <v>19</v>
      </c>
    </row>
    <row r="8" customFormat="false" ht="15" hidden="false" customHeight="false" outlineLevel="0" collapsed="false">
      <c r="A8" s="0" t="s">
        <v>28</v>
      </c>
      <c r="B8" s="0" t="s">
        <v>29</v>
      </c>
      <c r="C8" s="5" t="n">
        <v>40</v>
      </c>
      <c r="D8" s="5" t="n">
        <v>80</v>
      </c>
      <c r="E8" s="5" t="n">
        <v>150</v>
      </c>
      <c r="F8" s="3" t="s">
        <v>12</v>
      </c>
      <c r="G8" s="3" t="s">
        <v>30</v>
      </c>
      <c r="H8" s="3" t="s">
        <v>19</v>
      </c>
    </row>
    <row r="9" customFormat="false" ht="15" hidden="false" customHeight="false" outlineLevel="0" collapsed="false">
      <c r="A9" s="0" t="s">
        <v>31</v>
      </c>
      <c r="B9" s="0" t="s">
        <v>32</v>
      </c>
      <c r="C9" s="5" t="n">
        <v>300</v>
      </c>
      <c r="D9" s="5" t="n">
        <v>180</v>
      </c>
      <c r="E9" s="5" t="n">
        <v>100</v>
      </c>
      <c r="F9" s="3" t="s">
        <v>12</v>
      </c>
      <c r="G9" s="3" t="s">
        <v>33</v>
      </c>
      <c r="H9" s="3" t="s">
        <v>14</v>
      </c>
    </row>
    <row r="10" customFormat="false" ht="15" hidden="false" customHeight="false" outlineLevel="0" collapsed="false">
      <c r="A10" s="0" t="s">
        <v>34</v>
      </c>
      <c r="B10" s="0" t="s">
        <v>35</v>
      </c>
      <c r="C10" s="5" t="n">
        <v>300</v>
      </c>
      <c r="D10" s="5" t="n">
        <v>500</v>
      </c>
      <c r="E10" s="5" t="n">
        <v>700</v>
      </c>
      <c r="F10" s="3" t="s">
        <v>12</v>
      </c>
      <c r="G10" s="3" t="s">
        <v>36</v>
      </c>
      <c r="H10" s="3" t="s">
        <v>14</v>
      </c>
    </row>
    <row r="11" customFormat="false" ht="15" hidden="false" customHeight="false" outlineLevel="0" collapsed="false">
      <c r="A11" s="0" t="s">
        <v>37</v>
      </c>
      <c r="B11" s="0" t="s">
        <v>38</v>
      </c>
      <c r="C11" s="4" t="n">
        <v>0.22</v>
      </c>
      <c r="D11" s="4" t="n">
        <v>0.28</v>
      </c>
      <c r="E11" s="4" t="n">
        <v>0.35</v>
      </c>
      <c r="F11" s="3" t="s">
        <v>22</v>
      </c>
      <c r="G11" s="3" t="s">
        <v>39</v>
      </c>
      <c r="H11" s="3" t="s">
        <v>14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5" t="n">
        <v>4</v>
      </c>
      <c r="D12" s="5" t="n">
        <v>8</v>
      </c>
      <c r="E12" s="5" t="n">
        <v>12</v>
      </c>
      <c r="F12" s="3" t="s">
        <v>42</v>
      </c>
      <c r="G12" s="3" t="s">
        <v>43</v>
      </c>
      <c r="H12" s="3" t="s">
        <v>14</v>
      </c>
    </row>
    <row r="13" customFormat="false" ht="15" hidden="false" customHeight="false" outlineLevel="0" collapsed="false">
      <c r="A13" s="0" t="s">
        <v>44</v>
      </c>
      <c r="B13" s="0" t="s">
        <v>45</v>
      </c>
      <c r="C13" s="4" t="n">
        <v>0.2</v>
      </c>
      <c r="D13" s="4" t="n">
        <v>0.4</v>
      </c>
      <c r="E13" s="4" t="n">
        <v>0.6</v>
      </c>
      <c r="F13" s="3" t="s">
        <v>22</v>
      </c>
      <c r="G13" s="3" t="s">
        <v>46</v>
      </c>
      <c r="H13" s="3" t="s">
        <v>19</v>
      </c>
    </row>
    <row r="14" customFormat="false" ht="15" hidden="false" customHeight="false" outlineLevel="0" collapsed="false">
      <c r="A14" s="0" t="s">
        <v>47</v>
      </c>
      <c r="B14" s="0" t="s">
        <v>48</v>
      </c>
      <c r="C14" s="4" t="n">
        <v>0.06</v>
      </c>
      <c r="D14" s="4" t="n">
        <v>0.06</v>
      </c>
      <c r="E14" s="4" t="n">
        <v>0.06</v>
      </c>
      <c r="F14" s="3" t="s">
        <v>22</v>
      </c>
      <c r="G14" s="3" t="s">
        <v>49</v>
      </c>
      <c r="H14" s="3" t="s">
        <v>14</v>
      </c>
    </row>
    <row r="15" customFormat="false" ht="15" hidden="false" customHeight="false" outlineLevel="0" collapsed="false">
      <c r="B15" s="1" t="s">
        <v>50</v>
      </c>
    </row>
    <row r="16" customFormat="false" ht="15" hidden="false" customHeight="false" outlineLevel="0" collapsed="false">
      <c r="A16" s="0" t="s">
        <v>51</v>
      </c>
      <c r="B16" s="0" t="s">
        <v>52</v>
      </c>
      <c r="C16" s="2" t="n">
        <v>480000</v>
      </c>
      <c r="D16" s="2" t="n">
        <v>420000</v>
      </c>
      <c r="E16" s="2" t="n">
        <v>360000</v>
      </c>
      <c r="F16" s="3" t="s">
        <v>53</v>
      </c>
      <c r="G16" s="3" t="s">
        <v>54</v>
      </c>
      <c r="H16" s="3" t="s">
        <v>14</v>
      </c>
    </row>
    <row r="17" customFormat="false" ht="15" hidden="false" customHeight="false" outlineLevel="0" collapsed="false">
      <c r="A17" s="0" t="s">
        <v>55</v>
      </c>
      <c r="B17" s="0" t="s">
        <v>56</v>
      </c>
      <c r="C17" s="2" t="n">
        <v>220000</v>
      </c>
      <c r="D17" s="2" t="n">
        <v>180000</v>
      </c>
      <c r="E17" s="2" t="n">
        <v>150000</v>
      </c>
      <c r="F17" s="3" t="s">
        <v>53</v>
      </c>
      <c r="G17" s="3" t="s">
        <v>57</v>
      </c>
      <c r="H17" s="3" t="s">
        <v>14</v>
      </c>
    </row>
    <row r="18" customFormat="false" ht="15" hidden="false" customHeight="false" outlineLevel="0" collapsed="false">
      <c r="A18" s="0" t="s">
        <v>58</v>
      </c>
      <c r="B18" s="0" t="s">
        <v>59</v>
      </c>
      <c r="C18" s="2" t="n">
        <v>600000</v>
      </c>
      <c r="D18" s="2" t="n">
        <v>400000</v>
      </c>
      <c r="E18" s="2" t="n">
        <v>300000</v>
      </c>
      <c r="F18" s="3" t="s">
        <v>12</v>
      </c>
      <c r="G18" s="3" t="s">
        <v>60</v>
      </c>
      <c r="H18" s="3" t="s">
        <v>14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2" t="n">
        <v>250000</v>
      </c>
      <c r="D19" s="2" t="n">
        <v>150000</v>
      </c>
      <c r="E19" s="2" t="n">
        <v>100000</v>
      </c>
      <c r="F19" s="3" t="s">
        <v>12</v>
      </c>
      <c r="G19" s="3" t="s">
        <v>46</v>
      </c>
      <c r="H19" s="3" t="s">
        <v>14</v>
      </c>
    </row>
    <row r="20" customFormat="false" ht="15" hidden="false" customHeight="false" outlineLevel="0" collapsed="false">
      <c r="B20" s="1" t="s">
        <v>63</v>
      </c>
    </row>
    <row r="21" customFormat="false" ht="15" hidden="false" customHeight="false" outlineLevel="0" collapsed="false">
      <c r="A21" s="0" t="s">
        <v>64</v>
      </c>
      <c r="B21" s="0" t="s">
        <v>65</v>
      </c>
      <c r="C21" s="2" t="n">
        <v>60000</v>
      </c>
      <c r="D21" s="2" t="n">
        <v>150000</v>
      </c>
      <c r="E21" s="2" t="n">
        <v>400000</v>
      </c>
      <c r="F21" s="3" t="s">
        <v>66</v>
      </c>
      <c r="G21" s="3" t="s">
        <v>67</v>
      </c>
      <c r="H21" s="3" t="s">
        <v>19</v>
      </c>
    </row>
    <row r="22" customFormat="false" ht="15" hidden="false" customHeight="false" outlineLevel="0" collapsed="false">
      <c r="A22" s="0" t="s">
        <v>68</v>
      </c>
      <c r="B22" s="0" t="s">
        <v>69</v>
      </c>
      <c r="C22" s="2" t="n">
        <v>10000</v>
      </c>
      <c r="D22" s="2" t="n">
        <v>25000</v>
      </c>
      <c r="E22" s="2" t="n">
        <v>60000</v>
      </c>
      <c r="F22" s="3" t="s">
        <v>70</v>
      </c>
      <c r="G22" s="3" t="s">
        <v>71</v>
      </c>
      <c r="H22" s="3" t="s">
        <v>19</v>
      </c>
    </row>
    <row r="23" customFormat="false" ht="15" hidden="false" customHeight="false" outlineLevel="0" collapsed="false">
      <c r="A23" s="0" t="s">
        <v>72</v>
      </c>
      <c r="B23" s="0" t="s">
        <v>73</v>
      </c>
      <c r="C23" s="2" t="n">
        <v>2000000</v>
      </c>
      <c r="D23" s="2" t="n">
        <v>6000000</v>
      </c>
      <c r="E23" s="2" t="n">
        <v>15000000</v>
      </c>
      <c r="F23" s="3" t="s">
        <v>74</v>
      </c>
      <c r="G23" s="3" t="s">
        <v>75</v>
      </c>
      <c r="H23" s="3" t="s">
        <v>19</v>
      </c>
    </row>
    <row r="24" customFormat="false" ht="15" hidden="false" customHeight="false" outlineLevel="0" collapsed="false">
      <c r="A24" s="0" t="s">
        <v>76</v>
      </c>
      <c r="B24" s="0" t="s">
        <v>77</v>
      </c>
      <c r="C24" s="4" t="n">
        <v>0.005</v>
      </c>
      <c r="D24" s="4" t="n">
        <v>0.012</v>
      </c>
      <c r="E24" s="4" t="n">
        <v>0.025</v>
      </c>
      <c r="F24" s="3" t="s">
        <v>22</v>
      </c>
      <c r="G24" s="3" t="s">
        <v>78</v>
      </c>
      <c r="H24" s="3" t="s">
        <v>19</v>
      </c>
    </row>
    <row r="25" customFormat="false" ht="15" hidden="false" customHeight="false" outlineLevel="0" collapsed="false">
      <c r="A25" s="0" t="s">
        <v>79</v>
      </c>
      <c r="B25" s="0" t="s">
        <v>80</v>
      </c>
      <c r="C25" s="5" t="n">
        <v>0.15</v>
      </c>
      <c r="D25" s="5" t="n">
        <v>0.3</v>
      </c>
      <c r="E25" s="5" t="n">
        <v>0.6</v>
      </c>
      <c r="F25" s="3" t="s">
        <v>81</v>
      </c>
      <c r="G25" s="3" t="s">
        <v>46</v>
      </c>
      <c r="H25" s="3" t="s">
        <v>19</v>
      </c>
    </row>
    <row r="26" customFormat="false" ht="15" hidden="false" customHeight="false" outlineLevel="0" collapsed="false">
      <c r="A26" s="0" t="s">
        <v>82</v>
      </c>
      <c r="B26" s="0" t="s">
        <v>83</v>
      </c>
      <c r="C26" s="6" t="n">
        <v>0.0001</v>
      </c>
      <c r="D26" s="6" t="n">
        <v>0.0003</v>
      </c>
      <c r="E26" s="6" t="n">
        <v>0.0005</v>
      </c>
      <c r="F26" s="3" t="s">
        <v>22</v>
      </c>
      <c r="G26" s="3" t="s">
        <v>84</v>
      </c>
      <c r="H26" s="3" t="s">
        <v>19</v>
      </c>
    </row>
    <row r="27" customFormat="false" ht="15" hidden="false" customHeight="false" outlineLevel="0" collapsed="false">
      <c r="A27" s="0" t="s">
        <v>85</v>
      </c>
      <c r="B27" s="0" t="s">
        <v>86</v>
      </c>
      <c r="C27" s="5" t="n">
        <v>3</v>
      </c>
      <c r="D27" s="5" t="n">
        <v>3</v>
      </c>
      <c r="E27" s="5" t="n">
        <v>2</v>
      </c>
      <c r="F27" s="3" t="s">
        <v>87</v>
      </c>
      <c r="G27" s="3" t="s">
        <v>46</v>
      </c>
      <c r="H27" s="3" t="s">
        <v>14</v>
      </c>
    </row>
    <row r="28" customFormat="false" ht="15" hidden="false" customHeight="false" outlineLevel="0" collapsed="false">
      <c r="A28" s="0" t="s">
        <v>88</v>
      </c>
      <c r="B28" s="0" t="s">
        <v>89</v>
      </c>
      <c r="C28" s="5" t="n">
        <v>1.5</v>
      </c>
      <c r="D28" s="5" t="n">
        <v>1.3</v>
      </c>
      <c r="E28" s="5" t="n">
        <v>1.1</v>
      </c>
      <c r="G28" s="3" t="s">
        <v>46</v>
      </c>
      <c r="H28" s="3" t="s">
        <v>14</v>
      </c>
    </row>
    <row r="29" customFormat="false" ht="15" hidden="false" customHeight="false" outlineLevel="0" collapsed="false">
      <c r="B29" s="1" t="s">
        <v>90</v>
      </c>
    </row>
    <row r="30" customFormat="false" ht="15" hidden="false" customHeight="false" outlineLevel="0" collapsed="false">
      <c r="A30" s="0" t="s">
        <v>91</v>
      </c>
      <c r="B30" s="0" t="s">
        <v>92</v>
      </c>
      <c r="C30" s="5" t="n">
        <v>12</v>
      </c>
      <c r="D30" s="5" t="n">
        <v>9</v>
      </c>
      <c r="E30" s="5" t="n">
        <v>7</v>
      </c>
      <c r="F30" s="3" t="s">
        <v>87</v>
      </c>
      <c r="G30" s="3" t="s">
        <v>46</v>
      </c>
      <c r="H30" s="3" t="s">
        <v>14</v>
      </c>
    </row>
    <row r="31" customFormat="false" ht="15" hidden="false" customHeight="false" outlineLevel="0" collapsed="false">
      <c r="A31" s="0" t="s">
        <v>93</v>
      </c>
      <c r="B31" s="0" t="s">
        <v>94</v>
      </c>
      <c r="C31" s="2" t="n">
        <v>1900</v>
      </c>
      <c r="D31" s="2" t="n">
        <v>2900</v>
      </c>
      <c r="E31" s="2" t="n">
        <v>3900</v>
      </c>
      <c r="F31" s="3" t="s">
        <v>12</v>
      </c>
      <c r="G31" s="3" t="s">
        <v>95</v>
      </c>
      <c r="H31" s="3" t="s">
        <v>19</v>
      </c>
    </row>
    <row r="32" customFormat="false" ht="15" hidden="false" customHeight="false" outlineLevel="0" collapsed="false">
      <c r="A32" s="0" t="s">
        <v>96</v>
      </c>
      <c r="B32" s="0" t="s">
        <v>97</v>
      </c>
      <c r="C32" s="5" t="n">
        <v>2</v>
      </c>
      <c r="D32" s="5" t="n">
        <v>3</v>
      </c>
      <c r="E32" s="5" t="n">
        <v>4</v>
      </c>
      <c r="F32" s="3" t="s">
        <v>42</v>
      </c>
      <c r="G32" s="3" t="s">
        <v>46</v>
      </c>
      <c r="H32" s="3" t="s">
        <v>14</v>
      </c>
    </row>
    <row r="33" customFormat="false" ht="15" hidden="false" customHeight="false" outlineLevel="0" collapsed="false">
      <c r="A33" s="0" t="s">
        <v>98</v>
      </c>
      <c r="B33" s="0" t="s">
        <v>99</v>
      </c>
      <c r="C33" s="4" t="n">
        <v>0.004</v>
      </c>
      <c r="D33" s="4" t="n">
        <v>0.01</v>
      </c>
      <c r="E33" s="4" t="n">
        <v>0.018</v>
      </c>
      <c r="F33" s="3" t="s">
        <v>22</v>
      </c>
      <c r="G33" s="3" t="s">
        <v>100</v>
      </c>
      <c r="H33" s="3" t="s">
        <v>19</v>
      </c>
    </row>
    <row r="34" customFormat="false" ht="15" hidden="false" customHeight="false" outlineLevel="0" collapsed="false">
      <c r="A34" s="0" t="s">
        <v>101</v>
      </c>
      <c r="B34" s="0" t="s">
        <v>102</v>
      </c>
      <c r="C34" s="5" t="n">
        <v>0.5</v>
      </c>
      <c r="D34" s="5" t="n">
        <v>0.8</v>
      </c>
      <c r="E34" s="5" t="n">
        <v>1</v>
      </c>
      <c r="F34" s="3" t="s">
        <v>26</v>
      </c>
      <c r="G34" s="3" t="s">
        <v>46</v>
      </c>
      <c r="H34" s="3" t="s">
        <v>19</v>
      </c>
    </row>
    <row r="35" customFormat="false" ht="15" hidden="false" customHeight="false" outlineLevel="0" collapsed="false">
      <c r="A35" s="0" t="s">
        <v>103</v>
      </c>
      <c r="B35" s="0" t="s">
        <v>104</v>
      </c>
      <c r="C35" s="5" t="n">
        <v>290</v>
      </c>
      <c r="D35" s="5" t="n">
        <v>390</v>
      </c>
      <c r="E35" s="5" t="n">
        <v>490</v>
      </c>
      <c r="F35" s="3" t="s">
        <v>53</v>
      </c>
      <c r="G35" s="3" t="s">
        <v>46</v>
      </c>
      <c r="H35" s="3" t="s">
        <v>14</v>
      </c>
    </row>
    <row r="36" customFormat="false" ht="15" hidden="false" customHeight="false" outlineLevel="0" collapsed="false">
      <c r="A36" s="0" t="s">
        <v>105</v>
      </c>
      <c r="B36" s="0" t="s">
        <v>106</v>
      </c>
      <c r="C36" s="7" t="n">
        <v>0.003</v>
      </c>
      <c r="D36" s="7" t="n">
        <v>0.008</v>
      </c>
      <c r="E36" s="7" t="n">
        <v>0.015</v>
      </c>
      <c r="F36" s="3" t="s">
        <v>22</v>
      </c>
      <c r="G36" s="3" t="s">
        <v>46</v>
      </c>
      <c r="H36" s="3" t="s">
        <v>19</v>
      </c>
    </row>
    <row r="37" customFormat="false" ht="15" hidden="false" customHeight="false" outlineLevel="0" collapsed="false">
      <c r="A37" s="0" t="s">
        <v>107</v>
      </c>
      <c r="B37" s="0" t="s">
        <v>108</v>
      </c>
      <c r="C37" s="4" t="n">
        <v>0.12</v>
      </c>
      <c r="D37" s="4" t="n">
        <v>0.1</v>
      </c>
      <c r="E37" s="4" t="n">
        <v>0.08</v>
      </c>
      <c r="F37" s="3" t="s">
        <v>109</v>
      </c>
      <c r="G37" s="3" t="s">
        <v>46</v>
      </c>
      <c r="H37" s="3" t="s">
        <v>14</v>
      </c>
    </row>
    <row r="38" customFormat="false" ht="15" hidden="false" customHeight="false" outlineLevel="0" collapsed="false">
      <c r="A38" s="0" t="s">
        <v>110</v>
      </c>
      <c r="B38" s="0" t="s">
        <v>111</v>
      </c>
      <c r="C38" s="4" t="n">
        <v>0.25</v>
      </c>
      <c r="D38" s="4" t="n">
        <v>0.2</v>
      </c>
      <c r="E38" s="4" t="n">
        <v>0.15</v>
      </c>
      <c r="F38" s="3" t="s">
        <v>112</v>
      </c>
      <c r="G38" s="3" t="s">
        <v>46</v>
      </c>
      <c r="H38" s="3" t="s">
        <v>19</v>
      </c>
    </row>
    <row r="39" customFormat="false" ht="15" hidden="false" customHeight="false" outlineLevel="0" collapsed="false">
      <c r="A39" s="0" t="s">
        <v>113</v>
      </c>
      <c r="B39" s="0" t="s">
        <v>114</v>
      </c>
      <c r="C39" s="2" t="n">
        <v>120000</v>
      </c>
      <c r="D39" s="2" t="n">
        <v>100000</v>
      </c>
      <c r="E39" s="2" t="n">
        <v>80000</v>
      </c>
      <c r="F39" s="3" t="s">
        <v>53</v>
      </c>
      <c r="G39" s="3" t="s">
        <v>46</v>
      </c>
      <c r="H39" s="3" t="s">
        <v>14</v>
      </c>
    </row>
    <row r="40" customFormat="false" ht="15" hidden="false" customHeight="false" outlineLevel="0" collapsed="false">
      <c r="A40" s="0" t="s">
        <v>115</v>
      </c>
      <c r="B40" s="0" t="s">
        <v>116</v>
      </c>
      <c r="C40" s="2" t="n">
        <v>1200000</v>
      </c>
      <c r="D40" s="2" t="n">
        <v>800000</v>
      </c>
      <c r="E40" s="2" t="n">
        <v>600000</v>
      </c>
      <c r="F40" s="3" t="s">
        <v>12</v>
      </c>
      <c r="G40" s="3" t="s">
        <v>46</v>
      </c>
      <c r="H40" s="3" t="s">
        <v>14</v>
      </c>
    </row>
    <row r="41" customFormat="false" ht="15" hidden="false" customHeight="false" outlineLevel="0" collapsed="false">
      <c r="B41" s="1" t="s">
        <v>117</v>
      </c>
    </row>
    <row r="42" customFormat="false" ht="15" hidden="false" customHeight="false" outlineLevel="0" collapsed="false">
      <c r="A42" s="0" t="s">
        <v>118</v>
      </c>
      <c r="B42" s="0" t="s">
        <v>119</v>
      </c>
      <c r="C42" s="5" t="n">
        <v>5</v>
      </c>
      <c r="D42" s="5" t="n">
        <v>4</v>
      </c>
      <c r="E42" s="5" t="n">
        <v>3</v>
      </c>
      <c r="F42" s="3" t="s">
        <v>87</v>
      </c>
      <c r="G42" s="3" t="s">
        <v>120</v>
      </c>
      <c r="H42" s="3" t="s">
        <v>14</v>
      </c>
    </row>
    <row r="43" customFormat="false" ht="15" hidden="false" customHeight="false" outlineLevel="0" collapsed="false">
      <c r="A43" s="0" t="s">
        <v>121</v>
      </c>
      <c r="B43" s="0" t="s">
        <v>122</v>
      </c>
      <c r="C43" s="5" t="n">
        <v>15</v>
      </c>
      <c r="D43" s="5" t="n">
        <v>30</v>
      </c>
      <c r="E43" s="5" t="n">
        <v>50</v>
      </c>
      <c r="F43" s="3" t="s">
        <v>123</v>
      </c>
      <c r="G43" s="3" t="s">
        <v>46</v>
      </c>
      <c r="H43" s="3" t="s">
        <v>14</v>
      </c>
    </row>
    <row r="44" customFormat="false" ht="15" hidden="false" customHeight="false" outlineLevel="0" collapsed="false">
      <c r="A44" s="0" t="s">
        <v>124</v>
      </c>
      <c r="B44" s="0" t="s">
        <v>125</v>
      </c>
      <c r="C44" s="5" t="n">
        <v>40</v>
      </c>
      <c r="D44" s="5" t="n">
        <v>90</v>
      </c>
      <c r="E44" s="5" t="n">
        <v>160</v>
      </c>
      <c r="F44" s="3" t="s">
        <v>42</v>
      </c>
      <c r="G44" s="3" t="s">
        <v>126</v>
      </c>
      <c r="H44" s="3" t="s">
        <v>19</v>
      </c>
    </row>
    <row r="45" customFormat="false" ht="15" hidden="false" customHeight="false" outlineLevel="0" collapsed="false">
      <c r="A45" s="0" t="s">
        <v>127</v>
      </c>
      <c r="B45" s="0" t="s">
        <v>128</v>
      </c>
      <c r="C45" s="2" t="n">
        <v>1700</v>
      </c>
      <c r="D45" s="2" t="n">
        <v>1900</v>
      </c>
      <c r="E45" s="2" t="n">
        <v>2200</v>
      </c>
      <c r="F45" s="3" t="s">
        <v>12</v>
      </c>
      <c r="G45" s="3" t="s">
        <v>129</v>
      </c>
      <c r="H45" s="3" t="s">
        <v>14</v>
      </c>
    </row>
    <row r="46" customFormat="false" ht="15" hidden="false" customHeight="false" outlineLevel="0" collapsed="false">
      <c r="A46" s="0" t="s">
        <v>130</v>
      </c>
      <c r="B46" s="0" t="s">
        <v>131</v>
      </c>
      <c r="C46" s="4" t="n">
        <v>0.3</v>
      </c>
      <c r="D46" s="4" t="n">
        <v>0.26</v>
      </c>
      <c r="E46" s="4" t="n">
        <v>0.23</v>
      </c>
      <c r="F46" s="3" t="s">
        <v>132</v>
      </c>
      <c r="G46" s="3" t="s">
        <v>133</v>
      </c>
      <c r="H46" s="3" t="s">
        <v>14</v>
      </c>
    </row>
    <row r="47" customFormat="false" ht="15" hidden="false" customHeight="false" outlineLevel="0" collapsed="false">
      <c r="A47" s="0" t="s">
        <v>134</v>
      </c>
      <c r="B47" s="0" t="s">
        <v>135</v>
      </c>
      <c r="C47" s="4" t="n">
        <v>0.5</v>
      </c>
      <c r="D47" s="4" t="n">
        <v>0.45</v>
      </c>
      <c r="E47" s="4" t="n">
        <v>0.4</v>
      </c>
      <c r="F47" s="3" t="s">
        <v>132</v>
      </c>
      <c r="G47" s="3" t="s">
        <v>136</v>
      </c>
      <c r="H47" s="3" t="s">
        <v>14</v>
      </c>
    </row>
    <row r="48" customFormat="false" ht="15" hidden="false" customHeight="false" outlineLevel="0" collapsed="false">
      <c r="A48" s="0" t="s">
        <v>137</v>
      </c>
      <c r="B48" s="0" t="s">
        <v>138</v>
      </c>
      <c r="C48" s="5" t="n">
        <v>90</v>
      </c>
      <c r="D48" s="5" t="n">
        <v>70</v>
      </c>
      <c r="E48" s="5" t="n">
        <v>55</v>
      </c>
      <c r="F48" s="3" t="s">
        <v>12</v>
      </c>
      <c r="G48" s="3" t="s">
        <v>139</v>
      </c>
      <c r="H48" s="3" t="s">
        <v>14</v>
      </c>
    </row>
    <row r="49" customFormat="false" ht="15" hidden="false" customHeight="false" outlineLevel="0" collapsed="false">
      <c r="A49" s="0" t="s">
        <v>140</v>
      </c>
      <c r="B49" s="0" t="s">
        <v>141</v>
      </c>
      <c r="C49" s="4" t="n">
        <v>0.12</v>
      </c>
      <c r="D49" s="4" t="n">
        <v>0.09</v>
      </c>
      <c r="E49" s="4" t="n">
        <v>0.06</v>
      </c>
      <c r="F49" s="3" t="s">
        <v>109</v>
      </c>
      <c r="G49" s="3" t="s">
        <v>46</v>
      </c>
      <c r="H49" s="3" t="s">
        <v>14</v>
      </c>
    </row>
    <row r="50" customFormat="false" ht="15" hidden="false" customHeight="false" outlineLevel="0" collapsed="false">
      <c r="A50" s="0" t="s">
        <v>142</v>
      </c>
      <c r="B50" s="0" t="s">
        <v>143</v>
      </c>
      <c r="C50" s="4" t="n">
        <v>0.06</v>
      </c>
      <c r="D50" s="4" t="n">
        <v>0.04</v>
      </c>
      <c r="E50" s="4" t="n">
        <v>0.02</v>
      </c>
      <c r="F50" s="3" t="s">
        <v>109</v>
      </c>
      <c r="G50" s="3" t="s">
        <v>46</v>
      </c>
      <c r="H50" s="3" t="s">
        <v>14</v>
      </c>
    </row>
    <row r="51" customFormat="false" ht="15" hidden="false" customHeight="false" outlineLevel="0" collapsed="false">
      <c r="A51" s="0" t="s">
        <v>144</v>
      </c>
      <c r="B51" s="0" t="s">
        <v>145</v>
      </c>
      <c r="C51" s="5" t="n">
        <v>30</v>
      </c>
      <c r="D51" s="5" t="n">
        <v>25</v>
      </c>
      <c r="E51" s="5" t="n">
        <v>20</v>
      </c>
      <c r="F51" s="3" t="s">
        <v>12</v>
      </c>
      <c r="G51" s="3" t="s">
        <v>146</v>
      </c>
      <c r="H51" s="3" t="s">
        <v>14</v>
      </c>
    </row>
    <row r="52" customFormat="false" ht="15" hidden="false" customHeight="false" outlineLevel="0" collapsed="false">
      <c r="A52" s="0" t="s">
        <v>147</v>
      </c>
      <c r="B52" s="0" t="s">
        <v>148</v>
      </c>
      <c r="C52" s="4" t="n">
        <v>0.07</v>
      </c>
      <c r="D52" s="4" t="n">
        <v>0.06</v>
      </c>
      <c r="E52" s="4" t="n">
        <v>0.04</v>
      </c>
      <c r="F52" s="3" t="s">
        <v>109</v>
      </c>
      <c r="G52" s="3" t="s">
        <v>149</v>
      </c>
      <c r="H52" s="3" t="s">
        <v>19</v>
      </c>
    </row>
    <row r="53" customFormat="false" ht="15" hidden="false" customHeight="false" outlineLevel="0" collapsed="false">
      <c r="A53" s="0" t="s">
        <v>150</v>
      </c>
      <c r="B53" s="0" t="s">
        <v>151</v>
      </c>
      <c r="C53" s="5" t="n">
        <v>3</v>
      </c>
      <c r="D53" s="5" t="n">
        <v>2.5</v>
      </c>
      <c r="E53" s="5" t="n">
        <v>2</v>
      </c>
      <c r="F53" s="3" t="s">
        <v>152</v>
      </c>
      <c r="G53" s="3" t="s">
        <v>46</v>
      </c>
      <c r="H53" s="3" t="s">
        <v>14</v>
      </c>
    </row>
    <row r="54" customFormat="false" ht="15" hidden="false" customHeight="false" outlineLevel="0" collapsed="false">
      <c r="A54" s="0" t="s">
        <v>153</v>
      </c>
      <c r="B54" s="0" t="s">
        <v>154</v>
      </c>
      <c r="C54" s="2" t="n">
        <v>260000</v>
      </c>
      <c r="D54" s="2" t="n">
        <v>220000</v>
      </c>
      <c r="E54" s="2" t="n">
        <v>180000</v>
      </c>
      <c r="F54" s="3" t="s">
        <v>53</v>
      </c>
      <c r="G54" s="3" t="s">
        <v>46</v>
      </c>
      <c r="H54" s="3" t="s">
        <v>14</v>
      </c>
    </row>
    <row r="55" customFormat="false" ht="15" hidden="false" customHeight="false" outlineLevel="0" collapsed="false">
      <c r="A55" s="0" t="s">
        <v>155</v>
      </c>
      <c r="B55" s="0" t="s">
        <v>156</v>
      </c>
      <c r="C55" s="2" t="n">
        <v>600000</v>
      </c>
      <c r="D55" s="2" t="n">
        <v>400000</v>
      </c>
      <c r="E55" s="2" t="n">
        <v>300000</v>
      </c>
      <c r="F55" s="3" t="s">
        <v>12</v>
      </c>
      <c r="G55" s="3" t="s">
        <v>46</v>
      </c>
      <c r="H55" s="3" t="s">
        <v>14</v>
      </c>
    </row>
    <row r="56" customFormat="false" ht="15" hidden="false" customHeight="false" outlineLevel="0" collapsed="false">
      <c r="A56" s="0" t="s">
        <v>157</v>
      </c>
      <c r="B56" s="0" t="s">
        <v>158</v>
      </c>
      <c r="C56" s="5" t="n">
        <v>1.2</v>
      </c>
      <c r="D56" s="5" t="n">
        <v>1</v>
      </c>
      <c r="E56" s="5" t="n">
        <v>0.9</v>
      </c>
      <c r="G56" s="3" t="s">
        <v>46</v>
      </c>
      <c r="H56" s="3" t="s">
        <v>14</v>
      </c>
    </row>
    <row r="57" customFormat="false" ht="15" hidden="false" customHeight="false" outlineLevel="0" collapsed="false">
      <c r="B57" s="1" t="s">
        <v>159</v>
      </c>
    </row>
    <row r="58" customFormat="false" ht="15" hidden="false" customHeight="false" outlineLevel="0" collapsed="false">
      <c r="A58" s="0" t="s">
        <v>160</v>
      </c>
      <c r="B58" s="0" t="s">
        <v>161</v>
      </c>
      <c r="C58" s="5" t="n">
        <v>10</v>
      </c>
      <c r="D58" s="5" t="n">
        <v>7</v>
      </c>
      <c r="E58" s="5" t="n">
        <v>5</v>
      </c>
      <c r="F58" s="3" t="s">
        <v>87</v>
      </c>
      <c r="G58" s="3" t="s">
        <v>46</v>
      </c>
      <c r="H58" s="3" t="s">
        <v>19</v>
      </c>
    </row>
    <row r="59" customFormat="false" ht="15" hidden="false" customHeight="false" outlineLevel="0" collapsed="false">
      <c r="A59" s="0" t="s">
        <v>162</v>
      </c>
      <c r="B59" s="0" t="s">
        <v>163</v>
      </c>
      <c r="C59" s="4" t="n">
        <v>0.35</v>
      </c>
      <c r="D59" s="4" t="n">
        <v>0.5</v>
      </c>
      <c r="E59" s="4" t="n">
        <v>0.6</v>
      </c>
      <c r="F59" s="3" t="s">
        <v>22</v>
      </c>
      <c r="G59" s="3" t="s">
        <v>164</v>
      </c>
      <c r="H59" s="3" t="s">
        <v>19</v>
      </c>
    </row>
    <row r="60" customFormat="false" ht="15" hidden="false" customHeight="false" outlineLevel="0" collapsed="false">
      <c r="A60" s="0" t="s">
        <v>165</v>
      </c>
      <c r="B60" s="0" t="s">
        <v>166</v>
      </c>
      <c r="C60" s="2" t="n">
        <v>3500</v>
      </c>
      <c r="D60" s="2" t="n">
        <v>4500</v>
      </c>
      <c r="E60" s="2" t="n">
        <v>6000</v>
      </c>
      <c r="F60" s="3" t="s">
        <v>12</v>
      </c>
      <c r="G60" s="3" t="s">
        <v>167</v>
      </c>
      <c r="H60" s="3" t="s">
        <v>14</v>
      </c>
    </row>
    <row r="61" customFormat="false" ht="15" hidden="false" customHeight="false" outlineLevel="0" collapsed="false">
      <c r="A61" s="0" t="s">
        <v>168</v>
      </c>
      <c r="B61" s="0" t="s">
        <v>169</v>
      </c>
      <c r="C61" s="5" t="n">
        <v>60</v>
      </c>
      <c r="D61" s="5" t="n">
        <v>200</v>
      </c>
      <c r="E61" s="5" t="n">
        <v>500</v>
      </c>
      <c r="F61" s="3" t="s">
        <v>42</v>
      </c>
      <c r="G61" s="3" t="s">
        <v>170</v>
      </c>
      <c r="H61" s="3" t="s">
        <v>19</v>
      </c>
    </row>
    <row r="62" customFormat="false" ht="15" hidden="false" customHeight="false" outlineLevel="0" collapsed="false">
      <c r="A62" s="0" t="s">
        <v>171</v>
      </c>
      <c r="B62" s="0" t="s">
        <v>172</v>
      </c>
      <c r="C62" s="2" t="n">
        <v>900</v>
      </c>
      <c r="D62" s="2" t="n">
        <v>1200</v>
      </c>
      <c r="E62" s="2" t="n">
        <v>1600</v>
      </c>
      <c r="F62" s="3" t="s">
        <v>12</v>
      </c>
      <c r="G62" s="3" t="s">
        <v>173</v>
      </c>
      <c r="H62" s="3" t="s">
        <v>19</v>
      </c>
    </row>
    <row r="63" customFormat="false" ht="15" hidden="false" customHeight="false" outlineLevel="0" collapsed="false">
      <c r="A63" s="0" t="s">
        <v>174</v>
      </c>
      <c r="B63" s="0" t="s">
        <v>175</v>
      </c>
      <c r="C63" s="5" t="n">
        <v>200</v>
      </c>
      <c r="D63" s="5" t="n">
        <v>600</v>
      </c>
      <c r="E63" s="5" t="n">
        <v>1500</v>
      </c>
      <c r="F63" s="3" t="s">
        <v>42</v>
      </c>
      <c r="G63" s="3" t="s">
        <v>176</v>
      </c>
      <c r="H63" s="3" t="s">
        <v>19</v>
      </c>
    </row>
    <row r="64" customFormat="false" ht="15" hidden="false" customHeight="false" outlineLevel="0" collapsed="false">
      <c r="A64" s="0" t="s">
        <v>177</v>
      </c>
      <c r="B64" s="0" t="s">
        <v>178</v>
      </c>
      <c r="C64" s="4" t="n">
        <v>0.35</v>
      </c>
      <c r="D64" s="4" t="n">
        <v>0.25</v>
      </c>
      <c r="E64" s="4" t="n">
        <v>0.15</v>
      </c>
      <c r="F64" s="3" t="s">
        <v>179</v>
      </c>
      <c r="G64" s="3" t="s">
        <v>46</v>
      </c>
      <c r="H64" s="3" t="s">
        <v>19</v>
      </c>
    </row>
    <row r="65" customFormat="false" ht="15" hidden="false" customHeight="false" outlineLevel="0" collapsed="false">
      <c r="A65" s="0" t="s">
        <v>180</v>
      </c>
      <c r="B65" s="0" t="s">
        <v>181</v>
      </c>
      <c r="C65" s="2" t="n">
        <v>200000</v>
      </c>
      <c r="D65" s="2" t="n">
        <v>170000</v>
      </c>
      <c r="E65" s="2" t="n">
        <v>150000</v>
      </c>
      <c r="F65" s="3" t="s">
        <v>53</v>
      </c>
      <c r="G65" s="3" t="s">
        <v>46</v>
      </c>
      <c r="H65" s="3" t="s">
        <v>14</v>
      </c>
    </row>
    <row r="66" customFormat="false" ht="15" hidden="false" customHeight="false" outlineLevel="0" collapsed="false">
      <c r="A66" s="0" t="s">
        <v>182</v>
      </c>
      <c r="B66" s="0" t="s">
        <v>183</v>
      </c>
      <c r="C66" s="2" t="n">
        <v>1500000</v>
      </c>
      <c r="D66" s="2" t="n">
        <v>1000000</v>
      </c>
      <c r="E66" s="2" t="n">
        <v>700000</v>
      </c>
      <c r="F66" s="3" t="s">
        <v>12</v>
      </c>
      <c r="G66" s="3" t="s">
        <v>184</v>
      </c>
      <c r="H66" s="3" t="s">
        <v>14</v>
      </c>
    </row>
    <row r="67" customFormat="false" ht="15" hidden="false" customHeight="false" outlineLevel="0" collapsed="false">
      <c r="A67" s="0" t="s">
        <v>185</v>
      </c>
      <c r="B67" s="0" t="s">
        <v>158</v>
      </c>
      <c r="C67" s="5" t="n">
        <v>1.3</v>
      </c>
      <c r="D67" s="5" t="n">
        <v>1.2</v>
      </c>
      <c r="E67" s="5" t="n">
        <v>1</v>
      </c>
      <c r="G67" s="3" t="s">
        <v>46</v>
      </c>
      <c r="H67" s="3" t="s">
        <v>14</v>
      </c>
    </row>
    <row r="68" customFormat="false" ht="15" hidden="false" customHeight="false" outlineLevel="0" collapsed="false">
      <c r="B68" s="1" t="s">
        <v>186</v>
      </c>
    </row>
    <row r="69" customFormat="false" ht="15" hidden="false" customHeight="false" outlineLevel="0" collapsed="false">
      <c r="A69" s="0" t="s">
        <v>187</v>
      </c>
      <c r="B69" s="0" t="s">
        <v>188</v>
      </c>
      <c r="C69" s="5" t="n">
        <v>9</v>
      </c>
      <c r="D69" s="5" t="n">
        <v>6</v>
      </c>
      <c r="E69" s="5" t="n">
        <v>5</v>
      </c>
      <c r="F69" s="3" t="s">
        <v>87</v>
      </c>
      <c r="G69" s="3" t="s">
        <v>189</v>
      </c>
      <c r="H69" s="3" t="s">
        <v>19</v>
      </c>
    </row>
    <row r="70" customFormat="false" ht="15" hidden="false" customHeight="false" outlineLevel="0" collapsed="false">
      <c r="A70" s="0" t="s">
        <v>190</v>
      </c>
      <c r="B70" s="0" t="s">
        <v>191</v>
      </c>
      <c r="C70" s="5" t="n">
        <v>1</v>
      </c>
      <c r="D70" s="5" t="n">
        <v>3</v>
      </c>
      <c r="E70" s="5" t="n">
        <v>6</v>
      </c>
      <c r="F70" s="3" t="s">
        <v>42</v>
      </c>
      <c r="G70" s="3" t="s">
        <v>46</v>
      </c>
      <c r="H70" s="3" t="s">
        <v>19</v>
      </c>
    </row>
    <row r="71" customFormat="false" ht="15" hidden="false" customHeight="false" outlineLevel="0" collapsed="false">
      <c r="A71" s="0" t="s">
        <v>192</v>
      </c>
      <c r="B71" s="0" t="s">
        <v>193</v>
      </c>
      <c r="C71" s="2" t="n">
        <v>600000</v>
      </c>
      <c r="D71" s="2" t="n">
        <v>1200000</v>
      </c>
      <c r="E71" s="2" t="n">
        <v>2000000</v>
      </c>
      <c r="F71" s="3" t="s">
        <v>194</v>
      </c>
      <c r="G71" s="3" t="s">
        <v>195</v>
      </c>
      <c r="H71" s="3" t="s">
        <v>19</v>
      </c>
    </row>
    <row r="72" customFormat="false" ht="15" hidden="false" customHeight="false" outlineLevel="0" collapsed="false">
      <c r="A72" s="0" t="s">
        <v>196</v>
      </c>
      <c r="B72" s="0" t="s">
        <v>197</v>
      </c>
      <c r="C72" s="5" t="n">
        <v>4</v>
      </c>
      <c r="D72" s="5" t="n">
        <v>3</v>
      </c>
      <c r="E72" s="5" t="n">
        <v>2</v>
      </c>
      <c r="F72" s="3" t="s">
        <v>87</v>
      </c>
      <c r="G72" s="3" t="s">
        <v>46</v>
      </c>
      <c r="H72" s="3" t="s">
        <v>14</v>
      </c>
    </row>
    <row r="73" customFormat="false" ht="15" hidden="false" customHeight="false" outlineLevel="0" collapsed="false">
      <c r="A73" s="0" t="s">
        <v>198</v>
      </c>
      <c r="B73" s="0" t="s">
        <v>199</v>
      </c>
      <c r="C73" s="5" t="n">
        <v>1</v>
      </c>
      <c r="D73" s="5" t="n">
        <v>2</v>
      </c>
      <c r="E73" s="5" t="n">
        <v>4</v>
      </c>
      <c r="F73" s="3" t="s">
        <v>42</v>
      </c>
      <c r="G73" s="3" t="s">
        <v>46</v>
      </c>
      <c r="H73" s="3" t="s">
        <v>14</v>
      </c>
    </row>
    <row r="74" customFormat="false" ht="15" hidden="false" customHeight="false" outlineLevel="0" collapsed="false">
      <c r="A74" s="0" t="s">
        <v>200</v>
      </c>
      <c r="B74" s="0" t="s">
        <v>201</v>
      </c>
      <c r="C74" s="2" t="n">
        <v>100000</v>
      </c>
      <c r="D74" s="2" t="n">
        <v>150000</v>
      </c>
      <c r="E74" s="2" t="n">
        <v>200000</v>
      </c>
      <c r="F74" s="3" t="s">
        <v>53</v>
      </c>
      <c r="G74" s="3" t="s">
        <v>46</v>
      </c>
      <c r="H74" s="3" t="s">
        <v>14</v>
      </c>
    </row>
    <row r="75" customFormat="false" ht="15" hidden="false" customHeight="false" outlineLevel="0" collapsed="false">
      <c r="A75" s="0" t="s">
        <v>202</v>
      </c>
      <c r="B75" s="0" t="s">
        <v>203</v>
      </c>
      <c r="C75" s="4" t="n">
        <v>0.3</v>
      </c>
      <c r="D75" s="4" t="n">
        <v>0.4</v>
      </c>
      <c r="E75" s="4" t="n">
        <v>0.45</v>
      </c>
      <c r="F75" s="3" t="s">
        <v>22</v>
      </c>
      <c r="G75" s="3" t="s">
        <v>46</v>
      </c>
      <c r="H75" s="3" t="s">
        <v>14</v>
      </c>
    </row>
    <row r="76" customFormat="false" ht="15" hidden="false" customHeight="false" outlineLevel="0" collapsed="false">
      <c r="A76" s="0" t="s">
        <v>204</v>
      </c>
      <c r="B76" s="0" t="s">
        <v>205</v>
      </c>
      <c r="C76" s="2" t="n">
        <v>130000</v>
      </c>
      <c r="D76" s="2" t="n">
        <v>110000</v>
      </c>
      <c r="E76" s="2" t="n">
        <v>90000</v>
      </c>
      <c r="F76" s="3" t="s">
        <v>53</v>
      </c>
      <c r="G76" s="3" t="s">
        <v>46</v>
      </c>
      <c r="H76" s="3" t="s">
        <v>14</v>
      </c>
    </row>
    <row r="77" customFormat="false" ht="15" hidden="false" customHeight="false" outlineLevel="0" collapsed="false">
      <c r="A77" s="0" t="s">
        <v>206</v>
      </c>
      <c r="B77" s="0" t="s">
        <v>207</v>
      </c>
      <c r="C77" s="2" t="n">
        <v>200000</v>
      </c>
      <c r="D77" s="2" t="n">
        <v>150000</v>
      </c>
      <c r="E77" s="2" t="n">
        <v>100000</v>
      </c>
      <c r="F77" s="3" t="s">
        <v>12</v>
      </c>
      <c r="G77" s="3" t="s">
        <v>46</v>
      </c>
      <c r="H77" s="3" t="s">
        <v>14</v>
      </c>
    </row>
    <row r="78" customFormat="false" ht="15" hidden="false" customHeight="false" outlineLevel="0" collapsed="false">
      <c r="B78" s="1" t="s">
        <v>208</v>
      </c>
    </row>
    <row r="79" customFormat="false" ht="15" hidden="false" customHeight="false" outlineLevel="0" collapsed="false">
      <c r="A79" s="0" t="s">
        <v>209</v>
      </c>
      <c r="B79" s="0" t="s">
        <v>210</v>
      </c>
      <c r="C79" s="2" t="n">
        <v>25000</v>
      </c>
      <c r="D79" s="2" t="n">
        <v>60000</v>
      </c>
      <c r="E79" s="2" t="n">
        <v>120000</v>
      </c>
      <c r="F79" s="3" t="s">
        <v>66</v>
      </c>
      <c r="G79" s="3" t="s">
        <v>211</v>
      </c>
      <c r="H79" s="3" t="s">
        <v>19</v>
      </c>
    </row>
    <row r="80" customFormat="false" ht="15" hidden="false" customHeight="false" outlineLevel="0" collapsed="false">
      <c r="A80" s="0" t="s">
        <v>212</v>
      </c>
      <c r="B80" s="0" t="s">
        <v>213</v>
      </c>
      <c r="C80" s="4" t="n">
        <v>0.08</v>
      </c>
      <c r="D80" s="4" t="n">
        <v>0.12</v>
      </c>
      <c r="E80" s="4" t="n">
        <v>0.18</v>
      </c>
      <c r="F80" s="3" t="s">
        <v>22</v>
      </c>
      <c r="G80" s="3" t="s">
        <v>214</v>
      </c>
      <c r="H80" s="3" t="s">
        <v>14</v>
      </c>
    </row>
    <row r="81" customFormat="false" ht="15" hidden="false" customHeight="false" outlineLevel="0" collapsed="false">
      <c r="A81" s="0" t="s">
        <v>215</v>
      </c>
      <c r="B81" s="0" t="s">
        <v>216</v>
      </c>
      <c r="C81" s="2" t="n">
        <v>4000</v>
      </c>
      <c r="D81" s="2" t="n">
        <v>12000</v>
      </c>
      <c r="E81" s="2" t="n">
        <v>30000</v>
      </c>
      <c r="F81" s="3" t="s">
        <v>70</v>
      </c>
      <c r="G81" s="3" t="s">
        <v>46</v>
      </c>
      <c r="H81" s="3" t="s">
        <v>19</v>
      </c>
    </row>
    <row r="82" customFormat="false" ht="15" hidden="false" customHeight="false" outlineLevel="0" collapsed="false">
      <c r="A82" s="0" t="s">
        <v>217</v>
      </c>
      <c r="B82" s="0" t="s">
        <v>218</v>
      </c>
      <c r="C82" s="5" t="n">
        <v>0.8</v>
      </c>
      <c r="D82" s="5" t="n">
        <v>1.2</v>
      </c>
      <c r="E82" s="5" t="n">
        <v>2</v>
      </c>
      <c r="F82" s="3" t="s">
        <v>81</v>
      </c>
      <c r="G82" s="3" t="s">
        <v>46</v>
      </c>
      <c r="H82" s="3" t="s">
        <v>19</v>
      </c>
    </row>
    <row r="83" customFormat="false" ht="15" hidden="false" customHeight="false" outlineLevel="0" collapsed="false">
      <c r="A83" s="0" t="s">
        <v>219</v>
      </c>
      <c r="B83" s="0" t="s">
        <v>220</v>
      </c>
      <c r="C83" s="4" t="n">
        <v>0.2</v>
      </c>
      <c r="D83" s="4" t="n">
        <v>0.3</v>
      </c>
      <c r="E83" s="4" t="n">
        <v>0.4</v>
      </c>
      <c r="F83" s="3" t="s">
        <v>22</v>
      </c>
      <c r="G83" s="3" t="s">
        <v>46</v>
      </c>
      <c r="H83" s="3" t="s">
        <v>19</v>
      </c>
    </row>
    <row r="84" customFormat="false" ht="15" hidden="false" customHeight="false" outlineLevel="0" collapsed="false">
      <c r="A84" s="0" t="s">
        <v>221</v>
      </c>
      <c r="B84" s="0" t="s">
        <v>222</v>
      </c>
      <c r="C84" s="2" t="n">
        <v>130000</v>
      </c>
      <c r="D84" s="2" t="n">
        <v>110000</v>
      </c>
      <c r="E84" s="2" t="n">
        <v>90000</v>
      </c>
      <c r="F84" s="3" t="s">
        <v>53</v>
      </c>
      <c r="G84" s="3" t="s">
        <v>223</v>
      </c>
      <c r="H84" s="3" t="s">
        <v>14</v>
      </c>
    </row>
    <row r="85" customFormat="false" ht="15" hidden="false" customHeight="false" outlineLevel="0" collapsed="false">
      <c r="A85" s="0" t="s">
        <v>224</v>
      </c>
      <c r="B85" s="0" t="s">
        <v>225</v>
      </c>
      <c r="C85" s="2" t="n">
        <v>70000</v>
      </c>
      <c r="D85" s="2" t="n">
        <v>50000</v>
      </c>
      <c r="E85" s="2" t="n">
        <v>40000</v>
      </c>
      <c r="F85" s="3" t="s">
        <v>53</v>
      </c>
      <c r="G85" s="3" t="s">
        <v>46</v>
      </c>
      <c r="H85" s="3" t="s">
        <v>14</v>
      </c>
    </row>
    <row r="86" customFormat="false" ht="15" hidden="false" customHeight="false" outlineLevel="0" collapsed="false">
      <c r="A86" s="0" t="s">
        <v>226</v>
      </c>
      <c r="B86" s="0" t="s">
        <v>227</v>
      </c>
      <c r="C86" s="2" t="n">
        <v>150000</v>
      </c>
      <c r="D86" s="2" t="n">
        <v>100000</v>
      </c>
      <c r="E86" s="2" t="n">
        <v>70000</v>
      </c>
      <c r="F86" s="3" t="s">
        <v>12</v>
      </c>
      <c r="G86" s="3" t="s">
        <v>46</v>
      </c>
      <c r="H86" s="3" t="s">
        <v>14</v>
      </c>
    </row>
    <row r="87" customFormat="false" ht="15" hidden="false" customHeight="false" outlineLevel="0" collapsed="false">
      <c r="A87" s="0" t="s">
        <v>228</v>
      </c>
      <c r="B87" s="0" t="s">
        <v>158</v>
      </c>
      <c r="C87" s="5" t="n">
        <v>1.3</v>
      </c>
      <c r="D87" s="5" t="n">
        <v>1.2</v>
      </c>
      <c r="E87" s="5" t="n">
        <v>1</v>
      </c>
      <c r="G87" s="3" t="s">
        <v>46</v>
      </c>
      <c r="H87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5"/>
  </cols>
  <sheetData>
    <row r="1" customFormat="false" ht="16.15" hidden="false" customHeight="false" outlineLevel="0" collapsed="false">
      <c r="A1" s="8" t="s">
        <v>229</v>
      </c>
    </row>
    <row r="2" customFormat="false" ht="55.2" hidden="false" customHeight="false" outlineLevel="0" collapsed="false">
      <c r="A2" s="9" t="s">
        <v>230</v>
      </c>
      <c r="B2" s="9" t="s">
        <v>231</v>
      </c>
      <c r="C2" s="9" t="s">
        <v>232</v>
      </c>
      <c r="D2" s="9" t="s">
        <v>233</v>
      </c>
      <c r="E2" s="9" t="s">
        <v>234</v>
      </c>
      <c r="F2" s="9" t="s">
        <v>235</v>
      </c>
      <c r="G2" s="9" t="s">
        <v>236</v>
      </c>
      <c r="H2" s="9" t="s">
        <v>237</v>
      </c>
      <c r="I2" s="9" t="s">
        <v>238</v>
      </c>
      <c r="J2" s="9" t="s">
        <v>239</v>
      </c>
      <c r="K2" s="9" t="s">
        <v>240</v>
      </c>
      <c r="L2" s="9" t="s">
        <v>241</v>
      </c>
    </row>
    <row r="3" customFormat="false" ht="15" hidden="false" customHeight="false" outlineLevel="0" collapsed="false">
      <c r="A3" s="0" t="s">
        <v>242</v>
      </c>
      <c r="B3" s="0" t="s">
        <v>3</v>
      </c>
      <c r="C3" s="10" t="n">
        <f aca="false">A_дропшиппинг!AM10</f>
        <v>37421.7991109593</v>
      </c>
      <c r="D3" s="10" t="n">
        <f aca="false">A_дропшиппинг!AN10</f>
        <v>214436.150887026</v>
      </c>
      <c r="E3" s="10" t="n">
        <f aca="false">A_дропшиппинг!AO10</f>
        <v>481526.542598227</v>
      </c>
      <c r="F3" s="10" t="n">
        <f aca="false">A_дропшиппинг!AO17</f>
        <v>-6847586.61011714</v>
      </c>
      <c r="G3" s="10" t="n">
        <f aca="false">A_дропшиппинг!AL17</f>
        <v>-576058.347100376</v>
      </c>
      <c r="H3" s="10" t="n">
        <f aca="false">MIN(0,MIN(A_дропшиппинг!C20:AL20))</f>
        <v>-20184999.1255494</v>
      </c>
      <c r="I3" s="10" t="n">
        <f aca="false">A_дропшиппинг!AL20</f>
        <v>-20184999.1255494</v>
      </c>
      <c r="J3" s="10" t="n">
        <f aca="false">MIN(A_дропшиппинг!C21:AL21)</f>
        <v>99</v>
      </c>
      <c r="K3" s="10" t="n">
        <f aca="false">MIN(A_дропшиппинг!C22:AL22)</f>
        <v>99</v>
      </c>
      <c r="L3" s="10" t="n">
        <f aca="false">A_дропшиппинг!AP18</f>
        <v>600000</v>
      </c>
    </row>
    <row r="4" customFormat="false" ht="15" hidden="false" customHeight="false" outlineLevel="0" collapsed="false">
      <c r="A4" s="0" t="s">
        <v>242</v>
      </c>
      <c r="B4" s="0" t="s">
        <v>4</v>
      </c>
      <c r="C4" s="10" t="n">
        <f aca="false">A_дропшиппинг!AM30</f>
        <v>707307.049946055</v>
      </c>
      <c r="D4" s="10" t="n">
        <f aca="false">A_дропшиппинг!AN30</f>
        <v>3380003.25643333</v>
      </c>
      <c r="E4" s="10" t="n">
        <f aca="false">A_дропшиппинг!AO30</f>
        <v>6839270.11592373</v>
      </c>
      <c r="F4" s="10" t="n">
        <f aca="false">A_дропшиппинг!AO37</f>
        <v>-5019487.71100504</v>
      </c>
      <c r="G4" s="10" t="n">
        <f aca="false">A_дропшиппинг!AL37</f>
        <v>-398675.878952127</v>
      </c>
      <c r="H4" s="10" t="n">
        <f aca="false">MIN(0,MIN(A_дропшиппинг!C40:AL40))</f>
        <v>-16396794.946763</v>
      </c>
      <c r="I4" s="10" t="n">
        <f aca="false">A_дропшиппинг!AL40</f>
        <v>-16396794.946763</v>
      </c>
      <c r="J4" s="10" t="n">
        <f aca="false">MIN(A_дропшиппинг!C41:AL41)</f>
        <v>99</v>
      </c>
      <c r="K4" s="10" t="n">
        <f aca="false">MIN(A_дропшиппинг!C42:AL42)</f>
        <v>99</v>
      </c>
      <c r="L4" s="10" t="n">
        <f aca="false">A_дропшиппинг!AP38</f>
        <v>400000</v>
      </c>
    </row>
    <row r="5" customFormat="false" ht="15" hidden="false" customHeight="false" outlineLevel="0" collapsed="false">
      <c r="A5" s="0" t="s">
        <v>242</v>
      </c>
      <c r="B5" s="0" t="s">
        <v>5</v>
      </c>
      <c r="C5" s="10" t="n">
        <f aca="false">A_дропшиппинг!AM50</f>
        <v>12898301.415783</v>
      </c>
      <c r="D5" s="10" t="n">
        <f aca="false">A_дропшиппинг!AN50</f>
        <v>45022666.7291385</v>
      </c>
      <c r="E5" s="10" t="n">
        <f aca="false">A_дропшиппинг!AO50</f>
        <v>79851626.2678016</v>
      </c>
      <c r="F5" s="10" t="n">
        <f aca="false">A_дропшиппинг!AO57</f>
        <v>11412539.5917787</v>
      </c>
      <c r="G5" s="10" t="n">
        <f aca="false">A_дропшиппинг!AL57</f>
        <v>1234996.12003506</v>
      </c>
      <c r="H5" s="10" t="n">
        <f aca="false">MIN(0,MIN(A_дропшиппинг!C60:AL60))</f>
        <v>-2728050.92939901</v>
      </c>
      <c r="I5" s="10" t="n">
        <f aca="false">A_дропшиппинг!AL60</f>
        <v>12935721.0735412</v>
      </c>
      <c r="J5" s="10" t="n">
        <f aca="false">MIN(A_дропшиппинг!C61:AL61)</f>
        <v>12</v>
      </c>
      <c r="K5" s="10" t="n">
        <f aca="false">MIN(A_дропшиппинг!C62:AL62)</f>
        <v>22</v>
      </c>
      <c r="L5" s="10" t="n">
        <f aca="false">A_дропшиппинг!AP58</f>
        <v>300000</v>
      </c>
    </row>
    <row r="6" customFormat="false" ht="15" hidden="false" customHeight="false" outlineLevel="0" collapsed="false">
      <c r="A6" s="0" t="s">
        <v>243</v>
      </c>
      <c r="B6" s="0" t="s">
        <v>3</v>
      </c>
      <c r="C6" s="10" t="n">
        <f aca="false">D_курсы_родителям!AM9</f>
        <v>5112.22145079995</v>
      </c>
      <c r="D6" s="10" t="n">
        <f aca="false">D_курсы_родителям!AN9</f>
        <v>132166.896844792</v>
      </c>
      <c r="E6" s="10" t="n">
        <f aca="false">D_курсы_родителям!AO9</f>
        <v>296787.032505254</v>
      </c>
      <c r="F6" s="10" t="n">
        <f aca="false">D_курсы_родителям!AO13</f>
        <v>-8088206.84110401</v>
      </c>
      <c r="G6" s="10" t="n">
        <f aca="false">D_курсы_родителям!AL13</f>
        <v>-674527.347100376</v>
      </c>
      <c r="H6" s="10" t="n">
        <f aca="false">MIN(0,MIN(D_курсы_родителям!C16:AL16))</f>
        <v>-24213396.0586885</v>
      </c>
      <c r="I6" s="10" t="n">
        <f aca="false">D_курсы_родителям!AL16</f>
        <v>-24213396.0586885</v>
      </c>
      <c r="J6" s="10" t="n">
        <f aca="false">MIN(D_курсы_родителям!C17:AL17)</f>
        <v>99</v>
      </c>
      <c r="K6" s="10" t="n">
        <f aca="false">MIN(D_курсы_родителям!C18:AL18)</f>
        <v>99</v>
      </c>
      <c r="L6" s="10" t="n">
        <f aca="false">D_курсы_родителям!AP14</f>
        <v>1800000</v>
      </c>
    </row>
    <row r="7" customFormat="false" ht="15" hidden="false" customHeight="false" outlineLevel="0" collapsed="false">
      <c r="A7" s="0" t="s">
        <v>243</v>
      </c>
      <c r="B7" s="0" t="s">
        <v>4</v>
      </c>
      <c r="C7" s="10" t="n">
        <f aca="false">D_курсы_родителям!AM25</f>
        <v>308915.812140941</v>
      </c>
      <c r="D7" s="10" t="n">
        <f aca="false">D_курсы_родителям!AN25</f>
        <v>2206477.70076466</v>
      </c>
      <c r="E7" s="10" t="n">
        <f aca="false">D_курсы_родителям!AO25</f>
        <v>4464698.95304656</v>
      </c>
      <c r="F7" s="10" t="n">
        <f aca="false">D_курсы_родителям!AO29</f>
        <v>-3093423.47201946</v>
      </c>
      <c r="G7" s="10" t="n">
        <f aca="false">D_курсы_родителям!AL29</f>
        <v>-171939.878952127</v>
      </c>
      <c r="H7" s="10" t="n">
        <f aca="false">MIN(0,MIN(D_курсы_родителям!C32:AL32))</f>
        <v>-15209518.6327046</v>
      </c>
      <c r="I7" s="10" t="n">
        <f aca="false">D_курсы_родителям!AL32</f>
        <v>-15209518.6327046</v>
      </c>
      <c r="J7" s="10" t="n">
        <f aca="false">MIN(D_курсы_родителям!C33:AL33)</f>
        <v>99</v>
      </c>
      <c r="K7" s="10" t="n">
        <f aca="false">MIN(D_курсы_родителям!C34:AL34)</f>
        <v>99</v>
      </c>
      <c r="L7" s="10" t="n">
        <f aca="false">D_курсы_родителям!AP30</f>
        <v>1200000</v>
      </c>
    </row>
    <row r="8" customFormat="false" ht="15" hidden="false" customHeight="false" outlineLevel="0" collapsed="false">
      <c r="A8" s="0" t="s">
        <v>243</v>
      </c>
      <c r="B8" s="0" t="s">
        <v>5</v>
      </c>
      <c r="C8" s="10" t="n">
        <f aca="false">D_курсы_родителям!AM41</f>
        <v>4677746.32704436</v>
      </c>
      <c r="D8" s="10" t="n">
        <f aca="false">D_курсы_родителям!AN41</f>
        <v>20702011.2436787</v>
      </c>
      <c r="E8" s="10" t="n">
        <f aca="false">D_курсы_родителям!AO41</f>
        <v>36716822.5455686</v>
      </c>
      <c r="F8" s="10" t="n">
        <f aca="false">D_курсы_родителям!AO45</f>
        <v>37837916.0172297</v>
      </c>
      <c r="G8" s="10" t="n">
        <f aca="false">D_курсы_родителям!AL45</f>
        <v>3907196.12003506</v>
      </c>
      <c r="H8" s="10" t="n">
        <f aca="false">MIN(0,MIN(D_курсы_родителям!C48:AL48))</f>
        <v>-2911327.45681351</v>
      </c>
      <c r="I8" s="10" t="n">
        <f aca="false">D_курсы_родителям!AL48</f>
        <v>56170682.5358875</v>
      </c>
      <c r="J8" s="10" t="n">
        <f aca="false">MIN(D_курсы_родителям!C49:AL49)</f>
        <v>7</v>
      </c>
      <c r="K8" s="10" t="n">
        <f aca="false">MIN(D_курсы_родителям!C50:AL50)</f>
        <v>13</v>
      </c>
      <c r="L8" s="10" t="n">
        <f aca="false">D_курсы_родителям!AP46</f>
        <v>900000</v>
      </c>
    </row>
    <row r="9" customFormat="false" ht="15" hidden="false" customHeight="false" outlineLevel="0" collapsed="false">
      <c r="A9" s="0" t="s">
        <v>244</v>
      </c>
      <c r="B9" s="0" t="s">
        <v>3</v>
      </c>
      <c r="C9" s="10" t="n">
        <f aca="false">B_свой_бренд!AM6</f>
        <v>800910.831276518</v>
      </c>
      <c r="D9" s="10" t="n">
        <f aca="false">B_свой_бренд!AN6</f>
        <v>4766768.48419438</v>
      </c>
      <c r="E9" s="10" t="n">
        <f aca="false">B_свой_бренд!AO6</f>
        <v>9780998.63841023</v>
      </c>
      <c r="F9" s="10" t="n">
        <f aca="false">B_свой_бренд!AO13</f>
        <v>-4299473.36522006</v>
      </c>
      <c r="G9" s="10" t="n">
        <f aca="false">B_свой_бренд!AL13</f>
        <v>-383000</v>
      </c>
      <c r="H9" s="10" t="n">
        <f aca="false">MIN(0,MIN(B_свой_бренд!C16:AL16))</f>
        <v>-12728869.9885563</v>
      </c>
      <c r="I9" s="10" t="n">
        <f aca="false">B_свой_бренд!AL16</f>
        <v>-12728869.9885563</v>
      </c>
      <c r="J9" s="10" t="n">
        <f aca="false">MIN(B_свой_бренд!C17:AL17)</f>
        <v>99</v>
      </c>
      <c r="K9" s="10" t="n">
        <f aca="false">MIN(B_свой_бренд!C18:AL18)</f>
        <v>99</v>
      </c>
      <c r="L9" s="10" t="n">
        <f aca="false">B_свой_бренд!AP14</f>
        <v>1518000</v>
      </c>
    </row>
    <row r="10" customFormat="false" ht="15" hidden="false" customHeight="false" outlineLevel="0" collapsed="false">
      <c r="A10" s="0" t="s">
        <v>244</v>
      </c>
      <c r="B10" s="0" t="s">
        <v>4</v>
      </c>
      <c r="C10" s="10" t="n">
        <f aca="false">B_свой_бренд!AM22</f>
        <v>6995454.54545455</v>
      </c>
      <c r="D10" s="10" t="n">
        <f aca="false">B_свой_бренд!AN22</f>
        <v>28914545.4545455</v>
      </c>
      <c r="E10" s="10" t="n">
        <f aca="false">B_свой_бренд!AO22</f>
        <v>51300000</v>
      </c>
      <c r="F10" s="10" t="n">
        <f aca="false">B_свой_бренд!AO29</f>
        <v>-74999.9999999985</v>
      </c>
      <c r="G10" s="10" t="n">
        <f aca="false">B_свой_бренд!AL29</f>
        <v>36500.0000000001</v>
      </c>
      <c r="H10" s="10" t="n">
        <f aca="false">MIN(0,MIN(B_свой_бренд!C32:AL32))</f>
        <v>-7294000</v>
      </c>
      <c r="I10" s="10" t="n">
        <f aca="false">B_свой_бренд!AL32</f>
        <v>-7294000</v>
      </c>
      <c r="J10" s="10" t="n">
        <f aca="false">MIN(B_свой_бренд!C33:AL33)</f>
        <v>32</v>
      </c>
      <c r="K10" s="10" t="n">
        <f aca="false">MIN(B_свой_бренд!C34:AL34)</f>
        <v>99</v>
      </c>
      <c r="L10" s="10" t="n">
        <f aca="false">B_свой_бренд!AP30</f>
        <v>3734500</v>
      </c>
    </row>
    <row r="11" customFormat="false" ht="15" hidden="false" customHeight="false" outlineLevel="0" collapsed="false">
      <c r="A11" s="0" t="s">
        <v>244</v>
      </c>
      <c r="B11" s="0" t="s">
        <v>5</v>
      </c>
      <c r="C11" s="10" t="n">
        <f aca="false">B_свой_бренд!AM38</f>
        <v>33685821.0359623</v>
      </c>
      <c r="D11" s="10" t="n">
        <f aca="false">B_свой_бренд!AN38</f>
        <v>109958487.057163</v>
      </c>
      <c r="E11" s="10" t="n">
        <f aca="false">B_свой_бренд!AO38</f>
        <v>180067353.254245</v>
      </c>
      <c r="F11" s="10" t="n">
        <f aca="false">B_свой_бренд!AO45</f>
        <v>36718178.5435302</v>
      </c>
      <c r="G11" s="10" t="n">
        <f aca="false">B_свой_бренд!AL45</f>
        <v>3620000</v>
      </c>
      <c r="H11" s="10" t="n">
        <f aca="false">MIN(0,MIN(B_свой_бренд!C48:AL48))</f>
        <v>-1227454.51579026</v>
      </c>
      <c r="I11" s="10" t="n">
        <f aca="false">B_свой_бренд!AL48</f>
        <v>55016290.5181822</v>
      </c>
      <c r="J11" s="10" t="n">
        <f aca="false">MIN(B_свой_бренд!C49:AL49)</f>
        <v>4</v>
      </c>
      <c r="K11" s="10" t="n">
        <f aca="false">MIN(B_свой_бренд!C50:AL50)</f>
        <v>10</v>
      </c>
      <c r="L11" s="10" t="n">
        <f aca="false">B_свой_бренд!AP46</f>
        <v>8396000</v>
      </c>
    </row>
    <row r="12" customFormat="false" ht="15" hidden="false" customHeight="false" outlineLevel="0" collapsed="false">
      <c r="A12" s="0" t="s">
        <v>245</v>
      </c>
      <c r="B12" s="0" t="s">
        <v>3</v>
      </c>
      <c r="C12" s="10" t="n">
        <f aca="false">C_обучение_профи!AM8</f>
        <v>14357.571370252</v>
      </c>
      <c r="D12" s="10" t="n">
        <f aca="false">C_обучение_профи!AN8</f>
        <v>432418.698429511</v>
      </c>
      <c r="E12" s="10" t="n">
        <f aca="false">C_обучение_профи!AO8</f>
        <v>1224330.97188845</v>
      </c>
      <c r="F12" s="10" t="n">
        <f aca="false">C_обучение_профи!AO12</f>
        <v>-2473459.85831331</v>
      </c>
      <c r="G12" s="10" t="n">
        <f aca="false">C_обучение_профи!AL12</f>
        <v>-208190</v>
      </c>
      <c r="H12" s="10" t="n">
        <f aca="false">MIN(0,MIN(C_обучение_профи!C15:AL15))</f>
        <v>-8600266.43450129</v>
      </c>
      <c r="I12" s="10" t="n">
        <f aca="false">C_обучение_профи!AL15</f>
        <v>-8600266.43450129</v>
      </c>
      <c r="J12" s="10" t="n">
        <f aca="false">MIN(C_обучение_профи!C16:AL16)</f>
        <v>99</v>
      </c>
      <c r="K12" s="10" t="n">
        <f aca="false">MIN(C_обучение_профи!C17:AL17)</f>
        <v>99</v>
      </c>
      <c r="L12" s="10" t="n">
        <f aca="false">C_обучение_профи!AP13</f>
        <v>1500000</v>
      </c>
    </row>
    <row r="13" customFormat="false" ht="15" hidden="false" customHeight="false" outlineLevel="0" collapsed="false">
      <c r="A13" s="0" t="s">
        <v>245</v>
      </c>
      <c r="B13" s="0" t="s">
        <v>4</v>
      </c>
      <c r="C13" s="10" t="n">
        <f aca="false">C_обучение_профи!AM23</f>
        <v>380135.782609611</v>
      </c>
      <c r="D13" s="10" t="n">
        <f aca="false">C_обучение_профи!AN23</f>
        <v>3431133.70654298</v>
      </c>
      <c r="E13" s="10" t="n">
        <f aca="false">C_обучение_профи!AO23</f>
        <v>7641135.81135709</v>
      </c>
      <c r="F13" s="10" t="n">
        <f aca="false">C_обучение_профи!AO27</f>
        <v>1322099.75699712</v>
      </c>
      <c r="G13" s="10" t="n">
        <f aca="false">C_обучение_профи!AL27</f>
        <v>186400</v>
      </c>
      <c r="H13" s="10" t="n">
        <f aca="false">MIN(0,MIN(C_обучение_профи!C30:AL30))</f>
        <v>-3266386.46738214</v>
      </c>
      <c r="I13" s="10" t="n">
        <f aca="false">C_обучение_профи!AL30</f>
        <v>-1910941.66777574</v>
      </c>
      <c r="J13" s="10" t="n">
        <f aca="false">MIN(C_обучение_профи!C31:AL31)</f>
        <v>23</v>
      </c>
      <c r="K13" s="10" t="n">
        <f aca="false">MIN(C_обучение_профи!C32:AL32)</f>
        <v>99</v>
      </c>
      <c r="L13" s="10" t="n">
        <f aca="false">C_обучение_профи!AP28</f>
        <v>1000000</v>
      </c>
    </row>
    <row r="14" customFormat="false" ht="15" hidden="false" customHeight="false" outlineLevel="0" collapsed="false">
      <c r="A14" s="0" t="s">
        <v>245</v>
      </c>
      <c r="B14" s="0" t="s">
        <v>5</v>
      </c>
      <c r="C14" s="10" t="n">
        <f aca="false">C_обучение_профи!AM38</f>
        <v>3645000</v>
      </c>
      <c r="D14" s="10" t="n">
        <f aca="false">C_обучение_профи!AN38</f>
        <v>17617500</v>
      </c>
      <c r="E14" s="10" t="n">
        <f aca="false">C_обучение_профи!AO38</f>
        <v>32197500</v>
      </c>
      <c r="F14" s="10" t="n">
        <f aca="false">C_обучение_профи!AO42</f>
        <v>20416275</v>
      </c>
      <c r="G14" s="10" t="n">
        <f aca="false">C_обучение_профи!AL42</f>
        <v>2085600</v>
      </c>
      <c r="H14" s="10" t="n">
        <f aca="false">MIN(0,MIN(C_обучение_профи!C45:AL45))</f>
        <v>-1240412.5</v>
      </c>
      <c r="I14" s="10" t="n">
        <f aca="false">C_обучение_профи!AL45</f>
        <v>30937400</v>
      </c>
      <c r="J14" s="10" t="n">
        <f aca="false">MIN(C_обучение_профи!C46:AL46)</f>
        <v>7</v>
      </c>
      <c r="K14" s="10" t="n">
        <f aca="false">MIN(C_обучение_профи!C47:AL47)</f>
        <v>12</v>
      </c>
      <c r="L14" s="10" t="n">
        <f aca="false">C_обучение_профи!AP43</f>
        <v>700000</v>
      </c>
    </row>
    <row r="15" customFormat="false" ht="15" hidden="false" customHeight="false" outlineLevel="0" collapsed="false">
      <c r="A15" s="0" t="s">
        <v>246</v>
      </c>
      <c r="B15" s="0" t="s">
        <v>3</v>
      </c>
      <c r="C15" s="10" t="n">
        <f aca="false">E_B2B!AM7</f>
        <v>900000</v>
      </c>
      <c r="D15" s="10" t="n">
        <f aca="false">E_B2B!AN7</f>
        <v>1350000</v>
      </c>
      <c r="E15" s="10" t="n">
        <f aca="false">E_B2B!AO7</f>
        <v>1800000</v>
      </c>
      <c r="F15" s="10" t="n">
        <f aca="false">E_B2B!AO11</f>
        <v>-3348000</v>
      </c>
      <c r="G15" s="10" t="n">
        <f aca="false">E_B2B!AL11</f>
        <v>-279000</v>
      </c>
      <c r="H15" s="10" t="n">
        <f aca="false">MIN(0,MIN(E_B2B!C14:AL14))</f>
        <v>-11423000</v>
      </c>
      <c r="I15" s="10" t="n">
        <f aca="false">E_B2B!AL14</f>
        <v>-11423000</v>
      </c>
      <c r="J15" s="10" t="n">
        <f aca="false">MIN(E_B2B!C15:AL15)</f>
        <v>99</v>
      </c>
      <c r="K15" s="10" t="n">
        <f aca="false">MIN(E_B2B!C16:AL16)</f>
        <v>99</v>
      </c>
      <c r="L15" s="10" t="n">
        <f aca="false">E_B2B!AP12</f>
        <v>450000</v>
      </c>
    </row>
    <row r="16" customFormat="false" ht="15" hidden="false" customHeight="false" outlineLevel="0" collapsed="false">
      <c r="A16" s="0" t="s">
        <v>246</v>
      </c>
      <c r="B16" s="0" t="s">
        <v>4</v>
      </c>
      <c r="C16" s="10" t="n">
        <f aca="false">E_B2B!AM21</f>
        <v>1700000</v>
      </c>
      <c r="D16" s="10" t="n">
        <f aca="false">E_B2B!AN21</f>
        <v>4150000</v>
      </c>
      <c r="E16" s="10" t="n">
        <f aca="false">E_B2B!AO21</f>
        <v>6600000</v>
      </c>
      <c r="F16" s="10" t="n">
        <f aca="false">E_B2B!AO25</f>
        <v>564000</v>
      </c>
      <c r="G16" s="10" t="n">
        <f aca="false">E_B2B!AL25</f>
        <v>94000</v>
      </c>
      <c r="H16" s="10" t="n">
        <f aca="false">MIN(0,MIN(E_B2B!C28:AL28))</f>
        <v>-4081000</v>
      </c>
      <c r="I16" s="10" t="n">
        <f aca="false">E_B2B!AL28</f>
        <v>-3517000</v>
      </c>
      <c r="J16" s="10" t="n">
        <f aca="false">MIN(E_B2B!C29:AL29)</f>
        <v>31</v>
      </c>
      <c r="K16" s="10" t="n">
        <f aca="false">MIN(E_B2B!C30:AL30)</f>
        <v>99</v>
      </c>
      <c r="L16" s="10" t="n">
        <f aca="false">E_B2B!AP26</f>
        <v>300000</v>
      </c>
    </row>
    <row r="17" customFormat="false" ht="15" hidden="false" customHeight="false" outlineLevel="0" collapsed="false">
      <c r="A17" s="0" t="s">
        <v>246</v>
      </c>
      <c r="B17" s="0" t="s">
        <v>5</v>
      </c>
      <c r="C17" s="10" t="n">
        <f aca="false">E_B2B!AM35</f>
        <v>3966666.66666667</v>
      </c>
      <c r="D17" s="10" t="n">
        <f aca="false">E_B2B!AN35</f>
        <v>11500000</v>
      </c>
      <c r="E17" s="10" t="n">
        <f aca="false">E_B2B!AO35</f>
        <v>19000000</v>
      </c>
      <c r="F17" s="10" t="n">
        <f aca="false">E_B2B!AO39</f>
        <v>10030000</v>
      </c>
      <c r="G17" s="10" t="n">
        <f aca="false">E_B2B!AL39</f>
        <v>1012000</v>
      </c>
      <c r="H17" s="10" t="n">
        <f aca="false">MIN(0,MIN(E_B2B!C42:AL42))</f>
        <v>-1176000</v>
      </c>
      <c r="I17" s="10" t="n">
        <f aca="false">E_B2B!AL42</f>
        <v>13858666.6666667</v>
      </c>
      <c r="J17" s="10" t="n">
        <f aca="false">MIN(E_B2B!C43:AL43)</f>
        <v>10</v>
      </c>
      <c r="K17" s="10" t="n">
        <f aca="false">MIN(E_B2B!C44:AL44)</f>
        <v>16</v>
      </c>
      <c r="L17" s="10" t="n">
        <f aca="false">E_B2B!AP40</f>
        <v>200000</v>
      </c>
    </row>
    <row r="18" customFormat="false" ht="15" hidden="false" customHeight="false" outlineLevel="0" collapsed="false">
      <c r="A18" s="0" t="s">
        <v>247</v>
      </c>
      <c r="B18" s="0" t="s">
        <v>3</v>
      </c>
      <c r="C18" s="10" t="n">
        <f aca="false">F_минимум!AM9</f>
        <v>158853.997696193</v>
      </c>
      <c r="D18" s="10" t="n">
        <f aca="false">F_минимум!AN9</f>
        <v>663934.090332518</v>
      </c>
      <c r="E18" s="10" t="n">
        <f aca="false">F_минимум!AO9</f>
        <v>1302563.90822118</v>
      </c>
      <c r="F18" s="10" t="n">
        <f aca="false">F_минимум!AO13</f>
        <v>-1849963.12888488</v>
      </c>
      <c r="G18" s="10" t="n">
        <f aca="false">F_минимум!AL13</f>
        <v>-153687.295189963</v>
      </c>
      <c r="H18" s="10" t="n">
        <f aca="false">MIN(0,MIN(F_минимум!C16:AL16))</f>
        <v>-5604251.78115615</v>
      </c>
      <c r="I18" s="10" t="n">
        <f aca="false">F_минимум!AL16</f>
        <v>-5604251.78115615</v>
      </c>
      <c r="J18" s="10" t="n">
        <f aca="false">MIN(F_минимум!C17:AL17)</f>
        <v>99</v>
      </c>
      <c r="K18" s="10" t="n">
        <f aca="false">MIN(F_минимум!C18:AL18)</f>
        <v>99</v>
      </c>
      <c r="L18" s="10" t="n">
        <f aca="false">F_минимум!AP14</f>
        <v>150000</v>
      </c>
    </row>
    <row r="19" customFormat="false" ht="15" hidden="false" customHeight="false" outlineLevel="0" collapsed="false">
      <c r="A19" s="0" t="s">
        <v>247</v>
      </c>
      <c r="B19" s="0" t="s">
        <v>4</v>
      </c>
      <c r="C19" s="10" t="n">
        <f aca="false">F_минимум!AM25</f>
        <v>1909703.78744193</v>
      </c>
      <c r="D19" s="10" t="n">
        <f aca="false">F_минимум!AN25</f>
        <v>7300041.95624611</v>
      </c>
      <c r="E19" s="10" t="n">
        <f aca="false">F_минимум!AO25</f>
        <v>13618861.0665721</v>
      </c>
      <c r="F19" s="10" t="n">
        <f aca="false">F_минимум!AO29</f>
        <v>-237169.072238405</v>
      </c>
      <c r="G19" s="10" t="n">
        <f aca="false">F_минимум!AL29</f>
        <v>10034.057521096</v>
      </c>
      <c r="H19" s="10" t="n">
        <f aca="false">MIN(0,MIN(F_минимум!C32:AL32))</f>
        <v>-2768294.09162928</v>
      </c>
      <c r="I19" s="10" t="n">
        <f aca="false">F_минимум!AL32</f>
        <v>-2753793.5222779</v>
      </c>
      <c r="J19" s="10" t="n">
        <f aca="false">MIN(F_минимум!C33:AL33)</f>
        <v>35</v>
      </c>
      <c r="K19" s="10" t="n">
        <f aca="false">MIN(F_минимум!C34:AL34)</f>
        <v>99</v>
      </c>
      <c r="L19" s="10" t="n">
        <f aca="false">F_минимум!AP30</f>
        <v>100000</v>
      </c>
    </row>
    <row r="20" customFormat="false" ht="15" hidden="false" customHeight="false" outlineLevel="0" collapsed="false">
      <c r="A20" s="0" t="s">
        <v>247</v>
      </c>
      <c r="B20" s="0" t="s">
        <v>5</v>
      </c>
      <c r="C20" s="10" t="n">
        <f aca="false">F_минимум!AM41</f>
        <v>23081142.8571429</v>
      </c>
      <c r="D20" s="10" t="n">
        <f aca="false">F_минимум!AN41</f>
        <v>73440000</v>
      </c>
      <c r="E20" s="10" t="n">
        <f aca="false">F_минимум!AO41</f>
        <v>123798857.142857</v>
      </c>
      <c r="F20" s="10" t="n">
        <f aca="false">F_минимум!AO45</f>
        <v>20768708.5714286</v>
      </c>
      <c r="G20" s="10" t="n">
        <f aca="false">F_минимум!AL45</f>
        <v>2079771.42857143</v>
      </c>
      <c r="H20" s="10" t="n">
        <f aca="false">MIN(0,MIN(F_минимум!C48:AL48))</f>
        <v>-252468.571428571</v>
      </c>
      <c r="I20" s="10" t="n">
        <f aca="false">F_минимум!AL48</f>
        <v>34871600</v>
      </c>
      <c r="J20" s="10" t="n">
        <f aca="false">MIN(F_минимум!C49:AL49)</f>
        <v>4</v>
      </c>
      <c r="K20" s="10" t="n">
        <f aca="false">MIN(F_минимум!C50:AL50)</f>
        <v>6</v>
      </c>
      <c r="L20" s="10" t="n">
        <f aca="false">F_минимум!AP46</f>
        <v>70000</v>
      </c>
    </row>
    <row r="21" customFormat="false" ht="15" hidden="false" customHeight="false" outlineLevel="0" collapsed="false">
      <c r="A21" s="0" t="s">
        <v>248</v>
      </c>
      <c r="B21" s="0" t="s">
        <v>3</v>
      </c>
      <c r="C21" s="10" t="n">
        <f aca="false">R_комбо!AM8</f>
        <v>927065.891185947</v>
      </c>
      <c r="D21" s="10" t="n">
        <f aca="false">R_комбо!AN8</f>
        <v>1835533.42565611</v>
      </c>
      <c r="E21" s="10" t="n">
        <f aca="false">R_комбо!AO8</f>
        <v>3128536.08454614</v>
      </c>
      <c r="F21" s="10" t="n">
        <f aca="false">R_комбо!AO12</f>
        <v>-6951422.98719819</v>
      </c>
      <c r="G21" s="10" t="n">
        <f aca="false">R_комбо!AL12</f>
        <v>-580877.295189963</v>
      </c>
      <c r="H21" s="10" t="n">
        <f aca="false">MIN(0,MIN(R_комбо!C15:AL15))</f>
        <v>-23467518.2156574</v>
      </c>
      <c r="I21" s="10" t="n">
        <f aca="false">R_комбо!AL15</f>
        <v>-23467518.2156574</v>
      </c>
      <c r="J21" s="10" t="n">
        <f aca="false">MIN(R_комбо!C16:AL16)</f>
        <v>99</v>
      </c>
      <c r="K21" s="10" t="n">
        <f aca="false">MIN(R_комбо!C17:AL17)</f>
        <v>99</v>
      </c>
      <c r="L21" s="10" t="n">
        <f aca="false">R_комбо!AP13</f>
        <v>2100000</v>
      </c>
    </row>
    <row r="22" customFormat="false" ht="15" hidden="false" customHeight="false" outlineLevel="0" collapsed="false">
      <c r="A22" s="0" t="s">
        <v>248</v>
      </c>
      <c r="B22" s="0" t="s">
        <v>4</v>
      </c>
      <c r="C22" s="10" t="n">
        <f aca="false">R_комбо!AM23</f>
        <v>2309300.23710264</v>
      </c>
      <c r="D22" s="10" t="n">
        <f aca="false">R_комбо!AN23</f>
        <v>8457138.74129252</v>
      </c>
      <c r="E22" s="10" t="n">
        <f aca="false">R_комбо!AO23</f>
        <v>15875399.1393457</v>
      </c>
      <c r="F22" s="10" t="n">
        <f aca="false">R_комбо!AO27</f>
        <v>2368930.68475872</v>
      </c>
      <c r="G22" s="10" t="n">
        <f aca="false">R_комбо!AL27</f>
        <v>350434.057521096</v>
      </c>
      <c r="H22" s="10" t="n">
        <f aca="false">MIN(0,MIN(R_комбо!C30:AL30))</f>
        <v>-8431658.29582405</v>
      </c>
      <c r="I22" s="10" t="n">
        <f aca="false">R_комбо!AL30</f>
        <v>-6021735.19005364</v>
      </c>
      <c r="J22" s="10" t="n">
        <f aca="false">MIN(R_комбо!C31:AL31)</f>
        <v>23</v>
      </c>
      <c r="K22" s="10" t="n">
        <f aca="false">MIN(R_комбо!C32:AL32)</f>
        <v>99</v>
      </c>
      <c r="L22" s="10" t="n">
        <f aca="false">R_комбо!AP28</f>
        <v>1400000</v>
      </c>
    </row>
    <row r="23" customFormat="false" ht="15" hidden="false" customHeight="false" outlineLevel="0" collapsed="false">
      <c r="A23" s="0" t="s">
        <v>248</v>
      </c>
      <c r="B23" s="0" t="s">
        <v>5</v>
      </c>
      <c r="C23" s="10" t="n">
        <f aca="false">R_комбо!AM38</f>
        <v>11766272.3809524</v>
      </c>
      <c r="D23" s="10" t="n">
        <f aca="false">R_комбо!AN38</f>
        <v>42336700</v>
      </c>
      <c r="E23" s="10" t="n">
        <f aca="false">R_комбо!AO38</f>
        <v>73481294.2857143</v>
      </c>
      <c r="F23" s="10" t="n">
        <f aca="false">R_комбо!AO42</f>
        <v>51814983.5714286</v>
      </c>
      <c r="G23" s="10" t="n">
        <f aca="false">R_комбо!AL42</f>
        <v>5227371.42857143</v>
      </c>
      <c r="H23" s="10" t="n">
        <f aca="false">MIN(0,MIN(R_комбо!C45:AL45))</f>
        <v>-2069223.21428571</v>
      </c>
      <c r="I23" s="10" t="n">
        <f aca="false">R_комбо!AL45</f>
        <v>81467666.6666667</v>
      </c>
      <c r="J23" s="10" t="n">
        <f aca="false">MIN(R_комбо!C46:AL46)</f>
        <v>6</v>
      </c>
      <c r="K23" s="10" t="n">
        <f aca="false">MIN(R_комбо!C47:AL47)</f>
        <v>10</v>
      </c>
      <c r="L23" s="10" t="n">
        <f aca="false">R_комбо!AP43</f>
        <v>970000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42" min="3" style="0" width="11"/>
  </cols>
  <sheetData>
    <row r="1" customFormat="false" ht="16.15" hidden="false" customHeight="false" outlineLevel="0" collapsed="false">
      <c r="A1" s="8" t="s">
        <v>249</v>
      </c>
    </row>
    <row r="2" customFormat="false" ht="15" hidden="false" customHeight="false" outlineLevel="0" collapsed="false">
      <c r="A2" s="0" t="s">
        <v>250</v>
      </c>
    </row>
    <row r="4" customFormat="false" ht="15" hidden="false" customHeight="false" outlineLevel="0" collapsed="false">
      <c r="A4" s="1" t="s">
        <v>251</v>
      </c>
      <c r="B4" s="1" t="s">
        <v>252</v>
      </c>
      <c r="C4" s="1" t="n">
        <v>1</v>
      </c>
      <c r="D4" s="1" t="n">
        <v>2</v>
      </c>
      <c r="E4" s="1" t="n">
        <v>3</v>
      </c>
      <c r="F4" s="1" t="n">
        <v>4</v>
      </c>
      <c r="G4" s="1" t="n">
        <v>5</v>
      </c>
      <c r="H4" s="1" t="n">
        <v>6</v>
      </c>
      <c r="I4" s="1" t="n">
        <v>7</v>
      </c>
      <c r="J4" s="1" t="n">
        <v>8</v>
      </c>
      <c r="K4" s="1" t="n">
        <v>9</v>
      </c>
      <c r="L4" s="1" t="n">
        <v>10</v>
      </c>
      <c r="M4" s="1" t="n">
        <v>11</v>
      </c>
      <c r="N4" s="1" t="n">
        <v>12</v>
      </c>
      <c r="O4" s="1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  <c r="AG4" s="1" t="n">
        <v>31</v>
      </c>
      <c r="AH4" s="1" t="n">
        <v>32</v>
      </c>
      <c r="AI4" s="1" t="n">
        <v>33</v>
      </c>
      <c r="AJ4" s="1" t="n">
        <v>34</v>
      </c>
      <c r="AK4" s="1" t="n">
        <v>35</v>
      </c>
      <c r="AL4" s="1" t="n">
        <v>36</v>
      </c>
      <c r="AM4" s="1" t="s">
        <v>253</v>
      </c>
      <c r="AN4" s="1" t="s">
        <v>254</v>
      </c>
      <c r="AO4" s="1" t="s">
        <v>255</v>
      </c>
      <c r="AP4" s="1" t="s">
        <v>256</v>
      </c>
    </row>
    <row r="5" customFormat="false" ht="15" hidden="false" customHeight="false" outlineLevel="0" collapsed="false">
      <c r="A5" s="0" t="s">
        <v>257</v>
      </c>
      <c r="B5" s="0" t="s">
        <v>258</v>
      </c>
      <c r="C5" s="10" t="n">
        <f aca="false">Допущения!$C$21*IF(C$4&lt;Допущения!$C$27,0,((C$4-Допущения!$C$27+1)/(36-Допущения!$C$27+1))^Допущения!$C$28)</f>
        <v>0</v>
      </c>
      <c r="D5" s="10" t="n">
        <f aca="false">Допущения!$C$21*IF(D$4&lt;Допущения!$C$27,0,((D$4-Допущения!$C$27+1)/(36-Допущения!$C$27+1))^Допущения!$C$28)</f>
        <v>0</v>
      </c>
      <c r="E5" s="10" t="n">
        <f aca="false">Допущения!$C$21*IF(E$4&lt;Допущения!$C$27,0,((E$4-Допущения!$C$27+1)/(36-Допущения!$C$27+1))^Допущения!$C$28)</f>
        <v>302.644562016192</v>
      </c>
      <c r="F5" s="10" t="n">
        <f aca="false">Допущения!$C$21*IF(F$4&lt;Допущения!$C$27,0,((F$4-Допущения!$C$27+1)/(36-Допущения!$C$27+1))^Допущения!$C$28)</f>
        <v>856.008088363528</v>
      </c>
      <c r="G5" s="10" t="n">
        <f aca="false">Допущения!$C$21*IF(G$4&lt;Допущения!$C$27,0,((G$4-Допущения!$C$27+1)/(36-Допущения!$C$27+1))^Допущения!$C$28)</f>
        <v>1572.58727413942</v>
      </c>
      <c r="H5" s="10" t="n">
        <f aca="false">Допущения!$C$21*IF(H$4&lt;Допущения!$C$27,0,((H$4-Допущения!$C$27+1)/(36-Допущения!$C$27+1))^Допущения!$C$28)</f>
        <v>2421.15649612954</v>
      </c>
      <c r="I5" s="10" t="n">
        <f aca="false">Допущения!$C$21*IF(I$4&lt;Допущения!$C$27,0,((I$4-Допущения!$C$27+1)/(36-Допущения!$C$27+1))^Допущения!$C$28)</f>
        <v>3383.66906844428</v>
      </c>
      <c r="J5" s="10" t="n">
        <f aca="false">Допущения!$C$21*IF(J$4&lt;Допущения!$C$27,0,((J$4-Допущения!$C$27+1)/(36-Допущения!$C$27+1))^Допущения!$C$28)</f>
        <v>4447.94850220662</v>
      </c>
      <c r="K5" s="10" t="n">
        <f aca="false">Допущения!$C$21*IF(K$4&lt;Допущения!$C$27,0,((K$4-Допущения!$C$27+1)/(36-Допущения!$C$27+1))^Допущения!$C$28)</f>
        <v>5605.05572718636</v>
      </c>
      <c r="L5" s="10" t="n">
        <f aca="false">Допущения!$C$21*IF(L$4&lt;Допущения!$C$27,0,((L$4-Допущения!$C$27+1)/(36-Допущения!$C$27+1))^Допущения!$C$28)</f>
        <v>6848.06470690823</v>
      </c>
      <c r="M5" s="10" t="n">
        <f aca="false">Допущения!$C$21*IF(M$4&lt;Допущения!$C$27,0,((M$4-Допущения!$C$27+1)/(36-Допущения!$C$27+1))^Допущения!$C$28)</f>
        <v>8171.40317443719</v>
      </c>
      <c r="N5" s="10" t="n">
        <f aca="false">Допущения!$C$21*IF(N$4&lt;Допущения!$C$27,0,((N$4-Допущения!$C$27+1)/(36-Допущения!$C$27+1))^Допущения!$C$28)</f>
        <v>9570.46137435248</v>
      </c>
      <c r="O5" s="10" t="n">
        <f aca="false">Допущения!$C$21*IF(O$4&lt;Допущения!$C$27,0,((O$4-Допущения!$C$27+1)/(36-Допущения!$C$27+1))^Допущения!$C$28)</f>
        <v>11041.3430275407</v>
      </c>
      <c r="P5" s="10" t="n">
        <f aca="false">Допущения!$C$21*IF(P$4&lt;Допущения!$C$27,0,((P$4-Допущения!$C$27+1)/(36-Допущения!$C$27+1))^Допущения!$C$28)</f>
        <v>12580.6981931154</v>
      </c>
      <c r="Q5" s="10" t="n">
        <f aca="false">Допущения!$C$21*IF(Q$4&lt;Допущения!$C$27,0,((Q$4-Допущения!$C$27+1)/(36-Допущения!$C$27+1))^Допущения!$C$28)</f>
        <v>14185.6063256664</v>
      </c>
      <c r="R5" s="10" t="n">
        <f aca="false">Допущения!$C$21*IF(R$4&lt;Допущения!$C$27,0,((R$4-Допущения!$C$27+1)/(36-Допущения!$C$27+1))^Допущения!$C$28)</f>
        <v>15853.4916544879</v>
      </c>
      <c r="S5" s="10" t="n">
        <f aca="false">Допущения!$C$21*IF(S$4&lt;Допущения!$C$27,0,((S$4-Допущения!$C$27+1)/(36-Допущения!$C$27+1))^Допущения!$C$28)</f>
        <v>17582.0602276342</v>
      </c>
      <c r="T5" s="10" t="n">
        <f aca="false">Допущения!$C$21*IF(T$4&lt;Допущения!$C$27,0,((T$4-Допущения!$C$27+1)/(36-Допущения!$C$27+1))^Допущения!$C$28)</f>
        <v>19369.2519690363</v>
      </c>
      <c r="U5" s="10" t="n">
        <f aca="false">Допущения!$C$21*IF(U$4&lt;Допущения!$C$27,0,((U$4-Допущения!$C$27+1)/(36-Допущения!$C$27+1))^Допущения!$C$28)</f>
        <v>21213.2034355964</v>
      </c>
      <c r="V5" s="10" t="n">
        <f aca="false">Допущения!$C$21*IF(V$4&lt;Допущения!$C$27,0,((V$4-Допущения!$C$27+1)/(36-Допущения!$C$27+1))^Допущения!$C$28)</f>
        <v>23112.2183858153</v>
      </c>
      <c r="W5" s="10" t="n">
        <f aca="false">Допущения!$C$21*IF(W$4&lt;Допущения!$C$27,0,((W$4-Допущения!$C$27+1)/(36-Допущения!$C$27+1))^Допущения!$C$28)</f>
        <v>25064.7441711735</v>
      </c>
      <c r="X5" s="10" t="n">
        <f aca="false">Допущения!$C$21*IF(X$4&lt;Допущения!$C$27,0,((X$4-Допущения!$C$27+1)/(36-Допущения!$C$27+1))^Допущения!$C$28)</f>
        <v>27069.3525475543</v>
      </c>
      <c r="Y5" s="10" t="n">
        <f aca="false">Допущения!$C$21*IF(Y$4&lt;Допущения!$C$27,0,((Y$4-Допущения!$C$27+1)/(36-Допущения!$C$27+1))^Допущения!$C$28)</f>
        <v>29124.7238962251</v>
      </c>
      <c r="Z5" s="10" t="n">
        <f aca="false">Допущения!$C$21*IF(Z$4&lt;Допущения!$C$27,0,((Z$4-Допущения!$C$27+1)/(36-Допущения!$C$27+1))^Допущения!$C$28)</f>
        <v>31229.6341127233</v>
      </c>
      <c r="AA5" s="10" t="n">
        <f aca="false">Допущения!$C$21*IF(AA$4&lt;Допущения!$C$27,0,((AA$4-Допущения!$C$27+1)/(36-Допущения!$C$27+1))^Допущения!$C$28)</f>
        <v>33382.9436101578</v>
      </c>
      <c r="AB5" s="10" t="n">
        <f aca="false">Допущения!$C$21*IF(AB$4&lt;Допущения!$C$27,0,((AB$4-Допущения!$C$27+1)/(36-Допущения!$C$27+1))^Допущения!$C$28)</f>
        <v>35583.588017653</v>
      </c>
      <c r="AC5" s="10" t="n">
        <f aca="false">Допущения!$C$21*IF(AC$4&lt;Допущения!$C$27,0,((AC$4-Допущения!$C$27+1)/(36-Допущения!$C$27+1))^Допущения!$C$28)</f>
        <v>37830.570252024</v>
      </c>
      <c r="AD5" s="10" t="n">
        <f aca="false">Допущения!$C$21*IF(AD$4&lt;Допущения!$C$27,0,((AD$4-Допущения!$C$27+1)/(36-Допущения!$C$27+1))^Допущения!$C$28)</f>
        <v>40122.9537124859</v>
      </c>
      <c r="AE5" s="10" t="n">
        <f aca="false">Допущения!$C$21*IF(AE$4&lt;Допущения!$C$27,0,((AE$4-Допущения!$C$27+1)/(36-Допущения!$C$27+1))^Допущения!$C$28)</f>
        <v>42459.8564017644</v>
      </c>
      <c r="AF5" s="10" t="n">
        <f aca="false">Допущения!$C$21*IF(AF$4&lt;Допущения!$C$27,0,((AF$4-Допущения!$C$27+1)/(36-Допущения!$C$27+1))^Допущения!$C$28)</f>
        <v>44840.4458174909</v>
      </c>
      <c r="AG5" s="10" t="n">
        <f aca="false">Допущения!$C$21*IF(AG$4&lt;Допущения!$C$27,0,((AG$4-Допущения!$C$27+1)/(36-Допущения!$C$27+1))^Допущения!$C$28)</f>
        <v>47263.9344887668</v>
      </c>
      <c r="AH5" s="10" t="n">
        <f aca="false">Допущения!$C$21*IF(AH$4&lt;Допущения!$C$27,0,((AH$4-Допущения!$C$27+1)/(36-Допущения!$C$27+1))^Допущения!$C$28)</f>
        <v>49729.5760567619</v>
      </c>
      <c r="AI5" s="10" t="n">
        <f aca="false">Допущения!$C$21*IF(AI$4&lt;Допущения!$C$27,0,((AI$4-Допущения!$C$27+1)/(36-Допущения!$C$27+1))^Допущения!$C$28)</f>
        <v>52236.6618169397</v>
      </c>
      <c r="AJ5" s="10" t="n">
        <f aca="false">Допущения!$C$21*IF(AJ$4&lt;Допущения!$C$27,0,((AJ$4-Допущения!$C$27+1)/(36-Допущения!$C$27+1))^Допущения!$C$28)</f>
        <v>54784.5176552658</v>
      </c>
      <c r="AK5" s="10" t="n">
        <f aca="false">Допущения!$C$21*IF(AK$4&lt;Допущения!$C$27,0,((AK$4-Допущения!$C$27+1)/(36-Допущения!$C$27+1))^Допущения!$C$28)</f>
        <v>57372.5013224906</v>
      </c>
      <c r="AL5" s="10" t="n">
        <f aca="false">Допущения!$C$21*IF(AL$4&lt;Допущения!$C$27,0,((AL$4-Допущения!$C$27+1)/(36-Допущения!$C$27+1))^Допущения!$C$28)</f>
        <v>60000</v>
      </c>
      <c r="AM5" s="10" t="n">
        <f aca="false">SUM(C5:N5)</f>
        <v>43178.9989741838</v>
      </c>
      <c r="AN5" s="10" t="n">
        <f aca="false">SUM(O5:Z5)</f>
        <v>247426.327946569</v>
      </c>
      <c r="AO5" s="10" t="n">
        <f aca="false">SUM(AA5:AL5)</f>
        <v>555607.549151801</v>
      </c>
      <c r="AP5" s="10" t="n">
        <f aca="false">SUM(C5:AL5)</f>
        <v>846212.876072553</v>
      </c>
    </row>
    <row r="6" customFormat="false" ht="15" hidden="false" customHeight="false" outlineLevel="0" collapsed="false">
      <c r="A6" s="0" t="s">
        <v>259</v>
      </c>
      <c r="B6" s="0" t="s">
        <v>260</v>
      </c>
      <c r="C6" s="10" t="n">
        <f aca="false">Допущения!$C$22*IF(C$4&lt;Допущения!$C$27,0,((C$4-Допущения!$C$27+1)/(36-Допущения!$C$27+1))^Допущения!$C$28)</f>
        <v>0</v>
      </c>
      <c r="D6" s="10" t="n">
        <f aca="false">Допущения!$C$22*IF(D$4&lt;Допущения!$C$27,0,((D$4-Допущения!$C$27+1)/(36-Допущения!$C$27+1))^Допущения!$C$28)</f>
        <v>0</v>
      </c>
      <c r="E6" s="10" t="n">
        <f aca="false">Допущения!$C$22*IF(E$4&lt;Допущения!$C$27,0,((E$4-Допущения!$C$27+1)/(36-Допущения!$C$27+1))^Допущения!$C$28)</f>
        <v>50.440760336032</v>
      </c>
      <c r="F6" s="10" t="n">
        <f aca="false">Допущения!$C$22*IF(F$4&lt;Допущения!$C$27,0,((F$4-Допущения!$C$27+1)/(36-Допущения!$C$27+1))^Допущения!$C$28)</f>
        <v>142.668014727255</v>
      </c>
      <c r="G6" s="10" t="n">
        <f aca="false">Допущения!$C$22*IF(G$4&lt;Допущения!$C$27,0,((G$4-Допущения!$C$27+1)/(36-Допущения!$C$27+1))^Допущения!$C$28)</f>
        <v>262.097879023237</v>
      </c>
      <c r="H6" s="10" t="n">
        <f aca="false">Допущения!$C$22*IF(H$4&lt;Допущения!$C$27,0,((H$4-Допущения!$C$27+1)/(36-Допущения!$C$27+1))^Допущения!$C$28)</f>
        <v>403.526082688256</v>
      </c>
      <c r="I6" s="10" t="n">
        <f aca="false">Допущения!$C$22*IF(I$4&lt;Допущения!$C$27,0,((I$4-Допущения!$C$27+1)/(36-Допущения!$C$27+1))^Допущения!$C$28)</f>
        <v>563.944844740714</v>
      </c>
      <c r="J6" s="10" t="n">
        <f aca="false">Допущения!$C$22*IF(J$4&lt;Допущения!$C$27,0,((J$4-Допущения!$C$27+1)/(36-Допущения!$C$27+1))^Допущения!$C$28)</f>
        <v>741.32475036777</v>
      </c>
      <c r="K6" s="10" t="n">
        <f aca="false">Допущения!$C$22*IF(K$4&lt;Допущения!$C$27,0,((K$4-Допущения!$C$27+1)/(36-Допущения!$C$27+1))^Допущения!$C$28)</f>
        <v>934.17595453106</v>
      </c>
      <c r="L6" s="10" t="n">
        <f aca="false">Допущения!$C$22*IF(L$4&lt;Допущения!$C$27,0,((L$4-Допущения!$C$27+1)/(36-Допущения!$C$27+1))^Допущения!$C$28)</f>
        <v>1141.34411781804</v>
      </c>
      <c r="M6" s="10" t="n">
        <f aca="false">Допущения!$C$22*IF(M$4&lt;Допущения!$C$27,0,((M$4-Допущения!$C$27+1)/(36-Допущения!$C$27+1))^Допущения!$C$28)</f>
        <v>1361.90052907286</v>
      </c>
      <c r="N6" s="10" t="n">
        <f aca="false">Допущения!$C$22*IF(N$4&lt;Допущения!$C$27,0,((N$4-Допущения!$C$27+1)/(36-Допущения!$C$27+1))^Допущения!$C$28)</f>
        <v>1595.07689572541</v>
      </c>
      <c r="O6" s="10" t="n">
        <f aca="false">Допущения!$C$22*IF(O$4&lt;Допущения!$C$27,0,((O$4-Допущения!$C$27+1)/(36-Допущения!$C$27+1))^Допущения!$C$28)</f>
        <v>1840.22383792345</v>
      </c>
      <c r="P6" s="10" t="n">
        <f aca="false">Допущения!$C$22*IF(P$4&lt;Допущения!$C$27,0,((P$4-Допущения!$C$27+1)/(36-Допущения!$C$27+1))^Допущения!$C$28)</f>
        <v>2096.7830321859</v>
      </c>
      <c r="Q6" s="10" t="n">
        <f aca="false">Допущения!$C$22*IF(Q$4&lt;Допущения!$C$27,0,((Q$4-Допущения!$C$27+1)/(36-Допущения!$C$27+1))^Допущения!$C$28)</f>
        <v>2364.2677209444</v>
      </c>
      <c r="R6" s="10" t="n">
        <f aca="false">Допущения!$C$22*IF(R$4&lt;Допущения!$C$27,0,((R$4-Допущения!$C$27+1)/(36-Допущения!$C$27+1))^Допущения!$C$28)</f>
        <v>2642.24860908131</v>
      </c>
      <c r="S6" s="10" t="n">
        <f aca="false">Допущения!$C$22*IF(S$4&lt;Допущения!$C$27,0,((S$4-Допущения!$C$27+1)/(36-Допущения!$C$27+1))^Допущения!$C$28)</f>
        <v>2930.34337127237</v>
      </c>
      <c r="T6" s="10" t="n">
        <f aca="false">Допущения!$C$22*IF(T$4&lt;Допущения!$C$27,0,((T$4-Допущения!$C$27+1)/(36-Допущения!$C$27+1))^Допущения!$C$28)</f>
        <v>3228.20866150605</v>
      </c>
      <c r="U6" s="10" t="n">
        <f aca="false">Допущения!$C$22*IF(U$4&lt;Допущения!$C$27,0,((U$4-Допущения!$C$27+1)/(36-Допущения!$C$27+1))^Допущения!$C$28)</f>
        <v>3535.53390593274</v>
      </c>
      <c r="V6" s="10" t="n">
        <f aca="false">Допущения!$C$22*IF(V$4&lt;Допущения!$C$27,0,((V$4-Допущения!$C$27+1)/(36-Допущения!$C$27+1))^Допущения!$C$28)</f>
        <v>3852.03639763588</v>
      </c>
      <c r="W6" s="10" t="n">
        <f aca="false">Допущения!$C$22*IF(W$4&lt;Допущения!$C$27,0,((W$4-Допущения!$C$27+1)/(36-Допущения!$C$27+1))^Допущения!$C$28)</f>
        <v>4177.45736186225</v>
      </c>
      <c r="X6" s="10" t="n">
        <f aca="false">Допущения!$C$22*IF(X$4&lt;Допущения!$C$27,0,((X$4-Допущения!$C$27+1)/(36-Допущения!$C$27+1))^Допущения!$C$28)</f>
        <v>4511.55875792571</v>
      </c>
      <c r="Y6" s="10" t="n">
        <f aca="false">Допущения!$C$22*IF(Y$4&lt;Допущения!$C$27,0,((Y$4-Допущения!$C$27+1)/(36-Допущения!$C$27+1))^Допущения!$C$28)</f>
        <v>4854.12064937085</v>
      </c>
      <c r="Z6" s="10" t="n">
        <f aca="false">Допущения!$C$22*IF(Z$4&lt;Допущения!$C$27,0,((Z$4-Допущения!$C$27+1)/(36-Допущения!$C$27+1))^Допущения!$C$28)</f>
        <v>5204.93901878723</v>
      </c>
      <c r="AA6" s="10" t="n">
        <f aca="false">Допущения!$C$22*IF(AA$4&lt;Допущения!$C$27,0,((AA$4-Допущения!$C$27+1)/(36-Допущения!$C$27+1))^Допущения!$C$28)</f>
        <v>5563.8239350263</v>
      </c>
      <c r="AB6" s="10" t="n">
        <f aca="false">Допущения!$C$22*IF(AB$4&lt;Допущения!$C$27,0,((AB$4-Допущения!$C$27+1)/(36-Допущения!$C$27+1))^Допущения!$C$28)</f>
        <v>5930.59800294216</v>
      </c>
      <c r="AC6" s="10" t="n">
        <f aca="false">Допущения!$C$22*IF(AC$4&lt;Допущения!$C$27,0,((AC$4-Допущения!$C$27+1)/(36-Допущения!$C$27+1))^Допущения!$C$28)</f>
        <v>6305.095042004</v>
      </c>
      <c r="AD6" s="10" t="n">
        <f aca="false">Допущения!$C$22*IF(AD$4&lt;Допущения!$C$27,0,((AD$4-Допущения!$C$27+1)/(36-Допущения!$C$27+1))^Допущения!$C$28)</f>
        <v>6687.15895208099</v>
      </c>
      <c r="AE6" s="10" t="n">
        <f aca="false">Допущения!$C$22*IF(AE$4&lt;Допущения!$C$27,0,((AE$4-Допущения!$C$27+1)/(36-Допущения!$C$27+1))^Допущения!$C$28)</f>
        <v>7076.64273362741</v>
      </c>
      <c r="AF6" s="10" t="n">
        <f aca="false">Допущения!$C$22*IF(AF$4&lt;Допущения!$C$27,0,((AF$4-Допущения!$C$27+1)/(36-Допущения!$C$27+1))^Допущения!$C$28)</f>
        <v>7473.40763624848</v>
      </c>
      <c r="AG6" s="10" t="n">
        <f aca="false">Допущения!$C$22*IF(AG$4&lt;Допущения!$C$27,0,((AG$4-Допущения!$C$27+1)/(36-Допущения!$C$27+1))^Допущения!$C$28)</f>
        <v>7877.32241479446</v>
      </c>
      <c r="AH6" s="10" t="n">
        <f aca="false">Допущения!$C$22*IF(AH$4&lt;Допущения!$C$27,0,((AH$4-Допущения!$C$27+1)/(36-Допущения!$C$27+1))^Допущения!$C$28)</f>
        <v>8288.26267612698</v>
      </c>
      <c r="AI6" s="10" t="n">
        <f aca="false">Допущения!$C$22*IF(AI$4&lt;Допущения!$C$27,0,((AI$4-Допущения!$C$27+1)/(36-Допущения!$C$27+1))^Допущения!$C$28)</f>
        <v>8706.11030282328</v>
      </c>
      <c r="AJ6" s="10" t="n">
        <f aca="false">Допущения!$C$22*IF(AJ$4&lt;Допущения!$C$27,0,((AJ$4-Допущения!$C$27+1)/(36-Допущения!$C$27+1))^Допущения!$C$28)</f>
        <v>9130.7529425443</v>
      </c>
      <c r="AK6" s="10" t="n">
        <f aca="false">Допущения!$C$22*IF(AK$4&lt;Допущения!$C$27,0,((AK$4-Допущения!$C$27+1)/(36-Допущения!$C$27+1))^Допущения!$C$28)</f>
        <v>9562.08355374843</v>
      </c>
      <c r="AL6" s="10" t="n">
        <f aca="false">Допущения!$C$22*IF(AL$4&lt;Допущения!$C$27,0,((AL$4-Допущения!$C$27+1)/(36-Допущения!$C$27+1))^Допущения!$C$28)</f>
        <v>10000</v>
      </c>
      <c r="AM6" s="10" t="n">
        <f aca="false">N6</f>
        <v>1595.07689572541</v>
      </c>
      <c r="AN6" s="10" t="n">
        <f aca="false">Z6</f>
        <v>5204.93901878723</v>
      </c>
      <c r="AO6" s="10" t="n">
        <f aca="false">AL6</f>
        <v>10000</v>
      </c>
    </row>
    <row r="7" customFormat="false" ht="15" hidden="false" customHeight="false" outlineLevel="0" collapsed="false">
      <c r="A7" s="0" t="s">
        <v>261</v>
      </c>
      <c r="B7" s="0" t="s">
        <v>262</v>
      </c>
      <c r="C7" s="10" t="n">
        <f aca="false">Допущения!$C$23*IF(C$4&lt;Допущения!$C$27,0,((C$4-Допущения!$C$27+1)/(36-Допущения!$C$27+1))^Допущения!$C$28)</f>
        <v>0</v>
      </c>
      <c r="D7" s="10" t="n">
        <f aca="false">Допущения!$C$23*IF(D$4&lt;Допущения!$C$27,0,((D$4-Допущения!$C$27+1)/(36-Допущения!$C$27+1))^Допущения!$C$28)</f>
        <v>0</v>
      </c>
      <c r="E7" s="10" t="n">
        <f aca="false">Допущения!$C$23*IF(E$4&lt;Допущения!$C$27,0,((E$4-Допущения!$C$27+1)/(36-Допущения!$C$27+1))^Допущения!$C$28)</f>
        <v>10088.1520672064</v>
      </c>
      <c r="F7" s="10" t="n">
        <f aca="false">Допущения!$C$23*IF(F$4&lt;Допущения!$C$27,0,((F$4-Допущения!$C$27+1)/(36-Допущения!$C$27+1))^Допущения!$C$28)</f>
        <v>28533.6029454509</v>
      </c>
      <c r="G7" s="10" t="n">
        <f aca="false">Допущения!$C$23*IF(G$4&lt;Допущения!$C$27,0,((G$4-Допущения!$C$27+1)/(36-Допущения!$C$27+1))^Допущения!$C$28)</f>
        <v>52419.5758046475</v>
      </c>
      <c r="H7" s="10" t="n">
        <f aca="false">Допущения!$C$23*IF(H$4&lt;Допущения!$C$27,0,((H$4-Допущения!$C$27+1)/(36-Допущения!$C$27+1))^Допущения!$C$28)</f>
        <v>80705.2165376512</v>
      </c>
      <c r="I7" s="10" t="n">
        <f aca="false">Допущения!$C$23*IF(I$4&lt;Допущения!$C$27,0,((I$4-Допущения!$C$27+1)/(36-Допущения!$C$27+1))^Допущения!$C$28)</f>
        <v>112788.968948143</v>
      </c>
      <c r="J7" s="10" t="n">
        <f aca="false">Допущения!$C$23*IF(J$4&lt;Допущения!$C$27,0,((J$4-Допущения!$C$27+1)/(36-Допущения!$C$27+1))^Допущения!$C$28)</f>
        <v>148264.950073554</v>
      </c>
      <c r="K7" s="10" t="n">
        <f aca="false">Допущения!$C$23*IF(K$4&lt;Допущения!$C$27,0,((K$4-Допущения!$C$27+1)/(36-Допущения!$C$27+1))^Допущения!$C$28)</f>
        <v>186835.190906212</v>
      </c>
      <c r="L7" s="10" t="n">
        <f aca="false">Допущения!$C$23*IF(L$4&lt;Допущения!$C$27,0,((L$4-Допущения!$C$27+1)/(36-Допущения!$C$27+1))^Допущения!$C$28)</f>
        <v>228268.823563608</v>
      </c>
      <c r="M7" s="10" t="n">
        <f aca="false">Допущения!$C$23*IF(M$4&lt;Допущения!$C$27,0,((M$4-Допущения!$C$27+1)/(36-Допущения!$C$27+1))^Допущения!$C$28)</f>
        <v>272380.105814573</v>
      </c>
      <c r="N7" s="10" t="n">
        <f aca="false">Допущения!$C$23*IF(N$4&lt;Допущения!$C$27,0,((N$4-Допущения!$C$27+1)/(36-Допущения!$C$27+1))^Допущения!$C$28)</f>
        <v>319015.379145083</v>
      </c>
      <c r="O7" s="10" t="n">
        <f aca="false">Допущения!$C$23*IF(O$4&lt;Допущения!$C$27,0,((O$4-Допущения!$C$27+1)/(36-Допущения!$C$27+1))^Допущения!$C$28)</f>
        <v>368044.76758469</v>
      </c>
      <c r="P7" s="10" t="n">
        <f aca="false">Допущения!$C$23*IF(P$4&lt;Допущения!$C$27,0,((P$4-Допущения!$C$27+1)/(36-Допущения!$C$27+1))^Допущения!$C$28)</f>
        <v>419356.60643718</v>
      </c>
      <c r="Q7" s="10" t="n">
        <f aca="false">Допущения!$C$23*IF(Q$4&lt;Допущения!$C$27,0,((Q$4-Допущения!$C$27+1)/(36-Допущения!$C$27+1))^Допущения!$C$28)</f>
        <v>472853.544188879</v>
      </c>
      <c r="R7" s="10" t="n">
        <f aca="false">Допущения!$C$23*IF(R$4&lt;Допущения!$C$27,0,((R$4-Допущения!$C$27+1)/(36-Допущения!$C$27+1))^Допущения!$C$28)</f>
        <v>528449.721816263</v>
      </c>
      <c r="S7" s="10" t="n">
        <f aca="false">Допущения!$C$23*IF(S$4&lt;Допущения!$C$27,0,((S$4-Допущения!$C$27+1)/(36-Допущения!$C$27+1))^Допущения!$C$28)</f>
        <v>586068.674254475</v>
      </c>
      <c r="T7" s="10" t="n">
        <f aca="false">Допущения!$C$23*IF(T$4&lt;Допущения!$C$27,0,((T$4-Допущения!$C$27+1)/(36-Допущения!$C$27+1))^Допущения!$C$28)</f>
        <v>645641.73230121</v>
      </c>
      <c r="U7" s="10" t="n">
        <f aca="false">Допущения!$C$23*IF(U$4&lt;Допущения!$C$27,0,((U$4-Допущения!$C$27+1)/(36-Допущения!$C$27+1))^Допущения!$C$28)</f>
        <v>707106.781186548</v>
      </c>
      <c r="V7" s="10" t="n">
        <f aca="false">Допущения!$C$23*IF(V$4&lt;Допущения!$C$27,0,((V$4-Допущения!$C$27+1)/(36-Допущения!$C$27+1))^Допущения!$C$28)</f>
        <v>770407.279527175</v>
      </c>
      <c r="W7" s="10" t="n">
        <f aca="false">Допущения!$C$23*IF(W$4&lt;Допущения!$C$27,0,((W$4-Допущения!$C$27+1)/(36-Допущения!$C$27+1))^Допущения!$C$28)</f>
        <v>835491.472372449</v>
      </c>
      <c r="X7" s="10" t="n">
        <f aca="false">Допущения!$C$23*IF(X$4&lt;Допущения!$C$27,0,((X$4-Допущения!$C$27+1)/(36-Допущения!$C$27+1))^Допущения!$C$28)</f>
        <v>902311.751585142</v>
      </c>
      <c r="Y7" s="10" t="n">
        <f aca="false">Допущения!$C$23*IF(Y$4&lt;Допущения!$C$27,0,((Y$4-Допущения!$C$27+1)/(36-Допущения!$C$27+1))^Допущения!$C$28)</f>
        <v>970824.12987417</v>
      </c>
      <c r="Z7" s="10" t="n">
        <f aca="false">Допущения!$C$23*IF(Z$4&lt;Допущения!$C$27,0,((Z$4-Допущения!$C$27+1)/(36-Допущения!$C$27+1))^Допущения!$C$28)</f>
        <v>1040987.80375745</v>
      </c>
      <c r="AA7" s="10" t="n">
        <f aca="false">Допущения!$C$23*IF(AA$4&lt;Допущения!$C$27,0,((AA$4-Допущения!$C$27+1)/(36-Допущения!$C$27+1))^Допущения!$C$28)</f>
        <v>1112764.78700526</v>
      </c>
      <c r="AB7" s="10" t="n">
        <f aca="false">Допущения!$C$23*IF(AB$4&lt;Допущения!$C$27,0,((AB$4-Допущения!$C$27+1)/(36-Допущения!$C$27+1))^Допущения!$C$28)</f>
        <v>1186119.60058843</v>
      </c>
      <c r="AC7" s="10" t="n">
        <f aca="false">Допущения!$C$23*IF(AC$4&lt;Допущения!$C$27,0,((AC$4-Допущения!$C$27+1)/(36-Допущения!$C$27+1))^Допущения!$C$28)</f>
        <v>1261019.0084008</v>
      </c>
      <c r="AD7" s="10" t="n">
        <f aca="false">Допущения!$C$23*IF(AD$4&lt;Допущения!$C$27,0,((AD$4-Допущения!$C$27+1)/(36-Допущения!$C$27+1))^Допущения!$C$28)</f>
        <v>1337431.7904162</v>
      </c>
      <c r="AE7" s="10" t="n">
        <f aca="false">Допущения!$C$23*IF(AE$4&lt;Допущения!$C$27,0,((AE$4-Допущения!$C$27+1)/(36-Допущения!$C$27+1))^Допущения!$C$28)</f>
        <v>1415328.54672548</v>
      </c>
      <c r="AF7" s="10" t="n">
        <f aca="false">Допущения!$C$23*IF(AF$4&lt;Допущения!$C$27,0,((AF$4-Допущения!$C$27+1)/(36-Допущения!$C$27+1))^Допущения!$C$28)</f>
        <v>1494681.5272497</v>
      </c>
      <c r="AG7" s="10" t="n">
        <f aca="false">Допущения!$C$23*IF(AG$4&lt;Допущения!$C$27,0,((AG$4-Допущения!$C$27+1)/(36-Допущения!$C$27+1))^Допущения!$C$28)</f>
        <v>1575464.48295889</v>
      </c>
      <c r="AH7" s="10" t="n">
        <f aca="false">Допущения!$C$23*IF(AH$4&lt;Допущения!$C$27,0,((AH$4-Допущения!$C$27+1)/(36-Допущения!$C$27+1))^Допущения!$C$28)</f>
        <v>1657652.5352254</v>
      </c>
      <c r="AI7" s="10" t="n">
        <f aca="false">Допущения!$C$23*IF(AI$4&lt;Допущения!$C$27,0,((AI$4-Допущения!$C$27+1)/(36-Допущения!$C$27+1))^Допущения!$C$28)</f>
        <v>1741222.06056466</v>
      </c>
      <c r="AJ7" s="10" t="n">
        <f aca="false">Допущения!$C$23*IF(AJ$4&lt;Допущения!$C$27,0,((AJ$4-Допущения!$C$27+1)/(36-Допущения!$C$27+1))^Допущения!$C$28)</f>
        <v>1826150.58850886</v>
      </c>
      <c r="AK7" s="10" t="n">
        <f aca="false">Допущения!$C$23*IF(AK$4&lt;Допущения!$C$27,0,((AK$4-Допущения!$C$27+1)/(36-Допущения!$C$27+1))^Допущения!$C$28)</f>
        <v>1912416.71074969</v>
      </c>
      <c r="AL7" s="10" t="n">
        <f aca="false">Допущения!$C$23*IF(AL$4&lt;Допущения!$C$27,0,((AL$4-Допущения!$C$27+1)/(36-Допущения!$C$27+1))^Допущения!$C$28)</f>
        <v>2000000</v>
      </c>
      <c r="AM7" s="10" t="n">
        <f aca="false">SUM(C7:N7)</f>
        <v>1439299.96580613</v>
      </c>
      <c r="AN7" s="10" t="n">
        <f aca="false">SUM(O7:Z7)</f>
        <v>8247544.26488563</v>
      </c>
      <c r="AO7" s="10" t="n">
        <f aca="false">SUM(AA7:AL7)</f>
        <v>18520251.6383934</v>
      </c>
      <c r="AP7" s="10" t="n">
        <f aca="false">SUM(C7:AL7)</f>
        <v>28207095.8690851</v>
      </c>
    </row>
    <row r="8" customFormat="false" ht="15" hidden="false" customHeight="false" outlineLevel="0" collapsed="false">
      <c r="A8" s="0" t="s">
        <v>263</v>
      </c>
      <c r="B8" s="0" t="s">
        <v>264</v>
      </c>
      <c r="C8" s="10" t="n">
        <f aca="false">C5*Допущения!$C$24+C6*Допущения!$C$25+C7*Допущения!$C$26</f>
        <v>0</v>
      </c>
      <c r="D8" s="10" t="n">
        <f aca="false">D5*Допущения!$C$24+D6*Допущения!$C$25+D7*Допущения!$C$26</f>
        <v>0</v>
      </c>
      <c r="E8" s="10" t="n">
        <f aca="false">E5*Допущения!$C$24+E6*Допущения!$C$25+E7*Допущения!$C$26</f>
        <v>10.0881520672064</v>
      </c>
      <c r="F8" s="10" t="n">
        <f aca="false">F5*Допущения!$C$24+F6*Допущения!$C$25+F7*Допущения!$C$26</f>
        <v>28.5336029454509</v>
      </c>
      <c r="G8" s="10" t="n">
        <f aca="false">G5*Допущения!$C$24+G6*Допущения!$C$25+G7*Допущения!$C$26</f>
        <v>52.4195758046475</v>
      </c>
      <c r="H8" s="10" t="n">
        <f aca="false">H5*Допущения!$C$24+H6*Допущения!$C$25+H7*Допущения!$C$26</f>
        <v>80.7052165376512</v>
      </c>
      <c r="I8" s="10" t="n">
        <f aca="false">I5*Допущения!$C$24+I6*Допущения!$C$25+I7*Допущения!$C$26</f>
        <v>112.788968948143</v>
      </c>
      <c r="J8" s="10" t="n">
        <f aca="false">J5*Допущения!$C$24+J6*Допущения!$C$25+J7*Допущения!$C$26</f>
        <v>148.264950073554</v>
      </c>
      <c r="K8" s="10" t="n">
        <f aca="false">K5*Допущения!$C$24+K6*Допущения!$C$25+K7*Допущения!$C$26</f>
        <v>186.835190906212</v>
      </c>
      <c r="L8" s="10" t="n">
        <f aca="false">L5*Допущения!$C$24+L6*Допущения!$C$25+L7*Допущения!$C$26</f>
        <v>228.268823563608</v>
      </c>
      <c r="M8" s="10" t="n">
        <f aca="false">M5*Допущения!$C$24+M6*Допущения!$C$25+M7*Допущения!$C$26</f>
        <v>272.380105814573</v>
      </c>
      <c r="N8" s="10" t="n">
        <f aca="false">N5*Допущения!$C$24+N6*Допущения!$C$25+N7*Допущения!$C$26</f>
        <v>319.015379145083</v>
      </c>
      <c r="O8" s="10" t="n">
        <f aca="false">O5*Допущения!$C$24+O6*Допущения!$C$25+O7*Допущения!$C$26</f>
        <v>368.04476758469</v>
      </c>
      <c r="P8" s="10" t="n">
        <f aca="false">P5*Допущения!$C$24+P6*Допущения!$C$25+P7*Допущения!$C$26</f>
        <v>419.35660643718</v>
      </c>
      <c r="Q8" s="10" t="n">
        <f aca="false">Q5*Допущения!$C$24+Q6*Допущения!$C$25+Q7*Допущения!$C$26</f>
        <v>472.853544188879</v>
      </c>
      <c r="R8" s="10" t="n">
        <f aca="false">R5*Допущения!$C$24+R6*Допущения!$C$25+R7*Допущения!$C$26</f>
        <v>528.449721816263</v>
      </c>
      <c r="S8" s="10" t="n">
        <f aca="false">S5*Допущения!$C$24+S6*Допущения!$C$25+S7*Допущения!$C$26</f>
        <v>586.068674254475</v>
      </c>
      <c r="T8" s="10" t="n">
        <f aca="false">T5*Допущения!$C$24+T6*Допущения!$C$25+T7*Допущения!$C$26</f>
        <v>645.64173230121</v>
      </c>
      <c r="U8" s="10" t="n">
        <f aca="false">U5*Допущения!$C$24+U6*Допущения!$C$25+U7*Допущения!$C$26</f>
        <v>707.106781186548</v>
      </c>
      <c r="V8" s="10" t="n">
        <f aca="false">V5*Допущения!$C$24+V6*Допущения!$C$25+V7*Допущения!$C$26</f>
        <v>770.407279527175</v>
      </c>
      <c r="W8" s="10" t="n">
        <f aca="false">W5*Допущения!$C$24+W6*Допущения!$C$25+W7*Допущения!$C$26</f>
        <v>835.491472372449</v>
      </c>
      <c r="X8" s="10" t="n">
        <f aca="false">X5*Допущения!$C$24+X6*Допущения!$C$25+X7*Допущения!$C$26</f>
        <v>902.311751585142</v>
      </c>
      <c r="Y8" s="10" t="n">
        <f aca="false">Y5*Допущения!$C$24+Y6*Допущения!$C$25+Y7*Допущения!$C$26</f>
        <v>970.82412987417</v>
      </c>
      <c r="Z8" s="10" t="n">
        <f aca="false">Z5*Допущения!$C$24+Z6*Допущения!$C$25+Z7*Допущения!$C$26</f>
        <v>1040.98780375745</v>
      </c>
      <c r="AA8" s="10" t="n">
        <f aca="false">AA5*Допущения!$C$24+AA6*Допущения!$C$25+AA7*Допущения!$C$26</f>
        <v>1112.76478700526</v>
      </c>
      <c r="AB8" s="10" t="n">
        <f aca="false">AB5*Допущения!$C$24+AB6*Допущения!$C$25+AB7*Допущения!$C$26</f>
        <v>1186.11960058843</v>
      </c>
      <c r="AC8" s="10" t="n">
        <f aca="false">AC5*Допущения!$C$24+AC6*Допущения!$C$25+AC7*Допущения!$C$26</f>
        <v>1261.0190084008</v>
      </c>
      <c r="AD8" s="10" t="n">
        <f aca="false">AD5*Допущения!$C$24+AD6*Допущения!$C$25+AD7*Допущения!$C$26</f>
        <v>1337.4317904162</v>
      </c>
      <c r="AE8" s="10" t="n">
        <f aca="false">AE5*Допущения!$C$24+AE6*Допущения!$C$25+AE7*Допущения!$C$26</f>
        <v>1415.32854672548</v>
      </c>
      <c r="AF8" s="10" t="n">
        <f aca="false">AF5*Допущения!$C$24+AF6*Допущения!$C$25+AF7*Допущения!$C$26</f>
        <v>1494.6815272497</v>
      </c>
      <c r="AG8" s="10" t="n">
        <f aca="false">AG5*Допущения!$C$24+AG6*Допущения!$C$25+AG7*Допущения!$C$26</f>
        <v>1575.46448295889</v>
      </c>
      <c r="AH8" s="10" t="n">
        <f aca="false">AH5*Допущения!$C$24+AH6*Допущения!$C$25+AH7*Допущения!$C$26</f>
        <v>1657.6525352254</v>
      </c>
      <c r="AI8" s="10" t="n">
        <f aca="false">AI5*Допущения!$C$24+AI6*Допущения!$C$25+AI7*Допущения!$C$26</f>
        <v>1741.22206056466</v>
      </c>
      <c r="AJ8" s="10" t="n">
        <f aca="false">AJ5*Допущения!$C$24+AJ6*Допущения!$C$25+AJ7*Допущения!$C$26</f>
        <v>1826.15058850886</v>
      </c>
      <c r="AK8" s="10" t="n">
        <f aca="false">AK5*Допущения!$C$24+AK6*Допущения!$C$25+AK7*Допущения!$C$26</f>
        <v>1912.41671074969</v>
      </c>
      <c r="AL8" s="10" t="n">
        <f aca="false">AL5*Допущения!$C$24+AL6*Допущения!$C$25+AL7*Допущения!$C$26</f>
        <v>2000</v>
      </c>
      <c r="AM8" s="10" t="n">
        <f aca="false">SUM(C8:N8)</f>
        <v>1439.29996580613</v>
      </c>
      <c r="AN8" s="10" t="n">
        <f aca="false">SUM(O8:Z8)</f>
        <v>8247.54426488563</v>
      </c>
      <c r="AO8" s="10" t="n">
        <f aca="false">SUM(AA8:AL8)</f>
        <v>18520.2516383934</v>
      </c>
      <c r="AP8" s="10" t="n">
        <f aca="false">SUM(C8:AL8)</f>
        <v>28207.0958690851</v>
      </c>
    </row>
    <row r="9" customFormat="false" ht="15" hidden="false" customHeight="false" outlineLevel="0" collapsed="false">
      <c r="A9" s="0" t="s">
        <v>265</v>
      </c>
      <c r="B9" s="0" t="s">
        <v>266</v>
      </c>
      <c r="C9" s="10" t="n">
        <f aca="false">C8*Допущения!$C$6*Допущения!$C$7</f>
        <v>0</v>
      </c>
      <c r="D9" s="10" t="n">
        <f aca="false">D8*Допущения!$C$6*Допущения!$C$7</f>
        <v>0</v>
      </c>
      <c r="E9" s="10" t="n">
        <f aca="false">E8*Допущения!$C$6*Допущения!$C$7</f>
        <v>0.201763041344128</v>
      </c>
      <c r="F9" s="10" t="n">
        <f aca="false">F8*Допущения!$C$6*Допущения!$C$7</f>
        <v>0.570672058909019</v>
      </c>
      <c r="G9" s="10" t="n">
        <f aca="false">G8*Допущения!$C$6*Допущения!$C$7</f>
        <v>1.04839151609295</v>
      </c>
      <c r="H9" s="10" t="n">
        <f aca="false">H8*Допущения!$C$6*Допущения!$C$7</f>
        <v>1.61410433075302</v>
      </c>
      <c r="I9" s="10" t="n">
        <f aca="false">I8*Допущения!$C$6*Допущения!$C$7</f>
        <v>2.25577937896285</v>
      </c>
      <c r="J9" s="10" t="n">
        <f aca="false">J8*Допущения!$C$6*Допущения!$C$7</f>
        <v>2.96529900147108</v>
      </c>
      <c r="K9" s="10" t="n">
        <f aca="false">K8*Допущения!$C$6*Допущения!$C$7</f>
        <v>3.73670381812424</v>
      </c>
      <c r="L9" s="10" t="n">
        <f aca="false">L8*Допущения!$C$6*Допущения!$C$7</f>
        <v>4.56537647127215</v>
      </c>
      <c r="M9" s="10" t="n">
        <f aca="false">M8*Допущения!$C$6*Допущения!$C$7</f>
        <v>5.44760211629146</v>
      </c>
      <c r="N9" s="10" t="n">
        <f aca="false">N8*Допущения!$C$6*Допущения!$C$7</f>
        <v>6.38030758290165</v>
      </c>
      <c r="O9" s="10" t="n">
        <f aca="false">O8*Допущения!$C$6*Допущения!$C$7</f>
        <v>7.3608953516938</v>
      </c>
      <c r="P9" s="10" t="n">
        <f aca="false">P8*Допущения!$C$6*Допущения!$C$7</f>
        <v>8.3871321287436</v>
      </c>
      <c r="Q9" s="10" t="n">
        <f aca="false">Q8*Допущения!$C$6*Допущения!$C$7</f>
        <v>9.45707088377759</v>
      </c>
      <c r="R9" s="10" t="n">
        <f aca="false">R8*Допущения!$C$6*Допущения!$C$7</f>
        <v>10.5689944363253</v>
      </c>
      <c r="S9" s="10" t="n">
        <f aca="false">S8*Допущения!$C$6*Допущения!$C$7</f>
        <v>11.7213734850895</v>
      </c>
      <c r="T9" s="10" t="n">
        <f aca="false">T8*Допущения!$C$6*Допущения!$C$7</f>
        <v>12.9128346460242</v>
      </c>
      <c r="U9" s="10" t="n">
        <f aca="false">U8*Допущения!$C$6*Допущения!$C$7</f>
        <v>14.142135623731</v>
      </c>
      <c r="V9" s="10" t="n">
        <f aca="false">V8*Допущения!$C$6*Допущения!$C$7</f>
        <v>15.4081455905435</v>
      </c>
      <c r="W9" s="10" t="n">
        <f aca="false">W8*Допущения!$C$6*Допущения!$C$7</f>
        <v>16.709829447449</v>
      </c>
      <c r="X9" s="10" t="n">
        <f aca="false">X8*Допущения!$C$6*Допущения!$C$7</f>
        <v>18.0462350317028</v>
      </c>
      <c r="Y9" s="10" t="n">
        <f aca="false">Y8*Допущения!$C$6*Допущения!$C$7</f>
        <v>19.4164825974834</v>
      </c>
      <c r="Z9" s="10" t="n">
        <f aca="false">Z8*Допущения!$C$6*Допущения!$C$7</f>
        <v>20.8197560751489</v>
      </c>
      <c r="AA9" s="10" t="n">
        <f aca="false">AA8*Допущения!$C$6*Допущения!$C$7</f>
        <v>22.2552957401052</v>
      </c>
      <c r="AB9" s="10" t="n">
        <f aca="false">AB8*Допущения!$C$6*Допущения!$C$7</f>
        <v>23.7223920117686</v>
      </c>
      <c r="AC9" s="10" t="n">
        <f aca="false">AC8*Допущения!$C$6*Допущения!$C$7</f>
        <v>25.220380168016</v>
      </c>
      <c r="AD9" s="10" t="n">
        <f aca="false">AD8*Допущения!$C$6*Допущения!$C$7</f>
        <v>26.748635808324</v>
      </c>
      <c r="AE9" s="10" t="n">
        <f aca="false">AE8*Допущения!$C$6*Допущения!$C$7</f>
        <v>28.3065709345096</v>
      </c>
      <c r="AF9" s="10" t="n">
        <f aca="false">AF8*Допущения!$C$6*Допущения!$C$7</f>
        <v>29.8936305449939</v>
      </c>
      <c r="AG9" s="10" t="n">
        <f aca="false">AG8*Допущения!$C$6*Допущения!$C$7</f>
        <v>31.5092896591778</v>
      </c>
      <c r="AH9" s="10" t="n">
        <f aca="false">AH8*Допущения!$C$6*Допущения!$C$7</f>
        <v>33.1530507045079</v>
      </c>
      <c r="AI9" s="10" t="n">
        <f aca="false">AI8*Допущения!$C$6*Допущения!$C$7</f>
        <v>34.8244412112931</v>
      </c>
      <c r="AJ9" s="10" t="n">
        <f aca="false">AJ8*Допущения!$C$6*Допущения!$C$7</f>
        <v>36.5230117701772</v>
      </c>
      <c r="AK9" s="10" t="n">
        <f aca="false">AK8*Допущения!$C$6*Допущения!$C$7</f>
        <v>38.2483342149937</v>
      </c>
      <c r="AL9" s="10" t="n">
        <f aca="false">AL8*Допущения!$C$6*Допущения!$C$7</f>
        <v>40</v>
      </c>
      <c r="AM9" s="10" t="n">
        <f aca="false">SUM(C9:N9)</f>
        <v>28.7859993161226</v>
      </c>
      <c r="AN9" s="10" t="n">
        <f aca="false">SUM(O9:Z9)</f>
        <v>164.950885297713</v>
      </c>
      <c r="AO9" s="10" t="n">
        <f aca="false">SUM(AA9:AL9)</f>
        <v>370.405032767867</v>
      </c>
      <c r="AP9" s="10" t="n">
        <f aca="false">SUM(C9:AL9)</f>
        <v>564.141917381702</v>
      </c>
    </row>
    <row r="10" customFormat="false" ht="15" hidden="false" customHeight="false" outlineLevel="0" collapsed="false">
      <c r="A10" s="0" t="s">
        <v>267</v>
      </c>
      <c r="B10" s="0" t="s">
        <v>268</v>
      </c>
      <c r="C10" s="10" t="n">
        <f aca="false">C9*Допущения!$C$4</f>
        <v>0</v>
      </c>
      <c r="D10" s="10" t="n">
        <f aca="false">D9*Допущения!$C$4</f>
        <v>0</v>
      </c>
      <c r="E10" s="10" t="n">
        <f aca="false">E9*Допущения!$C$4</f>
        <v>262.291953747366</v>
      </c>
      <c r="F10" s="10" t="n">
        <f aca="false">F9*Допущения!$C$4</f>
        <v>741.873676581724</v>
      </c>
      <c r="G10" s="10" t="n">
        <f aca="false">G9*Допущения!$C$4</f>
        <v>1362.90897092083</v>
      </c>
      <c r="H10" s="10" t="n">
        <f aca="false">H9*Допущения!$C$4</f>
        <v>2098.33562997893</v>
      </c>
      <c r="I10" s="10" t="n">
        <f aca="false">I9*Допущения!$C$4</f>
        <v>2932.51319265171</v>
      </c>
      <c r="J10" s="10" t="n">
        <f aca="false">J9*Допущения!$C$4</f>
        <v>3854.8887019124</v>
      </c>
      <c r="K10" s="10" t="n">
        <f aca="false">K9*Допущения!$C$4</f>
        <v>4857.71496356151</v>
      </c>
      <c r="L10" s="10" t="n">
        <f aca="false">L9*Допущения!$C$4</f>
        <v>5934.9894126538</v>
      </c>
      <c r="M10" s="10" t="n">
        <f aca="false">M9*Допущения!$C$4</f>
        <v>7081.88275117889</v>
      </c>
      <c r="N10" s="10" t="n">
        <f aca="false">N9*Допущения!$C$4</f>
        <v>8294.39985777215</v>
      </c>
      <c r="O10" s="10" t="n">
        <f aca="false">O9*Допущения!$C$4</f>
        <v>9569.16395720195</v>
      </c>
      <c r="P10" s="10" t="n">
        <f aca="false">P9*Допущения!$C$4</f>
        <v>10903.2717673667</v>
      </c>
      <c r="Q10" s="10" t="n">
        <f aca="false">Q9*Допущения!$C$4</f>
        <v>12294.1921489109</v>
      </c>
      <c r="R10" s="10" t="n">
        <f aca="false">R9*Допущения!$C$4</f>
        <v>13739.6927672228</v>
      </c>
      <c r="S10" s="10" t="n">
        <f aca="false">S9*Допущения!$C$4</f>
        <v>15237.7855306164</v>
      </c>
      <c r="T10" s="10" t="n">
        <f aca="false">T9*Допущения!$C$4</f>
        <v>16786.6850398315</v>
      </c>
      <c r="U10" s="10" t="n">
        <f aca="false">U9*Допущения!$C$4</f>
        <v>18384.7763108502</v>
      </c>
      <c r="V10" s="10" t="n">
        <f aca="false">V9*Допущения!$C$4</f>
        <v>20030.5892677066</v>
      </c>
      <c r="W10" s="10" t="n">
        <f aca="false">W9*Допущения!$C$4</f>
        <v>21722.7782816837</v>
      </c>
      <c r="X10" s="10" t="n">
        <f aca="false">X9*Допущения!$C$4</f>
        <v>23460.1055412137</v>
      </c>
      <c r="Y10" s="10" t="n">
        <f aca="false">Y9*Допущения!$C$4</f>
        <v>25241.4273767284</v>
      </c>
      <c r="Z10" s="10" t="n">
        <f aca="false">Z9*Допущения!$C$4</f>
        <v>27065.6828976936</v>
      </c>
      <c r="AA10" s="10" t="n">
        <f aca="false">AA9*Допущения!$C$4</f>
        <v>28931.8844621367</v>
      </c>
      <c r="AB10" s="10" t="n">
        <f aca="false">AB9*Допущения!$C$4</f>
        <v>30839.1096152992</v>
      </c>
      <c r="AC10" s="10" t="n">
        <f aca="false">AC9*Допущения!$C$4</f>
        <v>32786.4942184208</v>
      </c>
      <c r="AD10" s="10" t="n">
        <f aca="false">AD9*Допущения!$C$4</f>
        <v>34773.2265508211</v>
      </c>
      <c r="AE10" s="10" t="n">
        <f aca="false">AE9*Допущения!$C$4</f>
        <v>36798.5422148625</v>
      </c>
      <c r="AF10" s="10" t="n">
        <f aca="false">AF9*Допущения!$C$4</f>
        <v>38861.7197084921</v>
      </c>
      <c r="AG10" s="10" t="n">
        <f aca="false">AG9*Допущения!$C$4</f>
        <v>40962.0765569312</v>
      </c>
      <c r="AH10" s="10" t="n">
        <f aca="false">AH9*Допущения!$C$4</f>
        <v>43098.9659158603</v>
      </c>
      <c r="AI10" s="10" t="n">
        <f aca="false">AI9*Допущения!$C$4</f>
        <v>45271.7735746811</v>
      </c>
      <c r="AJ10" s="10" t="n">
        <f aca="false">AJ9*Допущения!$C$4</f>
        <v>47479.9153012304</v>
      </c>
      <c r="AK10" s="10" t="n">
        <f aca="false">AK9*Допущения!$C$4</f>
        <v>49722.8344794919</v>
      </c>
      <c r="AL10" s="10" t="n">
        <f aca="false">AL9*Допущения!$C$4</f>
        <v>52000</v>
      </c>
      <c r="AM10" s="10" t="n">
        <f aca="false">SUM(C10:N10)</f>
        <v>37421.7991109593</v>
      </c>
      <c r="AN10" s="10" t="n">
        <f aca="false">SUM(O10:Z10)</f>
        <v>214436.150887026</v>
      </c>
      <c r="AO10" s="10" t="n">
        <f aca="false">SUM(AA10:AL10)</f>
        <v>481526.542598227</v>
      </c>
      <c r="AP10" s="10" t="n">
        <f aca="false">SUM(C10:AL10)</f>
        <v>733384.492596213</v>
      </c>
    </row>
    <row r="11" customFormat="false" ht="15" hidden="false" customHeight="false" outlineLevel="0" collapsed="false">
      <c r="A11" s="0" t="s">
        <v>269</v>
      </c>
      <c r="B11" s="0" t="s">
        <v>270</v>
      </c>
      <c r="C11" s="10" t="n">
        <f aca="false">C10*Допущения!$C$5</f>
        <v>0</v>
      </c>
      <c r="D11" s="10" t="n">
        <f aca="false">D10*Допущения!$C$5</f>
        <v>0</v>
      </c>
      <c r="E11" s="10" t="n">
        <f aca="false">E10*Допущения!$C$5</f>
        <v>20.9833562997893</v>
      </c>
      <c r="F11" s="10" t="n">
        <f aca="false">F10*Допущения!$C$5</f>
        <v>59.349894126538</v>
      </c>
      <c r="G11" s="10" t="n">
        <f aca="false">G10*Допущения!$C$5</f>
        <v>109.032717673667</v>
      </c>
      <c r="H11" s="10" t="n">
        <f aca="false">H10*Допущения!$C$5</f>
        <v>167.866850398315</v>
      </c>
      <c r="I11" s="10" t="n">
        <f aca="false">I10*Допущения!$C$5</f>
        <v>234.601055412137</v>
      </c>
      <c r="J11" s="10" t="n">
        <f aca="false">J10*Допущения!$C$5</f>
        <v>308.391096152992</v>
      </c>
      <c r="K11" s="10" t="n">
        <f aca="false">K10*Допущения!$C$5</f>
        <v>388.617197084921</v>
      </c>
      <c r="L11" s="10" t="n">
        <f aca="false">L10*Допущения!$C$5</f>
        <v>474.799153012304</v>
      </c>
      <c r="M11" s="10" t="n">
        <f aca="false">M10*Допущения!$C$5</f>
        <v>566.550620094312</v>
      </c>
      <c r="N11" s="10" t="n">
        <f aca="false">N10*Допущения!$C$5</f>
        <v>663.551988621772</v>
      </c>
      <c r="O11" s="10" t="n">
        <f aca="false">O10*Допущения!$C$5</f>
        <v>765.533116576156</v>
      </c>
      <c r="P11" s="10" t="n">
        <f aca="false">P10*Допущения!$C$5</f>
        <v>872.261741389334</v>
      </c>
      <c r="Q11" s="10" t="n">
        <f aca="false">Q10*Допущения!$C$5</f>
        <v>983.535371912869</v>
      </c>
      <c r="R11" s="10" t="n">
        <f aca="false">R10*Допущения!$C$5</f>
        <v>1099.17542137783</v>
      </c>
      <c r="S11" s="10" t="n">
        <f aca="false">S10*Допущения!$C$5</f>
        <v>1219.02284244931</v>
      </c>
      <c r="T11" s="10" t="n">
        <f aca="false">T10*Допущения!$C$5</f>
        <v>1342.93480318652</v>
      </c>
      <c r="U11" s="10" t="n">
        <f aca="false">U10*Допущения!$C$5</f>
        <v>1470.78210486802</v>
      </c>
      <c r="V11" s="10" t="n">
        <f aca="false">V10*Допущения!$C$5</f>
        <v>1602.44714141652</v>
      </c>
      <c r="W11" s="10" t="n">
        <f aca="false">W10*Допущения!$C$5</f>
        <v>1737.82226253469</v>
      </c>
      <c r="X11" s="10" t="n">
        <f aca="false">X10*Допущения!$C$5</f>
        <v>1876.80844329709</v>
      </c>
      <c r="Y11" s="10" t="n">
        <f aca="false">Y10*Допущения!$C$5</f>
        <v>2019.31419013827</v>
      </c>
      <c r="Z11" s="10" t="n">
        <f aca="false">Z10*Допущения!$C$5</f>
        <v>2165.25463181549</v>
      </c>
      <c r="AA11" s="10" t="n">
        <f aca="false">AA10*Допущения!$C$5</f>
        <v>2314.55075697094</v>
      </c>
      <c r="AB11" s="10" t="n">
        <f aca="false">AB10*Допущения!$C$5</f>
        <v>2467.12876922394</v>
      </c>
      <c r="AC11" s="10" t="n">
        <f aca="false">AC10*Допущения!$C$5</f>
        <v>2622.91953747367</v>
      </c>
      <c r="AD11" s="10" t="n">
        <f aca="false">AD10*Допущения!$C$5</f>
        <v>2781.85812406569</v>
      </c>
      <c r="AE11" s="10" t="n">
        <f aca="false">AE10*Допущения!$C$5</f>
        <v>2943.883377189</v>
      </c>
      <c r="AF11" s="10" t="n">
        <f aca="false">AF10*Допущения!$C$5</f>
        <v>3108.93757667937</v>
      </c>
      <c r="AG11" s="10" t="n">
        <f aca="false">AG10*Допущения!$C$5</f>
        <v>3276.9661245545</v>
      </c>
      <c r="AH11" s="10" t="n">
        <f aca="false">AH10*Допущения!$C$5</f>
        <v>3447.91727326882</v>
      </c>
      <c r="AI11" s="10" t="n">
        <f aca="false">AI10*Допущения!$C$5</f>
        <v>3621.74188597449</v>
      </c>
      <c r="AJ11" s="10" t="n">
        <f aca="false">AJ10*Допущения!$C$5</f>
        <v>3798.39322409843</v>
      </c>
      <c r="AK11" s="10" t="n">
        <f aca="false">AK10*Допущения!$C$5</f>
        <v>3977.82675835935</v>
      </c>
      <c r="AL11" s="10" t="n">
        <f aca="false">AL10*Допущения!$C$5</f>
        <v>4160</v>
      </c>
      <c r="AM11" s="10" t="n">
        <f aca="false">SUM(C11:N11)</f>
        <v>2993.74392887675</v>
      </c>
      <c r="AN11" s="10" t="n">
        <f aca="false">SUM(O11:Z11)</f>
        <v>17154.8920709621</v>
      </c>
      <c r="AO11" s="10" t="n">
        <f aca="false">SUM(AA11:AL11)</f>
        <v>38522.1234078582</v>
      </c>
      <c r="AP11" s="10" t="n">
        <f aca="false">SUM(C11:AL11)</f>
        <v>58670.759407697</v>
      </c>
    </row>
    <row r="12" customFormat="false" ht="15" hidden="false" customHeight="false" outlineLevel="0" collapsed="false">
      <c r="A12" s="0" t="s">
        <v>271</v>
      </c>
      <c r="B12" s="0" t="s">
        <v>272</v>
      </c>
      <c r="C12" s="10" t="n">
        <f aca="false">C5/1000*Допущения!$C$8</f>
        <v>0</v>
      </c>
      <c r="D12" s="10" t="n">
        <f aca="false">D5/1000*Допущения!$C$8</f>
        <v>0</v>
      </c>
      <c r="E12" s="10" t="n">
        <f aca="false">E5/1000*Допущения!$C$8</f>
        <v>12.1057824806477</v>
      </c>
      <c r="F12" s="10" t="n">
        <f aca="false">F5/1000*Допущения!$C$8</f>
        <v>34.2403235345411</v>
      </c>
      <c r="G12" s="10" t="n">
        <f aca="false">G5/1000*Допущения!$C$8</f>
        <v>62.903490965577</v>
      </c>
      <c r="H12" s="10" t="n">
        <f aca="false">H5/1000*Допущения!$C$8</f>
        <v>96.8462598451815</v>
      </c>
      <c r="I12" s="10" t="n">
        <f aca="false">I5/1000*Допущения!$C$8</f>
        <v>135.346762737771</v>
      </c>
      <c r="J12" s="10" t="n">
        <f aca="false">J5/1000*Допущения!$C$8</f>
        <v>177.917940088265</v>
      </c>
      <c r="K12" s="10" t="n">
        <f aca="false">K5/1000*Допущения!$C$8</f>
        <v>224.202229087454</v>
      </c>
      <c r="L12" s="10" t="n">
        <f aca="false">L5/1000*Допущения!$C$8</f>
        <v>273.922588276329</v>
      </c>
      <c r="M12" s="10" t="n">
        <f aca="false">M5/1000*Допущения!$C$8</f>
        <v>326.856126977487</v>
      </c>
      <c r="N12" s="10" t="n">
        <f aca="false">N5/1000*Допущения!$C$8</f>
        <v>382.818454974099</v>
      </c>
      <c r="O12" s="10" t="n">
        <f aca="false">O5/1000*Допущения!$C$8</f>
        <v>441.653721101628</v>
      </c>
      <c r="P12" s="10" t="n">
        <f aca="false">P5/1000*Допущения!$C$8</f>
        <v>503.227927724616</v>
      </c>
      <c r="Q12" s="10" t="n">
        <f aca="false">Q5/1000*Допущения!$C$8</f>
        <v>567.424253026655</v>
      </c>
      <c r="R12" s="10" t="n">
        <f aca="false">R5/1000*Допущения!$C$8</f>
        <v>634.139666179515</v>
      </c>
      <c r="S12" s="10" t="n">
        <f aca="false">S5/1000*Допущения!$C$8</f>
        <v>703.28240910537</v>
      </c>
      <c r="T12" s="10" t="n">
        <f aca="false">T5/1000*Допущения!$C$8</f>
        <v>774.770078761452</v>
      </c>
      <c r="U12" s="10" t="n">
        <f aca="false">U5/1000*Допущения!$C$8</f>
        <v>848.528137423857</v>
      </c>
      <c r="V12" s="10" t="n">
        <f aca="false">V5/1000*Допущения!$C$8</f>
        <v>924.48873543261</v>
      </c>
      <c r="W12" s="10" t="n">
        <f aca="false">W5/1000*Допущения!$C$8</f>
        <v>1002.58976684694</v>
      </c>
      <c r="X12" s="10" t="n">
        <f aca="false">X5/1000*Допущения!$C$8</f>
        <v>1082.77410190217</v>
      </c>
      <c r="Y12" s="10" t="n">
        <f aca="false">Y5/1000*Допущения!$C$8</f>
        <v>1164.988955849</v>
      </c>
      <c r="Z12" s="10" t="n">
        <f aca="false">Z5/1000*Допущения!$C$8</f>
        <v>1249.18536450893</v>
      </c>
      <c r="AA12" s="10" t="n">
        <f aca="false">AA5/1000*Допущения!$C$8</f>
        <v>1335.31774440631</v>
      </c>
      <c r="AB12" s="10" t="n">
        <f aca="false">AB5/1000*Допущения!$C$8</f>
        <v>1423.34352070612</v>
      </c>
      <c r="AC12" s="10" t="n">
        <f aca="false">AC5/1000*Допущения!$C$8</f>
        <v>1513.22281008096</v>
      </c>
      <c r="AD12" s="10" t="n">
        <f aca="false">AD5/1000*Допущения!$C$8</f>
        <v>1604.91814849944</v>
      </c>
      <c r="AE12" s="10" t="n">
        <f aca="false">AE5/1000*Допущения!$C$8</f>
        <v>1698.39425607058</v>
      </c>
      <c r="AF12" s="10" t="n">
        <f aca="false">AF5/1000*Допущения!$C$8</f>
        <v>1793.61783269964</v>
      </c>
      <c r="AG12" s="10" t="n">
        <f aca="false">AG5/1000*Допущения!$C$8</f>
        <v>1890.55737955067</v>
      </c>
      <c r="AH12" s="10" t="n">
        <f aca="false">AH5/1000*Допущения!$C$8</f>
        <v>1989.18304227047</v>
      </c>
      <c r="AI12" s="10" t="n">
        <f aca="false">AI5/1000*Допущения!$C$8</f>
        <v>2089.46647267759</v>
      </c>
      <c r="AJ12" s="10" t="n">
        <f aca="false">AJ5/1000*Допущения!$C$8</f>
        <v>2191.38070621063</v>
      </c>
      <c r="AK12" s="10" t="n">
        <f aca="false">AK5/1000*Допущения!$C$8</f>
        <v>2294.90005289962</v>
      </c>
      <c r="AL12" s="10" t="n">
        <f aca="false">AL5/1000*Допущения!$C$8</f>
        <v>2400</v>
      </c>
      <c r="AM12" s="10" t="n">
        <f aca="false">SUM(C12:N12)</f>
        <v>1727.15995896735</v>
      </c>
      <c r="AN12" s="10" t="n">
        <f aca="false">SUM(O12:Z12)</f>
        <v>9897.05311786275</v>
      </c>
      <c r="AO12" s="10" t="n">
        <f aca="false">SUM(AA12:AL12)</f>
        <v>22224.301966072</v>
      </c>
      <c r="AP12" s="10" t="n">
        <f aca="false">SUM(C12:AL12)</f>
        <v>33848.5150429021</v>
      </c>
    </row>
    <row r="13" customFormat="false" ht="15" hidden="false" customHeight="false" outlineLevel="0" collapsed="false">
      <c r="A13" s="0" t="s">
        <v>273</v>
      </c>
      <c r="B13" s="0" t="s">
        <v>274</v>
      </c>
      <c r="C13" s="10" t="n">
        <f aca="false">IF(C6&gt;=10000,C6*Допущения!$C$11*Допущения!$C$10/1000*Допущения!$C$12*(1-Допущения!$C$14),0)</f>
        <v>0</v>
      </c>
      <c r="D13" s="10" t="n">
        <f aca="false">IF(D6&gt;=10000,D6*Допущения!$C$11*Допущения!$C$10/1000*Допущения!$C$12*(1-Допущения!$C$14),0)</f>
        <v>0</v>
      </c>
      <c r="E13" s="10" t="n">
        <f aca="false">IF(E6&gt;=10000,E6*Допущения!$C$11*Допущения!$C$10/1000*Допущения!$C$12*(1-Допущения!$C$14),0)</f>
        <v>0</v>
      </c>
      <c r="F13" s="10" t="n">
        <f aca="false">IF(F6&gt;=10000,F6*Допущения!$C$11*Допущения!$C$10/1000*Допущения!$C$12*(1-Допущения!$C$14),0)</f>
        <v>0</v>
      </c>
      <c r="G13" s="10" t="n">
        <f aca="false">IF(G6&gt;=10000,G6*Допущения!$C$11*Допущения!$C$10/1000*Допущения!$C$12*(1-Допущения!$C$14),0)</f>
        <v>0</v>
      </c>
      <c r="H13" s="10" t="n">
        <f aca="false">IF(H6&gt;=10000,H6*Допущения!$C$11*Допущения!$C$10/1000*Допущения!$C$12*(1-Допущения!$C$14),0)</f>
        <v>0</v>
      </c>
      <c r="I13" s="10" t="n">
        <f aca="false">IF(I6&gt;=10000,I6*Допущения!$C$11*Допущения!$C$10/1000*Допущения!$C$12*(1-Допущения!$C$14),0)</f>
        <v>0</v>
      </c>
      <c r="J13" s="10" t="n">
        <f aca="false">IF(J6&gt;=10000,J6*Допущения!$C$11*Допущения!$C$10/1000*Допущения!$C$12*(1-Допущения!$C$14),0)</f>
        <v>0</v>
      </c>
      <c r="K13" s="10" t="n">
        <f aca="false">IF(K6&gt;=10000,K6*Допущения!$C$11*Допущения!$C$10/1000*Допущения!$C$12*(1-Допущения!$C$14),0)</f>
        <v>0</v>
      </c>
      <c r="L13" s="10" t="n">
        <f aca="false">IF(L6&gt;=10000,L6*Допущения!$C$11*Допущения!$C$10/1000*Допущения!$C$12*(1-Допущения!$C$14),0)</f>
        <v>0</v>
      </c>
      <c r="M13" s="10" t="n">
        <f aca="false">IF(M6&gt;=10000,M6*Допущения!$C$11*Допущения!$C$10/1000*Допущения!$C$12*(1-Допущения!$C$14),0)</f>
        <v>0</v>
      </c>
      <c r="N13" s="10" t="n">
        <f aca="false">IF(N6&gt;=10000,N6*Допущения!$C$11*Допущения!$C$10/1000*Допущения!$C$12*(1-Допущения!$C$14),0)</f>
        <v>0</v>
      </c>
      <c r="O13" s="10" t="n">
        <f aca="false">IF(O6&gt;=10000,O6*Допущения!$C$11*Допущения!$C$10/1000*Допущения!$C$12*(1-Допущения!$C$14),0)</f>
        <v>0</v>
      </c>
      <c r="P13" s="10" t="n">
        <f aca="false">IF(P6&gt;=10000,P6*Допущения!$C$11*Допущения!$C$10/1000*Допущения!$C$12*(1-Допущения!$C$14),0)</f>
        <v>0</v>
      </c>
      <c r="Q13" s="10" t="n">
        <f aca="false">IF(Q6&gt;=10000,Q6*Допущения!$C$11*Допущения!$C$10/1000*Допущения!$C$12*(1-Допущения!$C$14),0)</f>
        <v>0</v>
      </c>
      <c r="R13" s="10" t="n">
        <f aca="false">IF(R6&gt;=10000,R6*Допущения!$C$11*Допущения!$C$10/1000*Допущения!$C$12*(1-Допущения!$C$14),0)</f>
        <v>0</v>
      </c>
      <c r="S13" s="10" t="n">
        <f aca="false">IF(S6&gt;=10000,S6*Допущения!$C$11*Допущения!$C$10/1000*Допущения!$C$12*(1-Допущения!$C$14),0)</f>
        <v>0</v>
      </c>
      <c r="T13" s="10" t="n">
        <f aca="false">IF(T6&gt;=10000,T6*Допущения!$C$11*Допущения!$C$10/1000*Допущения!$C$12*(1-Допущения!$C$14),0)</f>
        <v>0</v>
      </c>
      <c r="U13" s="10" t="n">
        <f aca="false">IF(U6&gt;=10000,U6*Допущения!$C$11*Допущения!$C$10/1000*Допущения!$C$12*(1-Допущения!$C$14),0)</f>
        <v>0</v>
      </c>
      <c r="V13" s="10" t="n">
        <f aca="false">IF(V6&gt;=10000,V6*Допущения!$C$11*Допущения!$C$10/1000*Допущения!$C$12*(1-Допущения!$C$14),0)</f>
        <v>0</v>
      </c>
      <c r="W13" s="10" t="n">
        <f aca="false">IF(W6&gt;=10000,W6*Допущения!$C$11*Допущения!$C$10/1000*Допущения!$C$12*(1-Допущения!$C$14),0)</f>
        <v>0</v>
      </c>
      <c r="X13" s="10" t="n">
        <f aca="false">IF(X6&gt;=10000,X6*Допущения!$C$11*Допущения!$C$10/1000*Допущения!$C$12*(1-Допущения!$C$14),0)</f>
        <v>0</v>
      </c>
      <c r="Y13" s="10" t="n">
        <f aca="false">IF(Y6&gt;=10000,Y6*Допущения!$C$11*Допущения!$C$10/1000*Допущения!$C$12*(1-Допущения!$C$14),0)</f>
        <v>0</v>
      </c>
      <c r="Z13" s="10" t="n">
        <f aca="false">IF(Z6&gt;=10000,Z6*Допущения!$C$11*Допущения!$C$10/1000*Допущения!$C$12*(1-Допущения!$C$14),0)</f>
        <v>0</v>
      </c>
      <c r="AA13" s="10" t="n">
        <f aca="false">IF(AA6&gt;=10000,AA6*Допущения!$C$11*Допущения!$C$10/1000*Допущения!$C$12*(1-Допущения!$C$14),0)</f>
        <v>0</v>
      </c>
      <c r="AB13" s="10" t="n">
        <f aca="false">IF(AB6&gt;=10000,AB6*Допущения!$C$11*Допущения!$C$10/1000*Допущения!$C$12*(1-Допущения!$C$14),0)</f>
        <v>0</v>
      </c>
      <c r="AC13" s="10" t="n">
        <f aca="false">IF(AC6&gt;=10000,AC6*Допущения!$C$11*Допущения!$C$10/1000*Допущения!$C$12*(1-Допущения!$C$14),0)</f>
        <v>0</v>
      </c>
      <c r="AD13" s="10" t="n">
        <f aca="false">IF(AD6&gt;=10000,AD6*Допущения!$C$11*Допущения!$C$10/1000*Допущения!$C$12*(1-Допущения!$C$14),0)</f>
        <v>0</v>
      </c>
      <c r="AE13" s="10" t="n">
        <f aca="false">IF(AE6&gt;=10000,AE6*Допущения!$C$11*Допущения!$C$10/1000*Допущения!$C$12*(1-Допущения!$C$14),0)</f>
        <v>0</v>
      </c>
      <c r="AF13" s="10" t="n">
        <f aca="false">IF(AF6&gt;=10000,AF6*Допущения!$C$11*Допущения!$C$10/1000*Допущения!$C$12*(1-Допущения!$C$14),0)</f>
        <v>0</v>
      </c>
      <c r="AG13" s="10" t="n">
        <f aca="false">IF(AG6&gt;=10000,AG6*Допущения!$C$11*Допущения!$C$10/1000*Допущения!$C$12*(1-Допущения!$C$14),0)</f>
        <v>0</v>
      </c>
      <c r="AH13" s="10" t="n">
        <f aca="false">IF(AH6&gt;=10000,AH6*Допущения!$C$11*Допущения!$C$10/1000*Допущения!$C$12*(1-Допущения!$C$14),0)</f>
        <v>0</v>
      </c>
      <c r="AI13" s="10" t="n">
        <f aca="false">IF(AI6&gt;=10000,AI6*Допущения!$C$11*Допущения!$C$10/1000*Допущения!$C$12*(1-Допущения!$C$14),0)</f>
        <v>0</v>
      </c>
      <c r="AJ13" s="10" t="n">
        <f aca="false">IF(AJ6&gt;=10000,AJ6*Допущения!$C$11*Допущения!$C$10/1000*Допущения!$C$12*(1-Допущения!$C$14),0)</f>
        <v>0</v>
      </c>
      <c r="AK13" s="10" t="n">
        <f aca="false">IF(AK6&gt;=10000,AK6*Допущения!$C$11*Допущения!$C$10/1000*Допущения!$C$12*(1-Допущения!$C$14),0)</f>
        <v>0</v>
      </c>
      <c r="AL13" s="10" t="n">
        <f aca="false">IF(AL6&gt;=10000,AL6*Допущения!$C$11*Допущения!$C$10/1000*Допущения!$C$12*(1-Допущения!$C$14),0)</f>
        <v>2481.6</v>
      </c>
      <c r="AM13" s="10" t="n">
        <f aca="false">SUM(C13:N13)</f>
        <v>0</v>
      </c>
      <c r="AN13" s="10" t="n">
        <f aca="false">SUM(O13:Z13)</f>
        <v>0</v>
      </c>
      <c r="AO13" s="10" t="n">
        <f aca="false">SUM(AA13:AL13)</f>
        <v>2481.6</v>
      </c>
      <c r="AP13" s="10" t="n">
        <f aca="false">SUM(C13:AL13)</f>
        <v>2481.6</v>
      </c>
    </row>
    <row r="14" customFormat="false" ht="15" hidden="false" customHeight="false" outlineLevel="0" collapsed="false">
      <c r="A14" s="0" t="s">
        <v>275</v>
      </c>
      <c r="B14" s="0" t="s">
        <v>276</v>
      </c>
      <c r="C14" s="10" t="n">
        <f aca="false">C11+C12+C13</f>
        <v>0</v>
      </c>
      <c r="D14" s="10" t="n">
        <f aca="false">D11+D12+D13</f>
        <v>0</v>
      </c>
      <c r="E14" s="10" t="n">
        <f aca="false">E11+E12+E13</f>
        <v>33.089138780437</v>
      </c>
      <c r="F14" s="10" t="n">
        <f aca="false">F11+F12+F13</f>
        <v>93.5902176610791</v>
      </c>
      <c r="G14" s="10" t="n">
        <f aca="false">G11+G12+G13</f>
        <v>171.936208639244</v>
      </c>
      <c r="H14" s="10" t="n">
        <f aca="false">H11+H12+H13</f>
        <v>264.713110243496</v>
      </c>
      <c r="I14" s="10" t="n">
        <f aca="false">I11+I12+I13</f>
        <v>369.947818149908</v>
      </c>
      <c r="J14" s="10" t="n">
        <f aca="false">J11+J12+J13</f>
        <v>486.309036241257</v>
      </c>
      <c r="K14" s="10" t="n">
        <f aca="false">K11+K12+K13</f>
        <v>612.819426172376</v>
      </c>
      <c r="L14" s="10" t="n">
        <f aca="false">L11+L12+L13</f>
        <v>748.721741288633</v>
      </c>
      <c r="M14" s="10" t="n">
        <f aca="false">M11+M12+M13</f>
        <v>893.406747071799</v>
      </c>
      <c r="N14" s="10" t="n">
        <f aca="false">N11+N12+N13</f>
        <v>1046.37044359587</v>
      </c>
      <c r="O14" s="10" t="n">
        <f aca="false">O11+O12+O13</f>
        <v>1207.18683767778</v>
      </c>
      <c r="P14" s="10" t="n">
        <f aca="false">P11+P12+P13</f>
        <v>1375.48966911395</v>
      </c>
      <c r="Q14" s="10" t="n">
        <f aca="false">Q11+Q12+Q13</f>
        <v>1550.95962493952</v>
      </c>
      <c r="R14" s="10" t="n">
        <f aca="false">R11+R12+R13</f>
        <v>1733.31508755734</v>
      </c>
      <c r="S14" s="10" t="n">
        <f aca="false">S11+S12+S13</f>
        <v>1922.30525155468</v>
      </c>
      <c r="T14" s="10" t="n">
        <f aca="false">T11+T12+T13</f>
        <v>2117.70488194797</v>
      </c>
      <c r="U14" s="10" t="n">
        <f aca="false">U11+U12+U13</f>
        <v>2319.31024229188</v>
      </c>
      <c r="V14" s="10" t="n">
        <f aca="false">V11+V12+V13</f>
        <v>2526.93587684914</v>
      </c>
      <c r="W14" s="10" t="n">
        <f aca="false">W11+W12+W13</f>
        <v>2740.41202938163</v>
      </c>
      <c r="X14" s="10" t="n">
        <f aca="false">X11+X12+X13</f>
        <v>2959.58254519927</v>
      </c>
      <c r="Y14" s="10" t="n">
        <f aca="false">Y11+Y12+Y13</f>
        <v>3184.30314598728</v>
      </c>
      <c r="Z14" s="10" t="n">
        <f aca="false">Z11+Z12+Z13</f>
        <v>3414.43999632442</v>
      </c>
      <c r="AA14" s="10" t="n">
        <f aca="false">AA11+AA12+AA13</f>
        <v>3649.86850137725</v>
      </c>
      <c r="AB14" s="10" t="n">
        <f aca="false">AB11+AB12+AB13</f>
        <v>3890.47228993006</v>
      </c>
      <c r="AC14" s="10" t="n">
        <f aca="false">AC11+AC12+AC13</f>
        <v>4136.14234755463</v>
      </c>
      <c r="AD14" s="10" t="n">
        <f aca="false">AD11+AD12+AD13</f>
        <v>4386.77627256513</v>
      </c>
      <c r="AE14" s="10" t="n">
        <f aca="false">AE11+AE12+AE13</f>
        <v>4642.27763325958</v>
      </c>
      <c r="AF14" s="10" t="n">
        <f aca="false">AF11+AF12+AF13</f>
        <v>4902.555409379</v>
      </c>
      <c r="AG14" s="10" t="n">
        <f aca="false">AG11+AG12+AG13</f>
        <v>5167.52350410517</v>
      </c>
      <c r="AH14" s="10" t="n">
        <f aca="false">AH11+AH12+AH13</f>
        <v>5437.1003155393</v>
      </c>
      <c r="AI14" s="10" t="n">
        <f aca="false">AI11+AI12+AI13</f>
        <v>5711.20835865207</v>
      </c>
      <c r="AJ14" s="10" t="n">
        <f aca="false">AJ11+AJ12+AJ13</f>
        <v>5989.77393030906</v>
      </c>
      <c r="AK14" s="10" t="n">
        <f aca="false">AK11+AK12+AK13</f>
        <v>6272.72681125897</v>
      </c>
      <c r="AL14" s="10" t="n">
        <f aca="false">AL11+AL12+AL13</f>
        <v>9041.6</v>
      </c>
      <c r="AM14" s="10" t="n">
        <f aca="false">SUM(C14:N14)</f>
        <v>4720.9038878441</v>
      </c>
      <c r="AN14" s="10" t="n">
        <f aca="false">SUM(O14:Z14)</f>
        <v>27051.9451888249</v>
      </c>
      <c r="AO14" s="10" t="n">
        <f aca="false">SUM(AA14:AL14)</f>
        <v>63228.0253739302</v>
      </c>
      <c r="AP14" s="10" t="n">
        <f aca="false">SUM(C14:AL14)</f>
        <v>95000.8744505992</v>
      </c>
    </row>
    <row r="15" customFormat="false" ht="15" hidden="false" customHeight="false" outlineLevel="0" collapsed="false">
      <c r="A15" s="0" t="s">
        <v>277</v>
      </c>
      <c r="B15" s="0" t="s">
        <v>278</v>
      </c>
      <c r="C15" s="10" t="n">
        <f aca="false">MAX(0,C6-0)*(1-Допущения!$C$13)*Допущения!$C$9</f>
        <v>0</v>
      </c>
      <c r="D15" s="10" t="n">
        <f aca="false">MAX(0,D6-C6)*(1-Допущения!$C$13)*Допущения!$C$9</f>
        <v>0</v>
      </c>
      <c r="E15" s="10" t="n">
        <f aca="false">MAX(0,E6-D6)*(1-Допущения!$C$13)*Допущения!$C$9</f>
        <v>12105.7824806477</v>
      </c>
      <c r="F15" s="10" t="n">
        <f aca="false">MAX(0,F6-E6)*(1-Допущения!$C$13)*Допущения!$C$9</f>
        <v>22134.5410538935</v>
      </c>
      <c r="G15" s="10" t="n">
        <f aca="false">MAX(0,G6-F6)*(1-Допущения!$C$13)*Допущения!$C$9</f>
        <v>28663.1674310358</v>
      </c>
      <c r="H15" s="10" t="n">
        <f aca="false">MAX(0,H6-G6)*(1-Допущения!$C$13)*Допущения!$C$9</f>
        <v>33942.7688796045</v>
      </c>
      <c r="I15" s="10" t="n">
        <f aca="false">MAX(0,I6-H6)*(1-Допущения!$C$13)*Допущения!$C$9</f>
        <v>38500.5028925898</v>
      </c>
      <c r="J15" s="10" t="n">
        <f aca="false">MAX(0,J6-I6)*(1-Допущения!$C$13)*Допущения!$C$9</f>
        <v>42571.1773504935</v>
      </c>
      <c r="K15" s="10" t="n">
        <f aca="false">MAX(0,K6-J6)*(1-Допущения!$C$13)*Допущения!$C$9</f>
        <v>46284.2889991897</v>
      </c>
      <c r="L15" s="10" t="n">
        <f aca="false">MAX(0,L6-K6)*(1-Допущения!$C$13)*Допущения!$C$9</f>
        <v>49720.3591888746</v>
      </c>
      <c r="M15" s="10" t="n">
        <f aca="false">MAX(0,M6-L6)*(1-Допущения!$C$13)*Допущения!$C$9</f>
        <v>52933.5387011584</v>
      </c>
      <c r="N15" s="10" t="n">
        <f aca="false">MAX(0,N6-M6)*(1-Допущения!$C$13)*Допущения!$C$9</f>
        <v>55962.3279966117</v>
      </c>
      <c r="O15" s="10" t="n">
        <f aca="false">MAX(0,O6-N6)*(1-Допущения!$C$13)*Допущения!$C$9</f>
        <v>58835.2661275291</v>
      </c>
      <c r="P15" s="10" t="n">
        <f aca="false">MAX(0,P6-O6)*(1-Допущения!$C$13)*Допущения!$C$9</f>
        <v>61574.2066229875</v>
      </c>
      <c r="Q15" s="10" t="n">
        <f aca="false">MAX(0,Q6-P6)*(1-Допущения!$C$13)*Допущения!$C$9</f>
        <v>64196.3253020396</v>
      </c>
      <c r="R15" s="10" t="n">
        <f aca="false">MAX(0,R6-Q6)*(1-Допущения!$C$13)*Допущения!$C$9</f>
        <v>66715.4131528602</v>
      </c>
      <c r="S15" s="10" t="n">
        <f aca="false">MAX(0,S6-R6)*(1-Допущения!$C$13)*Допущения!$C$9</f>
        <v>69142.7429258543</v>
      </c>
      <c r="T15" s="10" t="n">
        <f aca="false">MAX(0,T6-S6)*(1-Допущения!$C$13)*Допущения!$C$9</f>
        <v>71487.6696560819</v>
      </c>
      <c r="U15" s="10" t="n">
        <f aca="false">MAX(0,U6-T6)*(1-Допущения!$C$13)*Допущения!$C$9</f>
        <v>73758.0586624055</v>
      </c>
      <c r="V15" s="10" t="n">
        <f aca="false">MAX(0,V6-U6)*(1-Допущения!$C$13)*Допущения!$C$9</f>
        <v>75960.5980087533</v>
      </c>
      <c r="W15" s="10" t="n">
        <f aca="false">MAX(0,W6-V6)*(1-Допущения!$C$13)*Допущения!$C$9</f>
        <v>78101.0314143289</v>
      </c>
      <c r="X15" s="10" t="n">
        <f aca="false">MAX(0,X6-W6)*(1-Допущения!$C$13)*Допущения!$C$9</f>
        <v>80184.3350552308</v>
      </c>
      <c r="Y15" s="10" t="n">
        <f aca="false">MAX(0,Y6-X6)*(1-Допущения!$C$13)*Допущения!$C$9</f>
        <v>82214.853946834</v>
      </c>
      <c r="Z15" s="10" t="n">
        <f aca="false">MAX(0,Z6-Y6)*(1-Допущения!$C$13)*Допущения!$C$9</f>
        <v>84196.4086599299</v>
      </c>
      <c r="AA15" s="10" t="n">
        <f aca="false">MAX(0,AA6-Z6)*(1-Допущения!$C$13)*Допущения!$C$9</f>
        <v>86132.3798973774</v>
      </c>
      <c r="AB15" s="10" t="n">
        <f aca="false">MAX(0,AB6-AA6)*(1-Допущения!$C$13)*Допущения!$C$9</f>
        <v>88025.776299807</v>
      </c>
      <c r="AC15" s="10" t="n">
        <f aca="false">MAX(0,AC6-AB6)*(1-Допущения!$C$13)*Допущения!$C$9</f>
        <v>89879.2893748421</v>
      </c>
      <c r="AD15" s="10" t="n">
        <f aca="false">MAX(0,AD6-AC6)*(1-Допущения!$C$13)*Допущения!$C$9</f>
        <v>91695.3384184768</v>
      </c>
      <c r="AE15" s="10" t="n">
        <f aca="false">MAX(0,AE6-AD6)*(1-Допущения!$C$13)*Допущения!$C$9</f>
        <v>93476.1075711405</v>
      </c>
      <c r="AF15" s="10" t="n">
        <f aca="false">MAX(0,AF6-AE6)*(1-Допущения!$C$13)*Допущения!$C$9</f>
        <v>95223.576629058</v>
      </c>
      <c r="AG15" s="10" t="n">
        <f aca="false">MAX(0,AG6-AF6)*(1-Допущения!$C$13)*Допущения!$C$9</f>
        <v>96939.546851035</v>
      </c>
      <c r="AH15" s="10" t="n">
        <f aca="false">MAX(0,AH6-AG6)*(1-Допущения!$C$13)*Допущения!$C$9</f>
        <v>98625.6627198042</v>
      </c>
      <c r="AI15" s="10" t="n">
        <f aca="false">MAX(0,AI6-AH6)*(1-Допущения!$C$13)*Допущения!$C$9</f>
        <v>100283.430407113</v>
      </c>
      <c r="AJ15" s="10" t="n">
        <f aca="false">MAX(0,AJ6-AI6)*(1-Допущения!$C$13)*Допущения!$C$9</f>
        <v>101914.233533044</v>
      </c>
      <c r="AK15" s="10" t="n">
        <f aca="false">MAX(0,AK6-AJ6)*(1-Допущения!$C$13)*Допущения!$C$9</f>
        <v>103519.346688992</v>
      </c>
      <c r="AL15" s="10" t="n">
        <f aca="false">MAX(0,AL6-AK6)*(1-Допущения!$C$13)*Допущения!$C$9</f>
        <v>105099.947100376</v>
      </c>
      <c r="AM15" s="10" t="n">
        <f aca="false">SUM(C15:N15)</f>
        <v>382818.454974099</v>
      </c>
      <c r="AN15" s="10" t="n">
        <f aca="false">SUM(O15:Z15)</f>
        <v>866366.909534835</v>
      </c>
      <c r="AO15" s="10" t="n">
        <f aca="false">SUM(AA15:AL15)</f>
        <v>1150814.63549107</v>
      </c>
      <c r="AP15" s="10" t="n">
        <f aca="false">SUM(C15:AL15)</f>
        <v>2400000</v>
      </c>
    </row>
    <row r="16" customFormat="false" ht="15" hidden="false" customHeight="false" outlineLevel="0" collapsed="false">
      <c r="A16" s="0" t="s">
        <v>279</v>
      </c>
      <c r="B16" s="0" t="s">
        <v>280</v>
      </c>
      <c r="C16" s="10" t="n">
        <f aca="false">Допущения!$C$16</f>
        <v>480000</v>
      </c>
      <c r="D16" s="10" t="n">
        <f aca="false">Допущения!$C$16</f>
        <v>480000</v>
      </c>
      <c r="E16" s="10" t="n">
        <f aca="false">Допущения!$C$16</f>
        <v>480000</v>
      </c>
      <c r="F16" s="10" t="n">
        <f aca="false">Допущения!$C$16</f>
        <v>480000</v>
      </c>
      <c r="G16" s="10" t="n">
        <f aca="false">Допущения!$C$16</f>
        <v>480000</v>
      </c>
      <c r="H16" s="10" t="n">
        <f aca="false">Допущения!$C$16</f>
        <v>480000</v>
      </c>
      <c r="I16" s="10" t="n">
        <f aca="false">Допущения!$C$16</f>
        <v>480000</v>
      </c>
      <c r="J16" s="10" t="n">
        <f aca="false">Допущения!$C$16</f>
        <v>480000</v>
      </c>
      <c r="K16" s="10" t="n">
        <f aca="false">Допущения!$C$16</f>
        <v>480000</v>
      </c>
      <c r="L16" s="10" t="n">
        <f aca="false">Допущения!$C$16</f>
        <v>480000</v>
      </c>
      <c r="M16" s="10" t="n">
        <f aca="false">Допущения!$C$16</f>
        <v>480000</v>
      </c>
      <c r="N16" s="10" t="n">
        <f aca="false">Допущения!$C$16</f>
        <v>480000</v>
      </c>
      <c r="O16" s="10" t="n">
        <f aca="false">Допущения!$C$16</f>
        <v>480000</v>
      </c>
      <c r="P16" s="10" t="n">
        <f aca="false">Допущения!$C$16</f>
        <v>480000</v>
      </c>
      <c r="Q16" s="10" t="n">
        <f aca="false">Допущения!$C$16</f>
        <v>480000</v>
      </c>
      <c r="R16" s="10" t="n">
        <f aca="false">Допущения!$C$16</f>
        <v>480000</v>
      </c>
      <c r="S16" s="10" t="n">
        <f aca="false">Допущения!$C$16</f>
        <v>480000</v>
      </c>
      <c r="T16" s="10" t="n">
        <f aca="false">Допущения!$C$16</f>
        <v>480000</v>
      </c>
      <c r="U16" s="10" t="n">
        <f aca="false">Допущения!$C$16</f>
        <v>480000</v>
      </c>
      <c r="V16" s="10" t="n">
        <f aca="false">Допущения!$C$16</f>
        <v>480000</v>
      </c>
      <c r="W16" s="10" t="n">
        <f aca="false">Допущения!$C$16</f>
        <v>480000</v>
      </c>
      <c r="X16" s="10" t="n">
        <f aca="false">Допущения!$C$16</f>
        <v>480000</v>
      </c>
      <c r="Y16" s="10" t="n">
        <f aca="false">Допущения!$C$16</f>
        <v>480000</v>
      </c>
      <c r="Z16" s="10" t="n">
        <f aca="false">Допущения!$C$16</f>
        <v>480000</v>
      </c>
      <c r="AA16" s="10" t="n">
        <f aca="false">Допущения!$C$16</f>
        <v>480000</v>
      </c>
      <c r="AB16" s="10" t="n">
        <f aca="false">Допущения!$C$16</f>
        <v>480000</v>
      </c>
      <c r="AC16" s="10" t="n">
        <f aca="false">Допущения!$C$16</f>
        <v>480000</v>
      </c>
      <c r="AD16" s="10" t="n">
        <f aca="false">Допущения!$C$16</f>
        <v>480000</v>
      </c>
      <c r="AE16" s="10" t="n">
        <f aca="false">Допущения!$C$16</f>
        <v>480000</v>
      </c>
      <c r="AF16" s="10" t="n">
        <f aca="false">Допущения!$C$16</f>
        <v>480000</v>
      </c>
      <c r="AG16" s="10" t="n">
        <f aca="false">Допущения!$C$16</f>
        <v>480000</v>
      </c>
      <c r="AH16" s="10" t="n">
        <f aca="false">Допущения!$C$16</f>
        <v>480000</v>
      </c>
      <c r="AI16" s="10" t="n">
        <f aca="false">Допущения!$C$16</f>
        <v>480000</v>
      </c>
      <c r="AJ16" s="10" t="n">
        <f aca="false">Допущения!$C$16</f>
        <v>480000</v>
      </c>
      <c r="AK16" s="10" t="n">
        <f aca="false">Допущения!$C$16</f>
        <v>480000</v>
      </c>
      <c r="AL16" s="10" t="n">
        <f aca="false">Допущения!$C$16</f>
        <v>480000</v>
      </c>
      <c r="AM16" s="10" t="n">
        <f aca="false">SUM(C16:N16)</f>
        <v>5760000</v>
      </c>
      <c r="AN16" s="10" t="n">
        <f aca="false">SUM(O16:Z16)</f>
        <v>5760000</v>
      </c>
      <c r="AO16" s="10" t="n">
        <f aca="false">SUM(AA16:AL16)</f>
        <v>5760000</v>
      </c>
      <c r="AP16" s="10" t="n">
        <f aca="false">SUM(C16:AL16)</f>
        <v>17280000</v>
      </c>
    </row>
    <row r="17" customFormat="false" ht="15" hidden="false" customHeight="false" outlineLevel="0" collapsed="false">
      <c r="A17" s="1" t="s">
        <v>281</v>
      </c>
      <c r="B17" s="1" t="s">
        <v>282</v>
      </c>
      <c r="C17" s="11" t="n">
        <f aca="false">C14-C16-C15</f>
        <v>-480000</v>
      </c>
      <c r="D17" s="11" t="n">
        <f aca="false">D14-D16-D15</f>
        <v>-480000</v>
      </c>
      <c r="E17" s="11" t="n">
        <f aca="false">E14-E16-E15</f>
        <v>-492072.693341867</v>
      </c>
      <c r="F17" s="11" t="n">
        <f aca="false">F14-F16-F15</f>
        <v>-502040.950836232</v>
      </c>
      <c r="G17" s="11" t="n">
        <f aca="false">G14-G16-G15</f>
        <v>-508491.231222397</v>
      </c>
      <c r="H17" s="11" t="n">
        <f aca="false">H14-H16-H15</f>
        <v>-513678.055769361</v>
      </c>
      <c r="I17" s="11" t="n">
        <f aca="false">I14-I16-I15</f>
        <v>-518130.55507444</v>
      </c>
      <c r="J17" s="11" t="n">
        <f aca="false">J14-J16-J15</f>
        <v>-522084.868314252</v>
      </c>
      <c r="K17" s="11" t="n">
        <f aca="false">K14-K16-K15</f>
        <v>-525671.469573017</v>
      </c>
      <c r="L17" s="11" t="n">
        <f aca="false">L14-L16-L15</f>
        <v>-528971.637447586</v>
      </c>
      <c r="M17" s="11" t="n">
        <f aca="false">M14-M16-M15</f>
        <v>-532040.131954087</v>
      </c>
      <c r="N17" s="11" t="n">
        <f aca="false">N14-N16-N15</f>
        <v>-534915.957553016</v>
      </c>
      <c r="O17" s="11" t="n">
        <f aca="false">O14-O16-O15</f>
        <v>-537628.079289851</v>
      </c>
      <c r="P17" s="11" t="n">
        <f aca="false">P14-P16-P15</f>
        <v>-540198.716953874</v>
      </c>
      <c r="Q17" s="11" t="n">
        <f aca="false">Q14-Q16-Q15</f>
        <v>-542645.3656771</v>
      </c>
      <c r="R17" s="11" t="n">
        <f aca="false">R14-R16-R15</f>
        <v>-544982.098065303</v>
      </c>
      <c r="S17" s="11" t="n">
        <f aca="false">S14-S16-S15</f>
        <v>-547220.4376743</v>
      </c>
      <c r="T17" s="11" t="n">
        <f aca="false">T14-T16-T15</f>
        <v>-549369.964774134</v>
      </c>
      <c r="U17" s="11" t="n">
        <f aca="false">U14-U16-U15</f>
        <v>-551438.748420114</v>
      </c>
      <c r="V17" s="11" t="n">
        <f aca="false">V14-V16-V15</f>
        <v>-553433.662131904</v>
      </c>
      <c r="W17" s="11" t="n">
        <f aca="false">W14-W16-W15</f>
        <v>-555360.619384947</v>
      </c>
      <c r="X17" s="11" t="n">
        <f aca="false">X14-X16-X15</f>
        <v>-557224.752510032</v>
      </c>
      <c r="Y17" s="11" t="n">
        <f aca="false">Y14-Y16-Y15</f>
        <v>-559030.550800847</v>
      </c>
      <c r="Z17" s="11" t="n">
        <f aca="false">Z14-Z16-Z15</f>
        <v>-560781.968663605</v>
      </c>
      <c r="AA17" s="11" t="n">
        <f aca="false">AA14-AA16-AA15</f>
        <v>-562482.511396</v>
      </c>
      <c r="AB17" s="11" t="n">
        <f aca="false">AB14-AB16-AB15</f>
        <v>-564135.304009877</v>
      </c>
      <c r="AC17" s="11" t="n">
        <f aca="false">AC14-AC16-AC15</f>
        <v>-565743.147027287</v>
      </c>
      <c r="AD17" s="11" t="n">
        <f aca="false">AD14-AD16-AD15</f>
        <v>-567308.562145912</v>
      </c>
      <c r="AE17" s="11" t="n">
        <f aca="false">AE14-AE16-AE15</f>
        <v>-568833.829937881</v>
      </c>
      <c r="AF17" s="11" t="n">
        <f aca="false">AF14-AF16-AF15</f>
        <v>-570321.021219679</v>
      </c>
      <c r="AG17" s="11" t="n">
        <f aca="false">AG14-AG16-AG15</f>
        <v>-571772.02334693</v>
      </c>
      <c r="AH17" s="11" t="n">
        <f aca="false">AH14-AH16-AH15</f>
        <v>-573188.562404265</v>
      </c>
      <c r="AI17" s="11" t="n">
        <f aca="false">AI14-AI16-AI15</f>
        <v>-574572.222048461</v>
      </c>
      <c r="AJ17" s="11" t="n">
        <f aca="false">AJ14-AJ16-AJ15</f>
        <v>-575924.459602735</v>
      </c>
      <c r="AK17" s="11" t="n">
        <f aca="false">AK14-AK16-AK15</f>
        <v>-577246.619877733</v>
      </c>
      <c r="AL17" s="11" t="n">
        <f aca="false">AL14-AL16-AL15</f>
        <v>-576058.347100376</v>
      </c>
      <c r="AM17" s="11" t="n">
        <f aca="false">SUM(C17:N17)</f>
        <v>-6138097.55108626</v>
      </c>
      <c r="AN17" s="11" t="n">
        <f aca="false">SUM(O17:Z17)</f>
        <v>-6599314.96434601</v>
      </c>
      <c r="AO17" s="11" t="n">
        <f aca="false">SUM(AA17:AL17)</f>
        <v>-6847586.61011714</v>
      </c>
      <c r="AP17" s="11" t="n">
        <f aca="false">SUM(C17:AL17)</f>
        <v>-19584999.1255494</v>
      </c>
    </row>
    <row r="18" customFormat="false" ht="15" hidden="false" customHeight="false" outlineLevel="0" collapsed="false">
      <c r="A18" s="0" t="s">
        <v>283</v>
      </c>
      <c r="B18" s="0" t="s">
        <v>284</v>
      </c>
      <c r="C18" s="10" t="n">
        <f aca="false">IF(C$4=1,Допущения!$C$18,0)</f>
        <v>600000</v>
      </c>
      <c r="D18" s="10" t="n">
        <f aca="false">IF(D$4=1,Допущения!$C$18,0)</f>
        <v>0</v>
      </c>
      <c r="E18" s="10" t="n">
        <f aca="false">IF(E$4=1,Допущения!$C$18,0)</f>
        <v>0</v>
      </c>
      <c r="F18" s="10" t="n">
        <f aca="false">IF(F$4=1,Допущения!$C$18,0)</f>
        <v>0</v>
      </c>
      <c r="G18" s="10" t="n">
        <f aca="false">IF(G$4=1,Допущения!$C$18,0)</f>
        <v>0</v>
      </c>
      <c r="H18" s="10" t="n">
        <f aca="false">IF(H$4=1,Допущения!$C$18,0)</f>
        <v>0</v>
      </c>
      <c r="I18" s="10" t="n">
        <f aca="false">IF(I$4=1,Допущения!$C$18,0)</f>
        <v>0</v>
      </c>
      <c r="J18" s="10" t="n">
        <f aca="false">IF(J$4=1,Допущения!$C$18,0)</f>
        <v>0</v>
      </c>
      <c r="K18" s="10" t="n">
        <f aca="false">IF(K$4=1,Допущения!$C$18,0)</f>
        <v>0</v>
      </c>
      <c r="L18" s="10" t="n">
        <f aca="false">IF(L$4=1,Допущения!$C$18,0)</f>
        <v>0</v>
      </c>
      <c r="M18" s="10" t="n">
        <f aca="false">IF(M$4=1,Допущения!$C$18,0)</f>
        <v>0</v>
      </c>
      <c r="N18" s="10" t="n">
        <f aca="false">IF(N$4=1,Допущения!$C$18,0)</f>
        <v>0</v>
      </c>
      <c r="O18" s="10" t="n">
        <f aca="false">IF(O$4=1,Допущения!$C$18,0)</f>
        <v>0</v>
      </c>
      <c r="P18" s="10" t="n">
        <f aca="false">IF(P$4=1,Допущения!$C$18,0)</f>
        <v>0</v>
      </c>
      <c r="Q18" s="10" t="n">
        <f aca="false">IF(Q$4=1,Допущения!$C$18,0)</f>
        <v>0</v>
      </c>
      <c r="R18" s="10" t="n">
        <f aca="false">IF(R$4=1,Допущения!$C$18,0)</f>
        <v>0</v>
      </c>
      <c r="S18" s="10" t="n">
        <f aca="false">IF(S$4=1,Допущения!$C$18,0)</f>
        <v>0</v>
      </c>
      <c r="T18" s="10" t="n">
        <f aca="false">IF(T$4=1,Допущения!$C$18,0)</f>
        <v>0</v>
      </c>
      <c r="U18" s="10" t="n">
        <f aca="false">IF(U$4=1,Допущения!$C$18,0)</f>
        <v>0</v>
      </c>
      <c r="V18" s="10" t="n">
        <f aca="false">IF(V$4=1,Допущения!$C$18,0)</f>
        <v>0</v>
      </c>
      <c r="W18" s="10" t="n">
        <f aca="false">IF(W$4=1,Допущения!$C$18,0)</f>
        <v>0</v>
      </c>
      <c r="X18" s="10" t="n">
        <f aca="false">IF(X$4=1,Допущения!$C$18,0)</f>
        <v>0</v>
      </c>
      <c r="Y18" s="10" t="n">
        <f aca="false">IF(Y$4=1,Допущения!$C$18,0)</f>
        <v>0</v>
      </c>
      <c r="Z18" s="10" t="n">
        <f aca="false">IF(Z$4=1,Допущения!$C$18,0)</f>
        <v>0</v>
      </c>
      <c r="AA18" s="10" t="n">
        <f aca="false">IF(AA$4=1,Допущения!$C$18,0)</f>
        <v>0</v>
      </c>
      <c r="AB18" s="10" t="n">
        <f aca="false">IF(AB$4=1,Допущения!$C$18,0)</f>
        <v>0</v>
      </c>
      <c r="AC18" s="10" t="n">
        <f aca="false">IF(AC$4=1,Допущения!$C$18,0)</f>
        <v>0</v>
      </c>
      <c r="AD18" s="10" t="n">
        <f aca="false">IF(AD$4=1,Допущения!$C$18,0)</f>
        <v>0</v>
      </c>
      <c r="AE18" s="10" t="n">
        <f aca="false">IF(AE$4=1,Допущения!$C$18,0)</f>
        <v>0</v>
      </c>
      <c r="AF18" s="10" t="n">
        <f aca="false">IF(AF$4=1,Допущения!$C$18,0)</f>
        <v>0</v>
      </c>
      <c r="AG18" s="10" t="n">
        <f aca="false">IF(AG$4=1,Допущения!$C$18,0)</f>
        <v>0</v>
      </c>
      <c r="AH18" s="10" t="n">
        <f aca="false">IF(AH$4=1,Допущения!$C$18,0)</f>
        <v>0</v>
      </c>
      <c r="AI18" s="10" t="n">
        <f aca="false">IF(AI$4=1,Допущения!$C$18,0)</f>
        <v>0</v>
      </c>
      <c r="AJ18" s="10" t="n">
        <f aca="false">IF(AJ$4=1,Допущения!$C$18,0)</f>
        <v>0</v>
      </c>
      <c r="AK18" s="10" t="n">
        <f aca="false">IF(AK$4=1,Допущения!$C$18,0)</f>
        <v>0</v>
      </c>
      <c r="AL18" s="10" t="n">
        <f aca="false">IF(AL$4=1,Допущения!$C$18,0)</f>
        <v>0</v>
      </c>
      <c r="AM18" s="10" t="n">
        <f aca="false">SUM(C18:N18)</f>
        <v>600000</v>
      </c>
      <c r="AN18" s="10" t="n">
        <f aca="false">SUM(O18:Z18)</f>
        <v>0</v>
      </c>
      <c r="AO18" s="10" t="n">
        <f aca="false">SUM(AA18:AL18)</f>
        <v>0</v>
      </c>
      <c r="AP18" s="10" t="n">
        <f aca="false">SUM(C18:AL18)</f>
        <v>600000</v>
      </c>
    </row>
    <row r="19" customFormat="false" ht="15" hidden="false" customHeight="false" outlineLevel="0" collapsed="false">
      <c r="A19" s="1" t="s">
        <v>285</v>
      </c>
      <c r="B19" s="1" t="s">
        <v>286</v>
      </c>
      <c r="C19" s="11" t="n">
        <f aca="false">C17-C18</f>
        <v>-1080000</v>
      </c>
      <c r="D19" s="11" t="n">
        <f aca="false">D17-D18</f>
        <v>-480000</v>
      </c>
      <c r="E19" s="11" t="n">
        <f aca="false">E17-E18</f>
        <v>-492072.693341867</v>
      </c>
      <c r="F19" s="11" t="n">
        <f aca="false">F17-F18</f>
        <v>-502040.950836232</v>
      </c>
      <c r="G19" s="11" t="n">
        <f aca="false">G17-G18</f>
        <v>-508491.231222397</v>
      </c>
      <c r="H19" s="11" t="n">
        <f aca="false">H17-H18</f>
        <v>-513678.055769361</v>
      </c>
      <c r="I19" s="11" t="n">
        <f aca="false">I17-I18</f>
        <v>-518130.55507444</v>
      </c>
      <c r="J19" s="11" t="n">
        <f aca="false">J17-J18</f>
        <v>-522084.868314252</v>
      </c>
      <c r="K19" s="11" t="n">
        <f aca="false">K17-K18</f>
        <v>-525671.469573017</v>
      </c>
      <c r="L19" s="11" t="n">
        <f aca="false">L17-L18</f>
        <v>-528971.637447586</v>
      </c>
      <c r="M19" s="11" t="n">
        <f aca="false">M17-M18</f>
        <v>-532040.131954087</v>
      </c>
      <c r="N19" s="11" t="n">
        <f aca="false">N17-N18</f>
        <v>-534915.957553016</v>
      </c>
      <c r="O19" s="11" t="n">
        <f aca="false">O17-O18</f>
        <v>-537628.079289851</v>
      </c>
      <c r="P19" s="11" t="n">
        <f aca="false">P17-P18</f>
        <v>-540198.716953874</v>
      </c>
      <c r="Q19" s="11" t="n">
        <f aca="false">Q17-Q18</f>
        <v>-542645.3656771</v>
      </c>
      <c r="R19" s="11" t="n">
        <f aca="false">R17-R18</f>
        <v>-544982.098065303</v>
      </c>
      <c r="S19" s="11" t="n">
        <f aca="false">S17-S18</f>
        <v>-547220.4376743</v>
      </c>
      <c r="T19" s="11" t="n">
        <f aca="false">T17-T18</f>
        <v>-549369.964774134</v>
      </c>
      <c r="U19" s="11" t="n">
        <f aca="false">U17-U18</f>
        <v>-551438.748420114</v>
      </c>
      <c r="V19" s="11" t="n">
        <f aca="false">V17-V18</f>
        <v>-553433.662131904</v>
      </c>
      <c r="W19" s="11" t="n">
        <f aca="false">W17-W18</f>
        <v>-555360.619384947</v>
      </c>
      <c r="X19" s="11" t="n">
        <f aca="false">X17-X18</f>
        <v>-557224.752510032</v>
      </c>
      <c r="Y19" s="11" t="n">
        <f aca="false">Y17-Y18</f>
        <v>-559030.550800847</v>
      </c>
      <c r="Z19" s="11" t="n">
        <f aca="false">Z17-Z18</f>
        <v>-560781.968663605</v>
      </c>
      <c r="AA19" s="11" t="n">
        <f aca="false">AA17-AA18</f>
        <v>-562482.511396</v>
      </c>
      <c r="AB19" s="11" t="n">
        <f aca="false">AB17-AB18</f>
        <v>-564135.304009877</v>
      </c>
      <c r="AC19" s="11" t="n">
        <f aca="false">AC17-AC18</f>
        <v>-565743.147027287</v>
      </c>
      <c r="AD19" s="11" t="n">
        <f aca="false">AD17-AD18</f>
        <v>-567308.562145912</v>
      </c>
      <c r="AE19" s="11" t="n">
        <f aca="false">AE17-AE18</f>
        <v>-568833.829937881</v>
      </c>
      <c r="AF19" s="11" t="n">
        <f aca="false">AF17-AF18</f>
        <v>-570321.021219679</v>
      </c>
      <c r="AG19" s="11" t="n">
        <f aca="false">AG17-AG18</f>
        <v>-571772.02334693</v>
      </c>
      <c r="AH19" s="11" t="n">
        <f aca="false">AH17-AH18</f>
        <v>-573188.562404265</v>
      </c>
      <c r="AI19" s="11" t="n">
        <f aca="false">AI17-AI18</f>
        <v>-574572.222048461</v>
      </c>
      <c r="AJ19" s="11" t="n">
        <f aca="false">AJ17-AJ18</f>
        <v>-575924.459602735</v>
      </c>
      <c r="AK19" s="11" t="n">
        <f aca="false">AK17-AK18</f>
        <v>-577246.619877733</v>
      </c>
      <c r="AL19" s="11" t="n">
        <f aca="false">AL17-AL18</f>
        <v>-576058.347100376</v>
      </c>
      <c r="AM19" s="11" t="n">
        <f aca="false">SUM(C19:N19)</f>
        <v>-6738097.55108626</v>
      </c>
      <c r="AN19" s="11" t="n">
        <f aca="false">SUM(O19:Z19)</f>
        <v>-6599314.96434601</v>
      </c>
      <c r="AO19" s="11" t="n">
        <f aca="false">SUM(AA19:AL19)</f>
        <v>-6847586.61011714</v>
      </c>
      <c r="AP19" s="11" t="n">
        <f aca="false">SUM(C19:AL19)</f>
        <v>-20184999.1255494</v>
      </c>
    </row>
    <row r="20" customFormat="false" ht="15" hidden="false" customHeight="false" outlineLevel="0" collapsed="false">
      <c r="A20" s="1" t="s">
        <v>287</v>
      </c>
      <c r="B20" s="1" t="s">
        <v>288</v>
      </c>
      <c r="C20" s="11" t="n">
        <f aca="false">0+C19</f>
        <v>-1080000</v>
      </c>
      <c r="D20" s="11" t="n">
        <f aca="false">C20+D19</f>
        <v>-1560000</v>
      </c>
      <c r="E20" s="11" t="n">
        <f aca="false">D20+E19</f>
        <v>-2052072.69334187</v>
      </c>
      <c r="F20" s="11" t="n">
        <f aca="false">E20+F19</f>
        <v>-2554113.6441781</v>
      </c>
      <c r="G20" s="11" t="n">
        <f aca="false">F20+G19</f>
        <v>-3062604.8754005</v>
      </c>
      <c r="H20" s="11" t="n">
        <f aca="false">G20+H19</f>
        <v>-3576282.93116986</v>
      </c>
      <c r="I20" s="11" t="n">
        <f aca="false">H20+I19</f>
        <v>-4094413.4862443</v>
      </c>
      <c r="J20" s="11" t="n">
        <f aca="false">I20+J19</f>
        <v>-4616498.35455855</v>
      </c>
      <c r="K20" s="11" t="n">
        <f aca="false">J20+K19</f>
        <v>-5142169.82413157</v>
      </c>
      <c r="L20" s="11" t="n">
        <f aca="false">K20+L19</f>
        <v>-5671141.46157915</v>
      </c>
      <c r="M20" s="11" t="n">
        <f aca="false">L20+M19</f>
        <v>-6203181.59353324</v>
      </c>
      <c r="N20" s="11" t="n">
        <f aca="false">M20+N19</f>
        <v>-6738097.55108626</v>
      </c>
      <c r="O20" s="11" t="n">
        <f aca="false">N20+O19</f>
        <v>-7275725.63037611</v>
      </c>
      <c r="P20" s="11" t="n">
        <f aca="false">O20+P19</f>
        <v>-7815924.34732998</v>
      </c>
      <c r="Q20" s="11" t="n">
        <f aca="false">P20+Q19</f>
        <v>-8358569.71300708</v>
      </c>
      <c r="R20" s="11" t="n">
        <f aca="false">Q20+R19</f>
        <v>-8903551.81107239</v>
      </c>
      <c r="S20" s="11" t="n">
        <f aca="false">R20+S19</f>
        <v>-9450772.24874668</v>
      </c>
      <c r="T20" s="11" t="n">
        <f aca="false">S20+T19</f>
        <v>-10000142.2135208</v>
      </c>
      <c r="U20" s="11" t="n">
        <f aca="false">T20+U19</f>
        <v>-10551580.9619409</v>
      </c>
      <c r="V20" s="11" t="n">
        <f aca="false">U20+V19</f>
        <v>-11105014.6240728</v>
      </c>
      <c r="W20" s="11" t="n">
        <f aca="false">V20+W19</f>
        <v>-11660375.2434578</v>
      </c>
      <c r="X20" s="11" t="n">
        <f aca="false">W20+X19</f>
        <v>-12217599.9959678</v>
      </c>
      <c r="Y20" s="11" t="n">
        <f aca="false">X20+Y19</f>
        <v>-12776630.5467687</v>
      </c>
      <c r="Z20" s="11" t="n">
        <f aca="false">Y20+Z19</f>
        <v>-13337412.5154323</v>
      </c>
      <c r="AA20" s="11" t="n">
        <f aca="false">Z20+AA19</f>
        <v>-13899895.0268283</v>
      </c>
      <c r="AB20" s="11" t="n">
        <f aca="false">AA20+AB19</f>
        <v>-14464030.3308381</v>
      </c>
      <c r="AC20" s="11" t="n">
        <f aca="false">AB20+AC19</f>
        <v>-15029773.4778654</v>
      </c>
      <c r="AD20" s="11" t="n">
        <f aca="false">AC20+AD19</f>
        <v>-15597082.0400113</v>
      </c>
      <c r="AE20" s="11" t="n">
        <f aca="false">AD20+AE19</f>
        <v>-16165915.8699492</v>
      </c>
      <c r="AF20" s="11" t="n">
        <f aca="false">AE20+AF19</f>
        <v>-16736236.8911689</v>
      </c>
      <c r="AG20" s="11" t="n">
        <f aca="false">AF20+AG19</f>
        <v>-17308008.9145158</v>
      </c>
      <c r="AH20" s="11" t="n">
        <f aca="false">AG20+AH19</f>
        <v>-17881197.4769201</v>
      </c>
      <c r="AI20" s="11" t="n">
        <f aca="false">AH20+AI19</f>
        <v>-18455769.6989686</v>
      </c>
      <c r="AJ20" s="11" t="n">
        <f aca="false">AI20+AJ19</f>
        <v>-19031694.1585713</v>
      </c>
      <c r="AK20" s="11" t="n">
        <f aca="false">AJ20+AK19</f>
        <v>-19608940.778449</v>
      </c>
      <c r="AL20" s="11" t="n">
        <f aca="false">AK20+AL19</f>
        <v>-20184999.1255494</v>
      </c>
      <c r="AM20" s="11" t="n">
        <f aca="false">N20</f>
        <v>-6738097.55108626</v>
      </c>
      <c r="AN20" s="11" t="n">
        <f aca="false">Z20</f>
        <v>-13337412.5154323</v>
      </c>
      <c r="AO20" s="11" t="n">
        <f aca="false">AL20</f>
        <v>-20184999.1255494</v>
      </c>
      <c r="AP20" s="1"/>
    </row>
    <row r="21" customFormat="false" ht="15" hidden="false" customHeight="false" outlineLevel="0" collapsed="false">
      <c r="A21" s="0" t="s">
        <v>289</v>
      </c>
      <c r="B21" s="0" t="s">
        <v>290</v>
      </c>
      <c r="C21" s="0" t="n">
        <f aca="false">IF(AND(C17&gt;0,COUNTIF(C17:AL17,"&lt;=0")=0),C$4,99)</f>
        <v>99</v>
      </c>
      <c r="D21" s="0" t="n">
        <f aca="false">IF(AND(D17&gt;0,COUNTIF(D17:AL17,"&lt;=0")=0),D$4,99)</f>
        <v>99</v>
      </c>
      <c r="E21" s="0" t="n">
        <f aca="false">IF(AND(E17&gt;0,COUNTIF(E17:AL17,"&lt;=0")=0),E$4,99)</f>
        <v>99</v>
      </c>
      <c r="F21" s="0" t="n">
        <f aca="false">IF(AND(F17&gt;0,COUNTIF(F17:AL17,"&lt;=0")=0),F$4,99)</f>
        <v>99</v>
      </c>
      <c r="G21" s="0" t="n">
        <f aca="false">IF(AND(G17&gt;0,COUNTIF(G17:AL17,"&lt;=0")=0),G$4,99)</f>
        <v>99</v>
      </c>
      <c r="H21" s="0" t="n">
        <f aca="false">IF(AND(H17&gt;0,COUNTIF(H17:AL17,"&lt;=0")=0),H$4,99)</f>
        <v>99</v>
      </c>
      <c r="I21" s="0" t="n">
        <f aca="false">IF(AND(I17&gt;0,COUNTIF(I17:AL17,"&lt;=0")=0),I$4,99)</f>
        <v>99</v>
      </c>
      <c r="J21" s="0" t="n">
        <f aca="false">IF(AND(J17&gt;0,COUNTIF(J17:AL17,"&lt;=0")=0),J$4,99)</f>
        <v>99</v>
      </c>
      <c r="K21" s="0" t="n">
        <f aca="false">IF(AND(K17&gt;0,COUNTIF(K17:AL17,"&lt;=0")=0),K$4,99)</f>
        <v>99</v>
      </c>
      <c r="L21" s="0" t="n">
        <f aca="false">IF(AND(L17&gt;0,COUNTIF(L17:AL17,"&lt;=0")=0),L$4,99)</f>
        <v>99</v>
      </c>
      <c r="M21" s="0" t="n">
        <f aca="false">IF(AND(M17&gt;0,COUNTIF(M17:AL17,"&lt;=0")=0),M$4,99)</f>
        <v>99</v>
      </c>
      <c r="N21" s="0" t="n">
        <f aca="false">IF(AND(N17&gt;0,COUNTIF(N17:AL17,"&lt;=0")=0),N$4,99)</f>
        <v>99</v>
      </c>
      <c r="O21" s="0" t="n">
        <f aca="false">IF(AND(O17&gt;0,COUNTIF(O17:AL17,"&lt;=0")=0),O$4,99)</f>
        <v>99</v>
      </c>
      <c r="P21" s="0" t="n">
        <f aca="false">IF(AND(P17&gt;0,COUNTIF(P17:AL17,"&lt;=0")=0),P$4,99)</f>
        <v>99</v>
      </c>
      <c r="Q21" s="0" t="n">
        <f aca="false">IF(AND(Q17&gt;0,COUNTIF(Q17:AL17,"&lt;=0")=0),Q$4,99)</f>
        <v>99</v>
      </c>
      <c r="R21" s="0" t="n">
        <f aca="false">IF(AND(R17&gt;0,COUNTIF(R17:AL17,"&lt;=0")=0),R$4,99)</f>
        <v>99</v>
      </c>
      <c r="S21" s="0" t="n">
        <f aca="false">IF(AND(S17&gt;0,COUNTIF(S17:AL17,"&lt;=0")=0),S$4,99)</f>
        <v>99</v>
      </c>
      <c r="T21" s="0" t="n">
        <f aca="false">IF(AND(T17&gt;0,COUNTIF(T17:AL17,"&lt;=0")=0),T$4,99)</f>
        <v>99</v>
      </c>
      <c r="U21" s="0" t="n">
        <f aca="false">IF(AND(U17&gt;0,COUNTIF(U17:AL17,"&lt;=0")=0),U$4,99)</f>
        <v>99</v>
      </c>
      <c r="V21" s="0" t="n">
        <f aca="false">IF(AND(V17&gt;0,COUNTIF(V17:AL17,"&lt;=0")=0),V$4,99)</f>
        <v>99</v>
      </c>
      <c r="W21" s="0" t="n">
        <f aca="false">IF(AND(W17&gt;0,COUNTIF(W17:AL17,"&lt;=0")=0),W$4,99)</f>
        <v>99</v>
      </c>
      <c r="X21" s="0" t="n">
        <f aca="false">IF(AND(X17&gt;0,COUNTIF(X17:AL17,"&lt;=0")=0),X$4,99)</f>
        <v>99</v>
      </c>
      <c r="Y21" s="0" t="n">
        <f aca="false">IF(AND(Y17&gt;0,COUNTIF(Y17:AL17,"&lt;=0")=0),Y$4,99)</f>
        <v>99</v>
      </c>
      <c r="Z21" s="0" t="n">
        <f aca="false">IF(AND(Z17&gt;0,COUNTIF(Z17:AL17,"&lt;=0")=0),Z$4,99)</f>
        <v>99</v>
      </c>
      <c r="AA21" s="0" t="n">
        <f aca="false">IF(AND(AA17&gt;0,COUNTIF(AA17:AL17,"&lt;=0")=0),AA$4,99)</f>
        <v>99</v>
      </c>
      <c r="AB21" s="0" t="n">
        <f aca="false">IF(AND(AB17&gt;0,COUNTIF(AB17:AL17,"&lt;=0")=0),AB$4,99)</f>
        <v>99</v>
      </c>
      <c r="AC21" s="0" t="n">
        <f aca="false">IF(AND(AC17&gt;0,COUNTIF(AC17:AL17,"&lt;=0")=0),AC$4,99)</f>
        <v>99</v>
      </c>
      <c r="AD21" s="0" t="n">
        <f aca="false">IF(AND(AD17&gt;0,COUNTIF(AD17:AL17,"&lt;=0")=0),AD$4,99)</f>
        <v>99</v>
      </c>
      <c r="AE21" s="0" t="n">
        <f aca="false">IF(AND(AE17&gt;0,COUNTIF(AE17:AL17,"&lt;=0")=0),AE$4,99)</f>
        <v>99</v>
      </c>
      <c r="AF21" s="0" t="n">
        <f aca="false">IF(AND(AF17&gt;0,COUNTIF(AF17:AL17,"&lt;=0")=0),AF$4,99)</f>
        <v>99</v>
      </c>
      <c r="AG21" s="0" t="n">
        <f aca="false">IF(AND(AG17&gt;0,COUNTIF(AG17:AL17,"&lt;=0")=0),AG$4,99)</f>
        <v>99</v>
      </c>
      <c r="AH21" s="0" t="n">
        <f aca="false">IF(AND(AH17&gt;0,COUNTIF(AH17:AL17,"&lt;=0")=0),AH$4,99)</f>
        <v>99</v>
      </c>
      <c r="AI21" s="0" t="n">
        <f aca="false">IF(AND(AI17&gt;0,COUNTIF(AI17:AL17,"&lt;=0")=0),AI$4,99)</f>
        <v>99</v>
      </c>
      <c r="AJ21" s="0" t="n">
        <f aca="false">IF(AND(AJ17&gt;0,COUNTIF(AJ17:AL17,"&lt;=0")=0),AJ$4,99)</f>
        <v>99</v>
      </c>
      <c r="AK21" s="0" t="n">
        <f aca="false">IF(AND(AK17&gt;0,COUNTIF(AK17:AL17,"&lt;=0")=0),AK$4,99)</f>
        <v>99</v>
      </c>
      <c r="AL21" s="0" t="n">
        <f aca="false">IF(AND(AL17&gt;0,COUNTIF(AL17:AL17,"&lt;=0")=0),AL$4,99)</f>
        <v>99</v>
      </c>
    </row>
    <row r="22" customFormat="false" ht="15" hidden="false" customHeight="false" outlineLevel="0" collapsed="false">
      <c r="A22" s="0" t="s">
        <v>291</v>
      </c>
      <c r="B22" s="0" t="s">
        <v>292</v>
      </c>
      <c r="C22" s="0" t="n">
        <f aca="false">IF(AND(C20&gt;=0,COUNTIF(C20:AL20,"&lt;0")=0),C$4,99)</f>
        <v>99</v>
      </c>
      <c r="D22" s="0" t="n">
        <f aca="false">IF(AND(D20&gt;=0,COUNTIF(D20:AL20,"&lt;0")=0),D$4,99)</f>
        <v>99</v>
      </c>
      <c r="E22" s="0" t="n">
        <f aca="false">IF(AND(E20&gt;=0,COUNTIF(E20:AL20,"&lt;0")=0),E$4,99)</f>
        <v>99</v>
      </c>
      <c r="F22" s="0" t="n">
        <f aca="false">IF(AND(F20&gt;=0,COUNTIF(F20:AL20,"&lt;0")=0),F$4,99)</f>
        <v>99</v>
      </c>
      <c r="G22" s="0" t="n">
        <f aca="false">IF(AND(G20&gt;=0,COUNTIF(G20:AL20,"&lt;0")=0),G$4,99)</f>
        <v>99</v>
      </c>
      <c r="H22" s="0" t="n">
        <f aca="false">IF(AND(H20&gt;=0,COUNTIF(H20:AL20,"&lt;0")=0),H$4,99)</f>
        <v>99</v>
      </c>
      <c r="I22" s="0" t="n">
        <f aca="false">IF(AND(I20&gt;=0,COUNTIF(I20:AL20,"&lt;0")=0),I$4,99)</f>
        <v>99</v>
      </c>
      <c r="J22" s="0" t="n">
        <f aca="false">IF(AND(J20&gt;=0,COUNTIF(J20:AL20,"&lt;0")=0),J$4,99)</f>
        <v>99</v>
      </c>
      <c r="K22" s="0" t="n">
        <f aca="false">IF(AND(K20&gt;=0,COUNTIF(K20:AL20,"&lt;0")=0),K$4,99)</f>
        <v>99</v>
      </c>
      <c r="L22" s="0" t="n">
        <f aca="false">IF(AND(L20&gt;=0,COUNTIF(L20:AL20,"&lt;0")=0),L$4,99)</f>
        <v>99</v>
      </c>
      <c r="M22" s="0" t="n">
        <f aca="false">IF(AND(M20&gt;=0,COUNTIF(M20:AL20,"&lt;0")=0),M$4,99)</f>
        <v>99</v>
      </c>
      <c r="N22" s="0" t="n">
        <f aca="false">IF(AND(N20&gt;=0,COUNTIF(N20:AL20,"&lt;0")=0),N$4,99)</f>
        <v>99</v>
      </c>
      <c r="O22" s="0" t="n">
        <f aca="false">IF(AND(O20&gt;=0,COUNTIF(O20:AL20,"&lt;0")=0),O$4,99)</f>
        <v>99</v>
      </c>
      <c r="P22" s="0" t="n">
        <f aca="false">IF(AND(P20&gt;=0,COUNTIF(P20:AL20,"&lt;0")=0),P$4,99)</f>
        <v>99</v>
      </c>
      <c r="Q22" s="0" t="n">
        <f aca="false">IF(AND(Q20&gt;=0,COUNTIF(Q20:AL20,"&lt;0")=0),Q$4,99)</f>
        <v>99</v>
      </c>
      <c r="R22" s="0" t="n">
        <f aca="false">IF(AND(R20&gt;=0,COUNTIF(R20:AL20,"&lt;0")=0),R$4,99)</f>
        <v>99</v>
      </c>
      <c r="S22" s="0" t="n">
        <f aca="false">IF(AND(S20&gt;=0,COUNTIF(S20:AL20,"&lt;0")=0),S$4,99)</f>
        <v>99</v>
      </c>
      <c r="T22" s="0" t="n">
        <f aca="false">IF(AND(T20&gt;=0,COUNTIF(T20:AL20,"&lt;0")=0),T$4,99)</f>
        <v>99</v>
      </c>
      <c r="U22" s="0" t="n">
        <f aca="false">IF(AND(U20&gt;=0,COUNTIF(U20:AL20,"&lt;0")=0),U$4,99)</f>
        <v>99</v>
      </c>
      <c r="V22" s="0" t="n">
        <f aca="false">IF(AND(V20&gt;=0,COUNTIF(V20:AL20,"&lt;0")=0),V$4,99)</f>
        <v>99</v>
      </c>
      <c r="W22" s="0" t="n">
        <f aca="false">IF(AND(W20&gt;=0,COUNTIF(W20:AL20,"&lt;0")=0),W$4,99)</f>
        <v>99</v>
      </c>
      <c r="X22" s="0" t="n">
        <f aca="false">IF(AND(X20&gt;=0,COUNTIF(X20:AL20,"&lt;0")=0),X$4,99)</f>
        <v>99</v>
      </c>
      <c r="Y22" s="0" t="n">
        <f aca="false">IF(AND(Y20&gt;=0,COUNTIF(Y20:AL20,"&lt;0")=0),Y$4,99)</f>
        <v>99</v>
      </c>
      <c r="Z22" s="0" t="n">
        <f aca="false">IF(AND(Z20&gt;=0,COUNTIF(Z20:AL20,"&lt;0")=0),Z$4,99)</f>
        <v>99</v>
      </c>
      <c r="AA22" s="0" t="n">
        <f aca="false">IF(AND(AA20&gt;=0,COUNTIF(AA20:AL20,"&lt;0")=0),AA$4,99)</f>
        <v>99</v>
      </c>
      <c r="AB22" s="0" t="n">
        <f aca="false">IF(AND(AB20&gt;=0,COUNTIF(AB20:AL20,"&lt;0")=0),AB$4,99)</f>
        <v>99</v>
      </c>
      <c r="AC22" s="0" t="n">
        <f aca="false">IF(AND(AC20&gt;=0,COUNTIF(AC20:AL20,"&lt;0")=0),AC$4,99)</f>
        <v>99</v>
      </c>
      <c r="AD22" s="0" t="n">
        <f aca="false">IF(AND(AD20&gt;=0,COUNTIF(AD20:AL20,"&lt;0")=0),AD$4,99)</f>
        <v>99</v>
      </c>
      <c r="AE22" s="0" t="n">
        <f aca="false">IF(AND(AE20&gt;=0,COUNTIF(AE20:AL20,"&lt;0")=0),AE$4,99)</f>
        <v>99</v>
      </c>
      <c r="AF22" s="0" t="n">
        <f aca="false">IF(AND(AF20&gt;=0,COUNTIF(AF20:AL20,"&lt;0")=0),AF$4,99)</f>
        <v>99</v>
      </c>
      <c r="AG22" s="0" t="n">
        <f aca="false">IF(AND(AG20&gt;=0,COUNTIF(AG20:AL20,"&lt;0")=0),AG$4,99)</f>
        <v>99</v>
      </c>
      <c r="AH22" s="0" t="n">
        <f aca="false">IF(AND(AH20&gt;=0,COUNTIF(AH20:AL20,"&lt;0")=0),AH$4,99)</f>
        <v>99</v>
      </c>
      <c r="AI22" s="0" t="n">
        <f aca="false">IF(AND(AI20&gt;=0,COUNTIF(AI20:AL20,"&lt;0")=0),AI$4,99)</f>
        <v>99</v>
      </c>
      <c r="AJ22" s="0" t="n">
        <f aca="false">IF(AND(AJ20&gt;=0,COUNTIF(AJ20:AL20,"&lt;0")=0),AJ$4,99)</f>
        <v>99</v>
      </c>
      <c r="AK22" s="0" t="n">
        <f aca="false">IF(AND(AK20&gt;=0,COUNTIF(AK20:AL20,"&lt;0")=0),AK$4,99)</f>
        <v>99</v>
      </c>
      <c r="AL22" s="0" t="n">
        <f aca="false">IF(AND(AL20&gt;=0,COUNTIF(AL20:AL20,"&lt;0")=0),AL$4,99)</f>
        <v>99</v>
      </c>
    </row>
    <row r="24" customFormat="false" ht="15" hidden="false" customHeight="false" outlineLevel="0" collapsed="false">
      <c r="A24" s="1" t="s">
        <v>293</v>
      </c>
      <c r="B24" s="1" t="s">
        <v>252</v>
      </c>
      <c r="C24" s="1" t="n">
        <v>1</v>
      </c>
      <c r="D24" s="1" t="n">
        <v>2</v>
      </c>
      <c r="E24" s="1" t="n">
        <v>3</v>
      </c>
      <c r="F24" s="1" t="n">
        <v>4</v>
      </c>
      <c r="G24" s="1" t="n">
        <v>5</v>
      </c>
      <c r="H24" s="1" t="n">
        <v>6</v>
      </c>
      <c r="I24" s="1" t="n">
        <v>7</v>
      </c>
      <c r="J24" s="1" t="n">
        <v>8</v>
      </c>
      <c r="K24" s="1" t="n">
        <v>9</v>
      </c>
      <c r="L24" s="1" t="n">
        <v>10</v>
      </c>
      <c r="M24" s="1" t="n">
        <v>11</v>
      </c>
      <c r="N24" s="1" t="n">
        <v>12</v>
      </c>
      <c r="O24" s="1" t="n">
        <v>13</v>
      </c>
      <c r="P24" s="1" t="n">
        <v>14</v>
      </c>
      <c r="Q24" s="1" t="n">
        <v>15</v>
      </c>
      <c r="R24" s="1" t="n">
        <v>16</v>
      </c>
      <c r="S24" s="1" t="n">
        <v>17</v>
      </c>
      <c r="T24" s="1" t="n">
        <v>18</v>
      </c>
      <c r="U24" s="1" t="n">
        <v>19</v>
      </c>
      <c r="V24" s="1" t="n">
        <v>20</v>
      </c>
      <c r="W24" s="1" t="n">
        <v>21</v>
      </c>
      <c r="X24" s="1" t="n">
        <v>22</v>
      </c>
      <c r="Y24" s="1" t="n">
        <v>23</v>
      </c>
      <c r="Z24" s="1" t="n">
        <v>24</v>
      </c>
      <c r="AA24" s="1" t="n">
        <v>25</v>
      </c>
      <c r="AB24" s="1" t="n">
        <v>26</v>
      </c>
      <c r="AC24" s="1" t="n">
        <v>27</v>
      </c>
      <c r="AD24" s="1" t="n">
        <v>28</v>
      </c>
      <c r="AE24" s="1" t="n">
        <v>29</v>
      </c>
      <c r="AF24" s="1" t="n">
        <v>30</v>
      </c>
      <c r="AG24" s="1" t="n">
        <v>31</v>
      </c>
      <c r="AH24" s="1" t="n">
        <v>32</v>
      </c>
      <c r="AI24" s="1" t="n">
        <v>33</v>
      </c>
      <c r="AJ24" s="1" t="n">
        <v>34</v>
      </c>
      <c r="AK24" s="1" t="n">
        <v>35</v>
      </c>
      <c r="AL24" s="1" t="n">
        <v>36</v>
      </c>
      <c r="AM24" s="1" t="s">
        <v>253</v>
      </c>
      <c r="AN24" s="1" t="s">
        <v>254</v>
      </c>
      <c r="AO24" s="1" t="s">
        <v>255</v>
      </c>
      <c r="AP24" s="1" t="s">
        <v>256</v>
      </c>
    </row>
    <row r="25" customFormat="false" ht="15" hidden="false" customHeight="false" outlineLevel="0" collapsed="false">
      <c r="A25" s="0" t="s">
        <v>257</v>
      </c>
      <c r="B25" s="0" t="s">
        <v>258</v>
      </c>
      <c r="C25" s="10" t="n">
        <f aca="false">Допущения!$D$21*IF(C$24&lt;Допущения!$D$27,0,((C$24-Допущения!$D$27+1)/(36-Допущения!$D$27+1))^Допущения!$D$28)</f>
        <v>0</v>
      </c>
      <c r="D25" s="10" t="n">
        <f aca="false">Допущения!$D$21*IF(D$24&lt;Допущения!$D$27,0,((D$24-Допущения!$D$27+1)/(36-Допущения!$D$27+1))^Допущения!$D$28)</f>
        <v>0</v>
      </c>
      <c r="E25" s="10" t="n">
        <f aca="false">Допущения!$D$21*IF(E$24&lt;Допущения!$D$27,0,((E$24-Допущения!$D$27+1)/(36-Допущения!$D$27+1))^Допущения!$D$28)</f>
        <v>1531.68220543598</v>
      </c>
      <c r="F25" s="10" t="n">
        <f aca="false">Допущения!$D$21*IF(F$24&lt;Допущения!$D$27,0,((F$24-Допущения!$D$27+1)/(36-Допущения!$D$27+1))^Допущения!$D$28)</f>
        <v>3771.44398048464</v>
      </c>
      <c r="G25" s="10" t="n">
        <f aca="false">Допущения!$D$21*IF(G$24&lt;Допущения!$D$27,0,((G$24-Допущения!$D$27+1)/(36-Допущения!$D$27+1))^Допущения!$D$28)</f>
        <v>6388.9030524113</v>
      </c>
      <c r="H25" s="10" t="n">
        <f aca="false">Допущения!$D$21*IF(H$24&lt;Допущения!$D$27,0,((H$24-Допущения!$D$27+1)/(36-Допущения!$D$27+1))^Допущения!$D$28)</f>
        <v>9286.38437363396</v>
      </c>
      <c r="I25" s="10" t="n">
        <f aca="false">Допущения!$D$21*IF(I$24&lt;Допущения!$D$27,0,((I$24-Допущения!$D$27+1)/(36-Допущения!$D$27+1))^Допущения!$D$28)</f>
        <v>12411.6543513837</v>
      </c>
      <c r="J25" s="10" t="n">
        <f aca="false">Допущения!$D$21*IF(J$24&lt;Допущения!$D$27,0,((J$24-Допущения!$D$27+1)/(36-Допущения!$D$27+1))^Допущения!$D$28)</f>
        <v>15731.3246007569</v>
      </c>
      <c r="K25" s="10" t="n">
        <f aca="false">Допущения!$D$21*IF(K$24&lt;Допущения!$D$27,0,((K$24-Допущения!$D$27+1)/(36-Допущения!$D$27+1))^Допущения!$D$28)</f>
        <v>19221.8913857435</v>
      </c>
      <c r="L25" s="10" t="n">
        <f aca="false">Допущения!$D$21*IF(L$24&lt;Допущения!$D$27,0,((L$24-Допущения!$D$27+1)/(36-Допущения!$D$27+1))^Допущения!$D$28)</f>
        <v>22865.760483546</v>
      </c>
      <c r="M25" s="10" t="n">
        <f aca="false">Допущения!$D$21*IF(M$24&lt;Допущения!$D$27,0,((M$24-Допущения!$D$27+1)/(36-Допущения!$D$27+1))^Допущения!$D$28)</f>
        <v>26649.1848428128</v>
      </c>
      <c r="N25" s="10" t="n">
        <f aca="false">Допущения!$D$21*IF(N$24&lt;Допущения!$D$27,0,((N$24-Допущения!$D$27+1)/(36-Допущения!$D$27+1))^Допущения!$D$28)</f>
        <v>30561.0778301482</v>
      </c>
      <c r="O25" s="10" t="n">
        <f aca="false">Допущения!$D$21*IF(O$24&lt;Допущения!$D$27,0,((O$24-Допущения!$D$27+1)/(36-Допущения!$D$27+1))^Допущения!$D$28)</f>
        <v>34592.2776114728</v>
      </c>
      <c r="P25" s="10" t="n">
        <f aca="false">Допущения!$D$21*IF(P$24&lt;Допущения!$D$27,0,((P$24-Допущения!$D$27+1)/(36-Допущения!$D$27+1))^Допущения!$D$28)</f>
        <v>38735.0647934747</v>
      </c>
      <c r="Q25" s="10" t="n">
        <f aca="false">Допущения!$D$21*IF(Q$24&lt;Допущения!$D$27,0,((Q$24-Допущения!$D$27+1)/(36-Допущения!$D$27+1))^Допущения!$D$28)</f>
        <v>42982.8318555544</v>
      </c>
      <c r="R25" s="10" t="n">
        <f aca="false">Допущения!$D$21*IF(R$24&lt;Допущения!$D$27,0,((R$24-Допущения!$D$27+1)/(36-Допущения!$D$27+1))^Допущения!$D$28)</f>
        <v>47329.8483869617</v>
      </c>
      <c r="S25" s="10" t="n">
        <f aca="false">Допущения!$D$21*IF(S$24&lt;Допущения!$D$27,0,((S$24-Допущения!$D$27+1)/(36-Допущения!$D$27+1))^Допущения!$D$28)</f>
        <v>51771.0893876045</v>
      </c>
      <c r="T25" s="10" t="n">
        <f aca="false">Допущения!$D$21*IF(T$24&lt;Допущения!$D$27,0,((T$24-Допущения!$D$27+1)/(36-Допущения!$D$27+1))^Допущения!$D$28)</f>
        <v>56302.1065524011</v>
      </c>
      <c r="U25" s="10" t="n">
        <f aca="false">Допущения!$D$21*IF(U$24&lt;Допущения!$D$27,0,((U$24-Допущения!$D$27+1)/(36-Допущения!$D$27+1))^Допущения!$D$28)</f>
        <v>60918.9297267177</v>
      </c>
      <c r="V25" s="10" t="n">
        <f aca="false">Допущения!$D$21*IF(V$24&lt;Допущения!$D$27,0,((V$24-Допущения!$D$27+1)/(36-Допущения!$D$27+1))^Допущения!$D$28)</f>
        <v>65617.99007885</v>
      </c>
      <c r="W25" s="10" t="n">
        <f aca="false">Допущения!$D$21*IF(W$24&lt;Допущения!$D$27,0,((W$24-Допущения!$D$27+1)/(36-Допущения!$D$27+1))^Допущения!$D$28)</f>
        <v>70396.0592483716</v>
      </c>
      <c r="X25" s="10" t="n">
        <f aca="false">Допущения!$D$21*IF(X$24&lt;Допущения!$D$27,0,((X$24-Допущения!$D$27+1)/(36-Допущения!$D$27+1))^Допущения!$D$28)</f>
        <v>75250.2004727723</v>
      </c>
      <c r="Y25" s="10" t="n">
        <f aca="false">Допущения!$D$21*IF(Y$24&lt;Допущения!$D$27,0,((Y$24-Допущения!$D$27+1)/(36-Допущения!$D$27+1))^Допущения!$D$28)</f>
        <v>80177.7288471792</v>
      </c>
      <c r="Z25" s="10" t="n">
        <f aca="false">Допущения!$D$21*IF(Z$24&lt;Допущения!$D$27,0,((Z$24-Допущения!$D$27+1)/(36-Допущения!$D$27+1))^Допущения!$D$28)</f>
        <v>85176.1786524822</v>
      </c>
      <c r="AA25" s="10" t="n">
        <f aca="false">Допущения!$D$21*IF(AA$24&lt;Допущения!$D$27,0,((AA$24-Допущения!$D$27+1)/(36-Допущения!$D$27+1))^Допущения!$D$28)</f>
        <v>90243.2762274895</v>
      </c>
      <c r="AB25" s="10" t="n">
        <f aca="false">Допущения!$D$21*IF(AB$24&lt;Допущения!$D$27,0,((AB$24-Допущения!$D$27+1)/(36-Допущения!$D$27+1))^Допущения!$D$28)</f>
        <v>95376.9172420793</v>
      </c>
      <c r="AC25" s="10" t="n">
        <f aca="false">Допущения!$D$21*IF(AC$24&lt;Допущения!$D$27,0,((AC$24-Допущения!$D$27+1)/(36-Допущения!$D$27+1))^Допущения!$D$28)</f>
        <v>100575.147502202</v>
      </c>
      <c r="AD25" s="10" t="n">
        <f aca="false">Допущения!$D$21*IF(AD$24&lt;Допущения!$D$27,0,((AD$24-Допущения!$D$27+1)/(36-Допущения!$D$27+1))^Допущения!$D$28)</f>
        <v>105836.146617419</v>
      </c>
      <c r="AE25" s="10" t="n">
        <f aca="false">Допущения!$D$21*IF(AE$24&lt;Допущения!$D$27,0,((AE$24-Допущения!$D$27+1)/(36-Допущения!$D$27+1))^Допущения!$D$28)</f>
        <v>111158.214009581</v>
      </c>
      <c r="AF25" s="10" t="n">
        <f aca="false">Допущения!$D$21*IF(AF$24&lt;Допущения!$D$27,0,((AF$24-Допущения!$D$27+1)/(36-Допущения!$D$27+1))^Допущения!$D$28)</f>
        <v>116539.75685214</v>
      </c>
      <c r="AG25" s="10" t="n">
        <f aca="false">Допущения!$D$21*IF(AG$24&lt;Допущения!$D$27,0,((AG$24-Допущения!$D$27+1)/(36-Допущения!$D$27+1))^Допущения!$D$28)</f>
        <v>121979.279613784</v>
      </c>
      <c r="AH25" s="10" t="n">
        <f aca="false">Допущения!$D$21*IF(AH$24&lt;Допущения!$D$27,0,((AH$24-Допущения!$D$27+1)/(36-Допущения!$D$27+1))^Допущения!$D$28)</f>
        <v>127475.374944659</v>
      </c>
      <c r="AI25" s="10" t="n">
        <f aca="false">Допущения!$D$21*IF(AI$24&lt;Допущения!$D$27,0,((AI$24-Допущения!$D$27+1)/(36-Допущения!$D$27+1))^Допущения!$D$28)</f>
        <v>133026.715693486</v>
      </c>
      <c r="AJ25" s="10" t="n">
        <f aca="false">Допущения!$D$21*IF(AJ$24&lt;Допущения!$D$27,0,((AJ$24-Допущения!$D$27+1)/(36-Допущения!$D$27+1))^Допущения!$D$28)</f>
        <v>138632.047883078</v>
      </c>
      <c r="AK25" s="10" t="n">
        <f aca="false">Допущения!$D$21*IF(AK$24&lt;Допущения!$D$27,0,((AK$24-Допущения!$D$27+1)/(36-Допущения!$D$27+1))^Допущения!$D$28)</f>
        <v>144290.18450266</v>
      </c>
      <c r="AL25" s="10" t="n">
        <f aca="false">Допущения!$D$21*IF(AL$24&lt;Допущения!$D$27,0,((AL$24-Допущения!$D$27+1)/(36-Допущения!$D$27+1))^Допущения!$D$28)</f>
        <v>150000</v>
      </c>
      <c r="AM25" s="10" t="n">
        <f aca="false">SUM(C25:N25)</f>
        <v>148419.307106357</v>
      </c>
      <c r="AN25" s="10" t="n">
        <f aca="false">SUM(O25:Z25)</f>
        <v>709250.305613842</v>
      </c>
      <c r="AO25" s="10" t="n">
        <f aca="false">SUM(AA25:AL25)</f>
        <v>1435133.06108858</v>
      </c>
      <c r="AP25" s="10" t="n">
        <f aca="false">SUM(C25:AL25)</f>
        <v>2292802.67380878</v>
      </c>
    </row>
    <row r="26" customFormat="false" ht="15" hidden="false" customHeight="false" outlineLevel="0" collapsed="false">
      <c r="A26" s="0" t="s">
        <v>259</v>
      </c>
      <c r="B26" s="0" t="s">
        <v>260</v>
      </c>
      <c r="C26" s="10" t="n">
        <f aca="false">Допущения!$D$22*IF(C$24&lt;Допущения!$D$27,0,((C$24-Допущения!$D$27+1)/(36-Допущения!$D$27+1))^Допущения!$D$28)</f>
        <v>0</v>
      </c>
      <c r="D26" s="10" t="n">
        <f aca="false">Допущения!$D$22*IF(D$24&lt;Допущения!$D$27,0,((D$24-Допущения!$D$27+1)/(36-Допущения!$D$27+1))^Допущения!$D$28)</f>
        <v>0</v>
      </c>
      <c r="E26" s="10" t="n">
        <f aca="false">Допущения!$D$22*IF(E$24&lt;Допущения!$D$27,0,((E$24-Допущения!$D$27+1)/(36-Допущения!$D$27+1))^Допущения!$D$28)</f>
        <v>255.280367572663</v>
      </c>
      <c r="F26" s="10" t="n">
        <f aca="false">Допущения!$D$22*IF(F$24&lt;Допущения!$D$27,0,((F$24-Допущения!$D$27+1)/(36-Допущения!$D$27+1))^Допущения!$D$28)</f>
        <v>628.57399674744</v>
      </c>
      <c r="G26" s="10" t="n">
        <f aca="false">Допущения!$D$22*IF(G$24&lt;Допущения!$D$27,0,((G$24-Допущения!$D$27+1)/(36-Допущения!$D$27+1))^Допущения!$D$28)</f>
        <v>1064.81717540188</v>
      </c>
      <c r="H26" s="10" t="n">
        <f aca="false">Допущения!$D$22*IF(H$24&lt;Допущения!$D$27,0,((H$24-Допущения!$D$27+1)/(36-Допущения!$D$27+1))^Допущения!$D$28)</f>
        <v>1547.73072893899</v>
      </c>
      <c r="I26" s="10" t="n">
        <f aca="false">Допущения!$D$22*IF(I$24&lt;Допущения!$D$27,0,((I$24-Допущения!$D$27+1)/(36-Допущения!$D$27+1))^Допущения!$D$28)</f>
        <v>2068.60905856394</v>
      </c>
      <c r="J26" s="10" t="n">
        <f aca="false">Допущения!$D$22*IF(J$24&lt;Допущения!$D$27,0,((J$24-Допущения!$D$27+1)/(36-Допущения!$D$27+1))^Допущения!$D$28)</f>
        <v>2621.88743345949</v>
      </c>
      <c r="K26" s="10" t="n">
        <f aca="false">Допущения!$D$22*IF(K$24&lt;Допущения!$D$27,0,((K$24-Допущения!$D$27+1)/(36-Допущения!$D$27+1))^Допущения!$D$28)</f>
        <v>3203.64856429058</v>
      </c>
      <c r="L26" s="10" t="n">
        <f aca="false">Допущения!$D$22*IF(L$24&lt;Допущения!$D$27,0,((L$24-Допущения!$D$27+1)/(36-Допущения!$D$27+1))^Допущения!$D$28)</f>
        <v>3810.96008059099</v>
      </c>
      <c r="M26" s="10" t="n">
        <f aca="false">Допущения!$D$22*IF(M$24&lt;Допущения!$D$27,0,((M$24-Допущения!$D$27+1)/(36-Допущения!$D$27+1))^Допущения!$D$28)</f>
        <v>4441.53080713547</v>
      </c>
      <c r="N26" s="10" t="n">
        <f aca="false">Допущения!$D$22*IF(N$24&lt;Допущения!$D$27,0,((N$24-Допущения!$D$27+1)/(36-Допущения!$D$27+1))^Допущения!$D$28)</f>
        <v>5093.51297169137</v>
      </c>
      <c r="O26" s="10" t="n">
        <f aca="false">Допущения!$D$22*IF(O$24&lt;Допущения!$D$27,0,((O$24-Допущения!$D$27+1)/(36-Допущения!$D$27+1))^Допущения!$D$28)</f>
        <v>5765.37960191213</v>
      </c>
      <c r="P26" s="10" t="n">
        <f aca="false">Допущения!$D$22*IF(P$24&lt;Допущения!$D$27,0,((P$24-Допущения!$D$27+1)/(36-Допущения!$D$27+1))^Допущения!$D$28)</f>
        <v>6455.84413224578</v>
      </c>
      <c r="Q26" s="10" t="n">
        <f aca="false">Допущения!$D$22*IF(Q$24&lt;Допущения!$D$27,0,((Q$24-Допущения!$D$27+1)/(36-Допущения!$D$27+1))^Допущения!$D$28)</f>
        <v>7163.80530925907</v>
      </c>
      <c r="R26" s="10" t="n">
        <f aca="false">Допущения!$D$22*IF(R$24&lt;Допущения!$D$27,0,((R$24-Допущения!$D$27+1)/(36-Допущения!$D$27+1))^Допущения!$D$28)</f>
        <v>7888.30806449362</v>
      </c>
      <c r="S26" s="10" t="n">
        <f aca="false">Допущения!$D$22*IF(S$24&lt;Допущения!$D$27,0,((S$24-Допущения!$D$27+1)/(36-Допущения!$D$27+1))^Допущения!$D$28)</f>
        <v>8628.51489793409</v>
      </c>
      <c r="T26" s="10" t="n">
        <f aca="false">Допущения!$D$22*IF(T$24&lt;Допущения!$D$27,0,((T$24-Допущения!$D$27+1)/(36-Допущения!$D$27+1))^Допущения!$D$28)</f>
        <v>9383.68442540019</v>
      </c>
      <c r="U26" s="10" t="n">
        <f aca="false">Допущения!$D$22*IF(U$24&lt;Допущения!$D$27,0,((U$24-Допущения!$D$27+1)/(36-Допущения!$D$27+1))^Допущения!$D$28)</f>
        <v>10153.1549544529</v>
      </c>
      <c r="V26" s="10" t="n">
        <f aca="false">Допущения!$D$22*IF(V$24&lt;Допущения!$D$27,0,((V$24-Допущения!$D$27+1)/(36-Допущения!$D$27+1))^Допущения!$D$28)</f>
        <v>10936.3316798083</v>
      </c>
      <c r="W26" s="10" t="n">
        <f aca="false">Допущения!$D$22*IF(W$24&lt;Допущения!$D$27,0,((W$24-Допущения!$D$27+1)/(36-Допущения!$D$27+1))^Допущения!$D$28)</f>
        <v>11732.6765413953</v>
      </c>
      <c r="X26" s="10" t="n">
        <f aca="false">Допущения!$D$22*IF(X$24&lt;Допущения!$D$27,0,((X$24-Допущения!$D$27+1)/(36-Допущения!$D$27+1))^Допущения!$D$28)</f>
        <v>12541.7000787954</v>
      </c>
      <c r="Y26" s="10" t="n">
        <f aca="false">Допущения!$D$22*IF(Y$24&lt;Допущения!$D$27,0,((Y$24-Допущения!$D$27+1)/(36-Допущения!$D$27+1))^Допущения!$D$28)</f>
        <v>13362.9548078632</v>
      </c>
      <c r="Z26" s="10" t="n">
        <f aca="false">Допущения!$D$22*IF(Z$24&lt;Допущения!$D$27,0,((Z$24-Допущения!$D$27+1)/(36-Допущения!$D$27+1))^Допущения!$D$28)</f>
        <v>14196.0297754137</v>
      </c>
      <c r="AA26" s="10" t="n">
        <f aca="false">Допущения!$D$22*IF(AA$24&lt;Допущения!$D$27,0,((AA$24-Допущения!$D$27+1)/(36-Допущения!$D$27+1))^Допущения!$D$28)</f>
        <v>15040.5460379149</v>
      </c>
      <c r="AB26" s="10" t="n">
        <f aca="false">Допущения!$D$22*IF(AB$24&lt;Допущения!$D$27,0,((AB$24-Допущения!$D$27+1)/(36-Допущения!$D$27+1))^Допущения!$D$28)</f>
        <v>15896.1528736799</v>
      </c>
      <c r="AC26" s="10" t="n">
        <f aca="false">Допущения!$D$22*IF(AC$24&lt;Допущения!$D$27,0,((AC$24-Допущения!$D$27+1)/(36-Допущения!$D$27+1))^Допущения!$D$28)</f>
        <v>16762.5245837003</v>
      </c>
      <c r="AD26" s="10" t="n">
        <f aca="false">Допущения!$D$22*IF(AD$24&lt;Допущения!$D$27,0,((AD$24-Допущения!$D$27+1)/(36-Допущения!$D$27+1))^Допущения!$D$28)</f>
        <v>17639.3577695699</v>
      </c>
      <c r="AE26" s="10" t="n">
        <f aca="false">Допущения!$D$22*IF(AE$24&lt;Допущения!$D$27,0,((AE$24-Допущения!$D$27+1)/(36-Допущения!$D$27+1))^Допущения!$D$28)</f>
        <v>18526.3690015969</v>
      </c>
      <c r="AF26" s="10" t="n">
        <f aca="false">Допущения!$D$22*IF(AF$24&lt;Допущения!$D$27,0,((AF$24-Допущения!$D$27+1)/(36-Допущения!$D$27+1))^Допущения!$D$28)</f>
        <v>19423.2928086899</v>
      </c>
      <c r="AG26" s="10" t="n">
        <f aca="false">Допущения!$D$22*IF(AG$24&lt;Допущения!$D$27,0,((AG$24-Допущения!$D$27+1)/(36-Допущения!$D$27+1))^Допущения!$D$28)</f>
        <v>20329.8799356307</v>
      </c>
      <c r="AH26" s="10" t="n">
        <f aca="false">Допущения!$D$22*IF(AH$24&lt;Допущения!$D$27,0,((AH$24-Допущения!$D$27+1)/(36-Допущения!$D$27+1))^Допущения!$D$28)</f>
        <v>21245.8958241099</v>
      </c>
      <c r="AI26" s="10" t="n">
        <f aca="false">Допущения!$D$22*IF(AI$24&lt;Допущения!$D$27,0,((AI$24-Допущения!$D$27+1)/(36-Допущения!$D$27+1))^Допущения!$D$28)</f>
        <v>22171.1192822477</v>
      </c>
      <c r="AJ26" s="10" t="n">
        <f aca="false">Допущения!$D$22*IF(AJ$24&lt;Допущения!$D$27,0,((AJ$24-Допущения!$D$27+1)/(36-Допущения!$D$27+1))^Допущения!$D$28)</f>
        <v>23105.3413138463</v>
      </c>
      <c r="AK26" s="10" t="n">
        <f aca="false">Допущения!$D$22*IF(AK$24&lt;Допущения!$D$27,0,((AK$24-Допущения!$D$27+1)/(36-Допущения!$D$27+1))^Допущения!$D$28)</f>
        <v>24048.3640837766</v>
      </c>
      <c r="AL26" s="10" t="n">
        <f aca="false">Допущения!$D$22*IF(AL$24&lt;Допущения!$D$27,0,((AL$24-Допущения!$D$27+1)/(36-Допущения!$D$27+1))^Допущения!$D$28)</f>
        <v>25000</v>
      </c>
      <c r="AM26" s="10" t="n">
        <f aca="false">N26</f>
        <v>5093.51297169137</v>
      </c>
      <c r="AN26" s="10" t="n">
        <f aca="false">Z26</f>
        <v>14196.0297754137</v>
      </c>
      <c r="AO26" s="10" t="n">
        <f aca="false">AL26</f>
        <v>25000</v>
      </c>
    </row>
    <row r="27" customFormat="false" ht="15" hidden="false" customHeight="false" outlineLevel="0" collapsed="false">
      <c r="A27" s="0" t="s">
        <v>261</v>
      </c>
      <c r="B27" s="0" t="s">
        <v>262</v>
      </c>
      <c r="C27" s="10" t="n">
        <f aca="false">Допущения!$D$23*IF(C$24&lt;Допущения!$D$27,0,((C$24-Допущения!$D$27+1)/(36-Допущения!$D$27+1))^Допущения!$D$28)</f>
        <v>0</v>
      </c>
      <c r="D27" s="10" t="n">
        <f aca="false">Допущения!$D$23*IF(D$24&lt;Допущения!$D$27,0,((D$24-Допущения!$D$27+1)/(36-Допущения!$D$27+1))^Допущения!$D$28)</f>
        <v>0</v>
      </c>
      <c r="E27" s="10" t="n">
        <f aca="false">Допущения!$D$23*IF(E$24&lt;Допущения!$D$27,0,((E$24-Допущения!$D$27+1)/(36-Допущения!$D$27+1))^Допущения!$D$28)</f>
        <v>61267.288217439</v>
      </c>
      <c r="F27" s="10" t="n">
        <f aca="false">Допущения!$D$23*IF(F$24&lt;Допущения!$D$27,0,((F$24-Допущения!$D$27+1)/(36-Допущения!$D$27+1))^Допущения!$D$28)</f>
        <v>150857.759219386</v>
      </c>
      <c r="G27" s="10" t="n">
        <f aca="false">Допущения!$D$23*IF(G$24&lt;Допущения!$D$27,0,((G$24-Допущения!$D$27+1)/(36-Допущения!$D$27+1))^Допущения!$D$28)</f>
        <v>255556.122096452</v>
      </c>
      <c r="H27" s="10" t="n">
        <f aca="false">Допущения!$D$23*IF(H$24&lt;Допущения!$D$27,0,((H$24-Допущения!$D$27+1)/(36-Допущения!$D$27+1))^Допущения!$D$28)</f>
        <v>371455.374945358</v>
      </c>
      <c r="I27" s="10" t="n">
        <f aca="false">Допущения!$D$23*IF(I$24&lt;Допущения!$D$27,0,((I$24-Допущения!$D$27+1)/(36-Допущения!$D$27+1))^Допущения!$D$28)</f>
        <v>496466.174055346</v>
      </c>
      <c r="J27" s="10" t="n">
        <f aca="false">Допущения!$D$23*IF(J$24&lt;Допущения!$D$27,0,((J$24-Допущения!$D$27+1)/(36-Допущения!$D$27+1))^Допущения!$D$28)</f>
        <v>629252.984030277</v>
      </c>
      <c r="K27" s="10" t="n">
        <f aca="false">Допущения!$D$23*IF(K$24&lt;Допущения!$D$27,0,((K$24-Допущения!$D$27+1)/(36-Допущения!$D$27+1))^Допущения!$D$28)</f>
        <v>768875.655429739</v>
      </c>
      <c r="L27" s="10" t="n">
        <f aca="false">Допущения!$D$23*IF(L$24&lt;Допущения!$D$27,0,((L$24-Допущения!$D$27+1)/(36-Допущения!$D$27+1))^Допущения!$D$28)</f>
        <v>914630.419341839</v>
      </c>
      <c r="M27" s="10" t="n">
        <f aca="false">Допущения!$D$23*IF(M$24&lt;Допущения!$D$27,0,((M$24-Допущения!$D$27+1)/(36-Допущения!$D$27+1))^Допущения!$D$28)</f>
        <v>1065967.39371251</v>
      </c>
      <c r="N27" s="10" t="n">
        <f aca="false">Допущения!$D$23*IF(N$24&lt;Допущения!$D$27,0,((N$24-Допущения!$D$27+1)/(36-Допущения!$D$27+1))^Допущения!$D$28)</f>
        <v>1222443.11320593</v>
      </c>
      <c r="O27" s="10" t="n">
        <f aca="false">Допущения!$D$23*IF(O$24&lt;Допущения!$D$27,0,((O$24-Допущения!$D$27+1)/(36-Допущения!$D$27+1))^Допущения!$D$28)</f>
        <v>1383691.10445891</v>
      </c>
      <c r="P27" s="10" t="n">
        <f aca="false">Допущения!$D$23*IF(P$24&lt;Допущения!$D$27,0,((P$24-Допущения!$D$27+1)/(36-Допущения!$D$27+1))^Допущения!$D$28)</f>
        <v>1549402.59173899</v>
      </c>
      <c r="Q27" s="10" t="n">
        <f aca="false">Допущения!$D$23*IF(Q$24&lt;Допущения!$D$27,0,((Q$24-Допущения!$D$27+1)/(36-Допущения!$D$27+1))^Допущения!$D$28)</f>
        <v>1719313.27422218</v>
      </c>
      <c r="R27" s="10" t="n">
        <f aca="false">Допущения!$D$23*IF(R$24&lt;Допущения!$D$27,0,((R$24-Допущения!$D$27+1)/(36-Допущения!$D$27+1))^Допущения!$D$28)</f>
        <v>1893193.93547847</v>
      </c>
      <c r="S27" s="10" t="n">
        <f aca="false">Допущения!$D$23*IF(S$24&lt;Допущения!$D$27,0,((S$24-Допущения!$D$27+1)/(36-Допущения!$D$27+1))^Допущения!$D$28)</f>
        <v>2070843.57550418</v>
      </c>
      <c r="T27" s="10" t="n">
        <f aca="false">Допущения!$D$23*IF(T$24&lt;Допущения!$D$27,0,((T$24-Допущения!$D$27+1)/(36-Допущения!$D$27+1))^Допущения!$D$28)</f>
        <v>2252084.26209605</v>
      </c>
      <c r="U27" s="10" t="n">
        <f aca="false">Допущения!$D$23*IF(U$24&lt;Допущения!$D$27,0,((U$24-Допущения!$D$27+1)/(36-Допущения!$D$27+1))^Допущения!$D$28)</f>
        <v>2436757.18906871</v>
      </c>
      <c r="V27" s="10" t="n">
        <f aca="false">Допущения!$D$23*IF(V$24&lt;Допущения!$D$27,0,((V$24-Допущения!$D$27+1)/(36-Допущения!$D$27+1))^Допущения!$D$28)</f>
        <v>2624719.603154</v>
      </c>
      <c r="W27" s="10" t="n">
        <f aca="false">Допущения!$D$23*IF(W$24&lt;Допущения!$D$27,0,((W$24-Допущения!$D$27+1)/(36-Допущения!$D$27+1))^Допущения!$D$28)</f>
        <v>2815842.36993486</v>
      </c>
      <c r="X27" s="10" t="n">
        <f aca="false">Допущения!$D$23*IF(X$24&lt;Допущения!$D$27,0,((X$24-Допущения!$D$27+1)/(36-Допущения!$D$27+1))^Допущения!$D$28)</f>
        <v>3010008.01891089</v>
      </c>
      <c r="Y27" s="10" t="n">
        <f aca="false">Допущения!$D$23*IF(Y$24&lt;Допущения!$D$27,0,((Y$24-Допущения!$D$27+1)/(36-Допущения!$D$27+1))^Допущения!$D$28)</f>
        <v>3207109.15388717</v>
      </c>
      <c r="Z27" s="10" t="n">
        <f aca="false">Допущения!$D$23*IF(Z$24&lt;Допущения!$D$27,0,((Z$24-Допущения!$D$27+1)/(36-Допущения!$D$27+1))^Допущения!$D$28)</f>
        <v>3407047.14609929</v>
      </c>
      <c r="AA27" s="10" t="n">
        <f aca="false">Допущения!$D$23*IF(AA$24&lt;Допущения!$D$27,0,((AA$24-Допущения!$D$27+1)/(36-Допущения!$D$27+1))^Допущения!$D$28)</f>
        <v>3609731.04909958</v>
      </c>
      <c r="AB27" s="10" t="n">
        <f aca="false">Допущения!$D$23*IF(AB$24&lt;Допущения!$D$27,0,((AB$24-Допущения!$D$27+1)/(36-Допущения!$D$27+1))^Допущения!$D$28)</f>
        <v>3815076.68968317</v>
      </c>
      <c r="AC27" s="10" t="n">
        <f aca="false">Допущения!$D$23*IF(AC$24&lt;Допущения!$D$27,0,((AC$24-Допущения!$D$27+1)/(36-Допущения!$D$27+1))^Допущения!$D$28)</f>
        <v>4023005.90008807</v>
      </c>
      <c r="AD27" s="10" t="n">
        <f aca="false">Допущения!$D$23*IF(AD$24&lt;Допущения!$D$27,0,((AD$24-Допущения!$D$27+1)/(36-Допущения!$D$27+1))^Допущения!$D$28)</f>
        <v>4233445.86469678</v>
      </c>
      <c r="AE27" s="10" t="n">
        <f aca="false">Допущения!$D$23*IF(AE$24&lt;Допущения!$D$27,0,((AE$24-Допущения!$D$27+1)/(36-Допущения!$D$27+1))^Допущения!$D$28)</f>
        <v>4446328.56038326</v>
      </c>
      <c r="AF27" s="10" t="n">
        <f aca="false">Допущения!$D$23*IF(AF$24&lt;Допущения!$D$27,0,((AF$24-Допущения!$D$27+1)/(36-Допущения!$D$27+1))^Допущения!$D$28)</f>
        <v>4661590.27408559</v>
      </c>
      <c r="AG27" s="10" t="n">
        <f aca="false">Допущения!$D$23*IF(AG$24&lt;Допущения!$D$27,0,((AG$24-Допущения!$D$27+1)/(36-Допущения!$D$27+1))^Допущения!$D$28)</f>
        <v>4879171.18455136</v>
      </c>
      <c r="AH27" s="10" t="n">
        <f aca="false">Допущения!$D$23*IF(AH$24&lt;Допущения!$D$27,0,((AH$24-Допущения!$D$27+1)/(36-Допущения!$D$27+1))^Допущения!$D$28)</f>
        <v>5099014.99778637</v>
      </c>
      <c r="AI27" s="10" t="n">
        <f aca="false">Допущения!$D$23*IF(AI$24&lt;Допущения!$D$27,0,((AI$24-Допущения!$D$27+1)/(36-Допущения!$D$27+1))^Допущения!$D$28)</f>
        <v>5321068.62773944</v>
      </c>
      <c r="AJ27" s="10" t="n">
        <f aca="false">Допущения!$D$23*IF(AJ$24&lt;Допущения!$D$27,0,((AJ$24-Допущения!$D$27+1)/(36-Допущения!$D$27+1))^Допущения!$D$28)</f>
        <v>5545281.91532311</v>
      </c>
      <c r="AK27" s="10" t="n">
        <f aca="false">Допущения!$D$23*IF(AK$24&lt;Допущения!$D$27,0,((AK$24-Допущения!$D$27+1)/(36-Допущения!$D$27+1))^Допущения!$D$28)</f>
        <v>5771607.38010639</v>
      </c>
      <c r="AL27" s="10" t="n">
        <f aca="false">Допущения!$D$23*IF(AL$24&lt;Допущения!$D$27,0,((AL$24-Допущения!$D$27+1)/(36-Допущения!$D$27+1))^Допущения!$D$28)</f>
        <v>6000000</v>
      </c>
      <c r="AM27" s="10" t="n">
        <f aca="false">SUM(C27:N27)</f>
        <v>5936772.28425428</v>
      </c>
      <c r="AN27" s="10" t="n">
        <f aca="false">SUM(O27:Z27)</f>
        <v>28370012.2245537</v>
      </c>
      <c r="AO27" s="10" t="n">
        <f aca="false">SUM(AA27:AL27)</f>
        <v>57405322.4435431</v>
      </c>
      <c r="AP27" s="10" t="n">
        <f aca="false">SUM(C27:AL27)</f>
        <v>91712106.9523511</v>
      </c>
    </row>
    <row r="28" customFormat="false" ht="15" hidden="false" customHeight="false" outlineLevel="0" collapsed="false">
      <c r="A28" s="0" t="s">
        <v>263</v>
      </c>
      <c r="B28" s="0" t="s">
        <v>264</v>
      </c>
      <c r="C28" s="10" t="n">
        <f aca="false">C25*Допущения!$D$24+C26*Допущения!$D$25+C27*Допущения!$D$26</f>
        <v>0</v>
      </c>
      <c r="D28" s="10" t="n">
        <f aca="false">D25*Допущения!$D$24+D26*Допущения!$D$25+D27*Допущения!$D$26</f>
        <v>0</v>
      </c>
      <c r="E28" s="10" t="n">
        <f aca="false">E25*Допущения!$D$24+E26*Допущения!$D$25+E27*Допущения!$D$26</f>
        <v>113.344483202262</v>
      </c>
      <c r="F28" s="10" t="n">
        <f aca="false">F25*Допущения!$D$24+F26*Допущения!$D$25+F27*Допущения!$D$26</f>
        <v>279.086854555864</v>
      </c>
      <c r="G28" s="10" t="n">
        <f aca="false">G25*Допущения!$D$24+G26*Допущения!$D$25+G27*Допущения!$D$26</f>
        <v>472.778825878436</v>
      </c>
      <c r="H28" s="10" t="n">
        <f aca="false">H25*Допущения!$D$24+H26*Допущения!$D$25+H27*Допущения!$D$26</f>
        <v>687.192443648913</v>
      </c>
      <c r="I28" s="10" t="n">
        <f aca="false">I25*Допущения!$D$24+I26*Допущения!$D$25+I27*Допущения!$D$26</f>
        <v>918.462422002391</v>
      </c>
      <c r="J28" s="10" t="n">
        <f aca="false">J25*Допущения!$D$24+J26*Допущения!$D$25+J27*Допущения!$D$26</f>
        <v>1164.11802045601</v>
      </c>
      <c r="K28" s="10" t="n">
        <f aca="false">K25*Допущения!$D$24+K26*Допущения!$D$25+K27*Допущения!$D$26</f>
        <v>1422.41996254502</v>
      </c>
      <c r="L28" s="10" t="n">
        <f aca="false">L25*Допущения!$D$24+L26*Допущения!$D$25+L27*Допущения!$D$26</f>
        <v>1692.0662757824</v>
      </c>
      <c r="M28" s="10" t="n">
        <f aca="false">M25*Допущения!$D$24+M26*Допущения!$D$25+M27*Допущения!$D$26</f>
        <v>1972.03967836815</v>
      </c>
      <c r="N28" s="10" t="n">
        <f aca="false">N25*Допущения!$D$24+N26*Допущения!$D$25+N27*Допущения!$D$26</f>
        <v>2261.51975943097</v>
      </c>
      <c r="O28" s="10" t="n">
        <f aca="false">O25*Допущения!$D$24+O26*Допущения!$D$25+O27*Допущения!$D$26</f>
        <v>2559.82854324898</v>
      </c>
      <c r="P28" s="10" t="n">
        <f aca="false">P25*Допущения!$D$24+P26*Допущения!$D$25+P27*Допущения!$D$26</f>
        <v>2866.39479471712</v>
      </c>
      <c r="Q28" s="10" t="n">
        <f aca="false">Q25*Допущения!$D$24+Q26*Допущения!$D$25+Q27*Допущения!$D$26</f>
        <v>3180.72955731102</v>
      </c>
      <c r="R28" s="10" t="n">
        <f aca="false">R25*Допущения!$D$24+R26*Допущения!$D$25+R27*Допущения!$D$26</f>
        <v>3502.40878063517</v>
      </c>
      <c r="S28" s="10" t="n">
        <f aca="false">S25*Допущения!$D$24+S26*Допущения!$D$25+S27*Допущения!$D$26</f>
        <v>3831.06061468273</v>
      </c>
      <c r="T28" s="10" t="n">
        <f aca="false">T25*Допущения!$D$24+T26*Допущения!$D$25+T27*Допущения!$D$26</f>
        <v>4166.35588487768</v>
      </c>
      <c r="U28" s="10" t="n">
        <f aca="false">U25*Допущения!$D$24+U26*Допущения!$D$25+U27*Допущения!$D$26</f>
        <v>4508.00079977711</v>
      </c>
      <c r="V28" s="10" t="n">
        <f aca="false">V25*Допущения!$D$24+V26*Допущения!$D$25+V27*Допущения!$D$26</f>
        <v>4855.7312658349</v>
      </c>
      <c r="W28" s="10" t="n">
        <f aca="false">W25*Допущения!$D$24+W26*Допущения!$D$25+W27*Допущения!$D$26</f>
        <v>5209.3083843795</v>
      </c>
      <c r="X28" s="10" t="n">
        <f aca="false">X25*Допущения!$D$24+X26*Допущения!$D$25+X27*Допущения!$D$26</f>
        <v>5568.51483498515</v>
      </c>
      <c r="Y28" s="10" t="n">
        <f aca="false">Y25*Допущения!$D$24+Y26*Допущения!$D$25+Y27*Допущения!$D$26</f>
        <v>5933.15193469126</v>
      </c>
      <c r="Z28" s="10" t="n">
        <f aca="false">Z25*Допущения!$D$24+Z26*Допущения!$D$25+Z27*Допущения!$D$26</f>
        <v>6303.03722028368</v>
      </c>
      <c r="AA28" s="10" t="n">
        <f aca="false">AA25*Допущения!$D$24+AA26*Допущения!$D$25+AA27*Допущения!$D$26</f>
        <v>6678.00244083422</v>
      </c>
      <c r="AB28" s="10" t="n">
        <f aca="false">AB25*Допущения!$D$24+AB26*Допущения!$D$25+AB27*Допущения!$D$26</f>
        <v>7057.89187591387</v>
      </c>
      <c r="AC28" s="10" t="n">
        <f aca="false">AC25*Допущения!$D$24+AC26*Допущения!$D$25+AC27*Допущения!$D$26</f>
        <v>7442.56091516293</v>
      </c>
      <c r="AD28" s="10" t="n">
        <f aca="false">AD25*Допущения!$D$24+AD26*Допущения!$D$25+AD27*Допущения!$D$26</f>
        <v>7831.87484968903</v>
      </c>
      <c r="AE28" s="10" t="n">
        <f aca="false">AE25*Допущения!$D$24+AE26*Допущения!$D$25+AE27*Допущения!$D$26</f>
        <v>8225.70783670902</v>
      </c>
      <c r="AF28" s="10" t="n">
        <f aca="false">AF25*Допущения!$D$24+AF26*Допущения!$D$25+AF27*Допущения!$D$26</f>
        <v>8623.94200705833</v>
      </c>
      <c r="AG28" s="10" t="n">
        <f aca="false">AG25*Допущения!$D$24+AG26*Допущения!$D$25+AG27*Допущения!$D$26</f>
        <v>9026.46669142001</v>
      </c>
      <c r="AH28" s="10" t="n">
        <f aca="false">AH25*Допущения!$D$24+AH26*Допущения!$D$25+AH27*Допущения!$D$26</f>
        <v>9433.17774590478</v>
      </c>
      <c r="AI28" s="10" t="n">
        <f aca="false">AI25*Допущения!$D$24+AI26*Допущения!$D$25+AI27*Допущения!$D$26</f>
        <v>9843.97696131796</v>
      </c>
      <c r="AJ28" s="10" t="n">
        <f aca="false">AJ25*Допущения!$D$24+AJ26*Допущения!$D$25+AJ27*Допущения!$D$26</f>
        <v>10258.7715433478</v>
      </c>
      <c r="AK28" s="10" t="n">
        <f aca="false">AK25*Допущения!$D$24+AK26*Допущения!$D$25+AK27*Допущения!$D$26</f>
        <v>10677.4736531968</v>
      </c>
      <c r="AL28" s="10" t="n">
        <f aca="false">AL25*Допущения!$D$24+AL26*Допущения!$D$25+AL27*Допущения!$D$26</f>
        <v>11100</v>
      </c>
      <c r="AM28" s="10" t="n">
        <f aca="false">SUM(C28:N28)</f>
        <v>10983.0287258704</v>
      </c>
      <c r="AN28" s="10" t="n">
        <f aca="false">SUM(O28:Z28)</f>
        <v>52484.5226154243</v>
      </c>
      <c r="AO28" s="10" t="n">
        <f aca="false">SUM(AA28:AL28)</f>
        <v>106199.846520555</v>
      </c>
      <c r="AP28" s="10" t="n">
        <f aca="false">SUM(C28:AL28)</f>
        <v>169667.397861849</v>
      </c>
    </row>
    <row r="29" customFormat="false" ht="15" hidden="false" customHeight="false" outlineLevel="0" collapsed="false">
      <c r="A29" s="0" t="s">
        <v>265</v>
      </c>
      <c r="B29" s="0" t="s">
        <v>266</v>
      </c>
      <c r="C29" s="10" t="n">
        <f aca="false">C28*Допущения!$D$6*Допущения!$D$7</f>
        <v>0</v>
      </c>
      <c r="D29" s="10" t="n">
        <f aca="false">D28*Допущения!$D$6*Допущения!$D$7</f>
        <v>0</v>
      </c>
      <c r="E29" s="10" t="n">
        <f aca="false">E28*Допущения!$D$6*Допущения!$D$7</f>
        <v>4.56211544889105</v>
      </c>
      <c r="F29" s="10" t="n">
        <f aca="false">F28*Допущения!$D$6*Допущения!$D$7</f>
        <v>11.2332458958735</v>
      </c>
      <c r="G29" s="10" t="n">
        <f aca="false">G28*Допущения!$D$6*Допущения!$D$7</f>
        <v>19.0293477416071</v>
      </c>
      <c r="H29" s="10" t="n">
        <f aca="false">H28*Допущения!$D$6*Допущения!$D$7</f>
        <v>27.6594958568688</v>
      </c>
      <c r="I29" s="10" t="n">
        <f aca="false">I28*Допущения!$D$6*Допущения!$D$7</f>
        <v>36.9681124855962</v>
      </c>
      <c r="J29" s="10" t="n">
        <f aca="false">J28*Допущения!$D$6*Допущения!$D$7</f>
        <v>46.8557503233545</v>
      </c>
      <c r="K29" s="10" t="n">
        <f aca="false">K28*Допущения!$D$6*Допущения!$D$7</f>
        <v>57.252403492437</v>
      </c>
      <c r="L29" s="10" t="n">
        <f aca="false">L28*Допущения!$D$6*Допущения!$D$7</f>
        <v>68.1056676002416</v>
      </c>
      <c r="M29" s="10" t="n">
        <f aca="false">M28*Допущения!$D$6*Допущения!$D$7</f>
        <v>79.3745970543179</v>
      </c>
      <c r="N29" s="10" t="n">
        <f aca="false">N28*Допущения!$D$6*Допущения!$D$7</f>
        <v>91.0261703170965</v>
      </c>
      <c r="O29" s="10" t="n">
        <f aca="false">O28*Допущения!$D$6*Допущения!$D$7</f>
        <v>103.033098865772</v>
      </c>
      <c r="P29" s="10" t="n">
        <f aca="false">P28*Допущения!$D$6*Допущения!$D$7</f>
        <v>115.372390487364</v>
      </c>
      <c r="Q29" s="10" t="n">
        <f aca="false">Q28*Допущения!$D$6*Допущения!$D$7</f>
        <v>128.024364681769</v>
      </c>
      <c r="R29" s="10" t="n">
        <f aca="false">R28*Допущения!$D$6*Допущения!$D$7</f>
        <v>140.971953420565</v>
      </c>
      <c r="S29" s="10" t="n">
        <f aca="false">S28*Допущения!$D$6*Допущения!$D$7</f>
        <v>154.20018974098</v>
      </c>
      <c r="T29" s="10" t="n">
        <f aca="false">T28*Допущения!$D$6*Допущения!$D$7</f>
        <v>167.695824366327</v>
      </c>
      <c r="U29" s="10" t="n">
        <f aca="false">U28*Допущения!$D$6*Допущения!$D$7</f>
        <v>181.447032191029</v>
      </c>
      <c r="V29" s="10" t="n">
        <f aca="false">V28*Допущения!$D$6*Допущения!$D$7</f>
        <v>195.443183449855</v>
      </c>
      <c r="W29" s="10" t="n">
        <f aca="false">W28*Допущения!$D$6*Допущения!$D$7</f>
        <v>209.674662471275</v>
      </c>
      <c r="X29" s="10" t="n">
        <f aca="false">X28*Допущения!$D$6*Допущения!$D$7</f>
        <v>224.132722108152</v>
      </c>
      <c r="Y29" s="10" t="n">
        <f aca="false">Y28*Допущения!$D$6*Допущения!$D$7</f>
        <v>238.809365371323</v>
      </c>
      <c r="Z29" s="10" t="n">
        <f aca="false">Z28*Допущения!$D$6*Допущения!$D$7</f>
        <v>253.697248116418</v>
      </c>
      <c r="AA29" s="10" t="n">
        <f aca="false">AA28*Допущения!$D$6*Допущения!$D$7</f>
        <v>268.789598243578</v>
      </c>
      <c r="AB29" s="10" t="n">
        <f aca="false">AB28*Допущения!$D$6*Допущения!$D$7</f>
        <v>284.080148005533</v>
      </c>
      <c r="AC29" s="10" t="n">
        <f aca="false">AC28*Допущения!$D$6*Допущения!$D$7</f>
        <v>299.563076835308</v>
      </c>
      <c r="AD29" s="10" t="n">
        <f aca="false">AD28*Допущения!$D$6*Допущения!$D$7</f>
        <v>315.232962699984</v>
      </c>
      <c r="AE29" s="10" t="n">
        <f aca="false">AE28*Допущения!$D$6*Допущения!$D$7</f>
        <v>331.084740427538</v>
      </c>
      <c r="AF29" s="10" t="n">
        <f aca="false">AF28*Допущения!$D$6*Допущения!$D$7</f>
        <v>347.113665784098</v>
      </c>
      <c r="AG29" s="10" t="n">
        <f aca="false">AG28*Допущения!$D$6*Допущения!$D$7</f>
        <v>363.315284329656</v>
      </c>
      <c r="AH29" s="10" t="n">
        <f aca="false">AH28*Допущения!$D$6*Допущения!$D$7</f>
        <v>379.685404272667</v>
      </c>
      <c r="AI29" s="10" t="n">
        <f aca="false">AI28*Допущения!$D$6*Допущения!$D$7</f>
        <v>396.220072693048</v>
      </c>
      <c r="AJ29" s="10" t="n">
        <f aca="false">AJ28*Допущения!$D$6*Допущения!$D$7</f>
        <v>412.915554619747</v>
      </c>
      <c r="AK29" s="10" t="n">
        <f aca="false">AK28*Допущения!$D$6*Допущения!$D$7</f>
        <v>429.768314541172</v>
      </c>
      <c r="AL29" s="10" t="n">
        <f aca="false">AL28*Допущения!$D$6*Допущения!$D$7</f>
        <v>446.775</v>
      </c>
      <c r="AM29" s="10" t="n">
        <f aca="false">SUM(C29:N29)</f>
        <v>442.066906216284</v>
      </c>
      <c r="AN29" s="10" t="n">
        <f aca="false">SUM(O29:Z29)</f>
        <v>2112.50203527083</v>
      </c>
      <c r="AO29" s="10" t="n">
        <f aca="false">SUM(AA29:AL29)</f>
        <v>4274.54382245233</v>
      </c>
      <c r="AP29" s="10" t="n">
        <f aca="false">SUM(C29:AL29)</f>
        <v>6829.11276393944</v>
      </c>
    </row>
    <row r="30" customFormat="false" ht="15" hidden="false" customHeight="false" outlineLevel="0" collapsed="false">
      <c r="A30" s="0" t="s">
        <v>267</v>
      </c>
      <c r="B30" s="0" t="s">
        <v>268</v>
      </c>
      <c r="C30" s="10" t="n">
        <f aca="false">C29*Допущения!$D$4</f>
        <v>0</v>
      </c>
      <c r="D30" s="10" t="n">
        <f aca="false">D29*Допущения!$D$4</f>
        <v>0</v>
      </c>
      <c r="E30" s="10" t="n">
        <f aca="false">E29*Допущения!$D$4</f>
        <v>7299.38471822568</v>
      </c>
      <c r="F30" s="10" t="n">
        <f aca="false">F29*Допущения!$D$4</f>
        <v>17973.1934333976</v>
      </c>
      <c r="G30" s="10" t="n">
        <f aca="false">G29*Допущения!$D$4</f>
        <v>30446.9563865713</v>
      </c>
      <c r="H30" s="10" t="n">
        <f aca="false">H29*Допущения!$D$4</f>
        <v>44255.19337099</v>
      </c>
      <c r="I30" s="10" t="n">
        <f aca="false">I29*Допущения!$D$4</f>
        <v>59148.979976954</v>
      </c>
      <c r="J30" s="10" t="n">
        <f aca="false">J29*Допущения!$D$4</f>
        <v>74969.2005173672</v>
      </c>
      <c r="K30" s="10" t="n">
        <f aca="false">K29*Допущения!$D$4</f>
        <v>91603.8455878991</v>
      </c>
      <c r="L30" s="10" t="n">
        <f aca="false">L29*Допущения!$D$4</f>
        <v>108969.068160387</v>
      </c>
      <c r="M30" s="10" t="n">
        <f aca="false">M29*Допущения!$D$4</f>
        <v>126999.355286909</v>
      </c>
      <c r="N30" s="10" t="n">
        <f aca="false">N29*Допущения!$D$4</f>
        <v>145641.872507354</v>
      </c>
      <c r="O30" s="10" t="n">
        <f aca="false">O29*Допущения!$D$4</f>
        <v>164852.958185235</v>
      </c>
      <c r="P30" s="10" t="n">
        <f aca="false">P29*Допущения!$D$4</f>
        <v>184595.824779783</v>
      </c>
      <c r="Q30" s="10" t="n">
        <f aca="false">Q29*Допущения!$D$4</f>
        <v>204838.98349083</v>
      </c>
      <c r="R30" s="10" t="n">
        <f aca="false">R29*Допущения!$D$4</f>
        <v>225555.125472905</v>
      </c>
      <c r="S30" s="10" t="n">
        <f aca="false">S29*Допущения!$D$4</f>
        <v>246720.303585568</v>
      </c>
      <c r="T30" s="10" t="n">
        <f aca="false">T29*Допущения!$D$4</f>
        <v>268313.318986123</v>
      </c>
      <c r="U30" s="10" t="n">
        <f aca="false">U29*Допущения!$D$4</f>
        <v>290315.251505646</v>
      </c>
      <c r="V30" s="10" t="n">
        <f aca="false">V29*Допущения!$D$4</f>
        <v>312709.093519768</v>
      </c>
      <c r="W30" s="10" t="n">
        <f aca="false">W29*Допущения!$D$4</f>
        <v>335479.45995404</v>
      </c>
      <c r="X30" s="10" t="n">
        <f aca="false">X29*Допущения!$D$4</f>
        <v>358612.355373044</v>
      </c>
      <c r="Y30" s="10" t="n">
        <f aca="false">Y29*Допущения!$D$4</f>
        <v>382094.984594117</v>
      </c>
      <c r="Z30" s="10" t="n">
        <f aca="false">Z29*Допущения!$D$4</f>
        <v>405915.596986269</v>
      </c>
      <c r="AA30" s="10" t="n">
        <f aca="false">AA29*Допущения!$D$4</f>
        <v>430063.357189724</v>
      </c>
      <c r="AB30" s="10" t="n">
        <f aca="false">AB29*Допущения!$D$4</f>
        <v>454528.236808853</v>
      </c>
      <c r="AC30" s="10" t="n">
        <f aca="false">AC29*Допущения!$D$4</f>
        <v>479300.922936493</v>
      </c>
      <c r="AD30" s="10" t="n">
        <f aca="false">AD29*Допущения!$D$4</f>
        <v>504372.740319974</v>
      </c>
      <c r="AE30" s="10" t="n">
        <f aca="false">AE29*Допущения!$D$4</f>
        <v>529735.584684061</v>
      </c>
      <c r="AF30" s="10" t="n">
        <f aca="false">AF29*Допущения!$D$4</f>
        <v>555381.865254557</v>
      </c>
      <c r="AG30" s="10" t="n">
        <f aca="false">AG29*Допущения!$D$4</f>
        <v>581304.454927449</v>
      </c>
      <c r="AH30" s="10" t="n">
        <f aca="false">AH29*Допущения!$D$4</f>
        <v>607496.646836268</v>
      </c>
      <c r="AI30" s="10" t="n">
        <f aca="false">AI29*Допущения!$D$4</f>
        <v>633952.116308877</v>
      </c>
      <c r="AJ30" s="10" t="n">
        <f aca="false">AJ29*Допущения!$D$4</f>
        <v>660664.887391595</v>
      </c>
      <c r="AK30" s="10" t="n">
        <f aca="false">AK29*Допущения!$D$4</f>
        <v>687629.303265875</v>
      </c>
      <c r="AL30" s="10" t="n">
        <f aca="false">AL29*Допущения!$D$4</f>
        <v>714840</v>
      </c>
      <c r="AM30" s="10" t="n">
        <f aca="false">SUM(C30:N30)</f>
        <v>707307.049946055</v>
      </c>
      <c r="AN30" s="10" t="n">
        <f aca="false">SUM(O30:Z30)</f>
        <v>3380003.25643333</v>
      </c>
      <c r="AO30" s="10" t="n">
        <f aca="false">SUM(AA30:AL30)</f>
        <v>6839270.11592373</v>
      </c>
      <c r="AP30" s="10" t="n">
        <f aca="false">SUM(C30:AL30)</f>
        <v>10926580.4223031</v>
      </c>
    </row>
    <row r="31" customFormat="false" ht="15" hidden="false" customHeight="false" outlineLevel="0" collapsed="false">
      <c r="A31" s="0" t="s">
        <v>269</v>
      </c>
      <c r="B31" s="0" t="s">
        <v>270</v>
      </c>
      <c r="C31" s="10" t="n">
        <f aca="false">C30*Допущения!$D$5</f>
        <v>0</v>
      </c>
      <c r="D31" s="10" t="n">
        <f aca="false">D30*Допущения!$D$5</f>
        <v>0</v>
      </c>
      <c r="E31" s="10" t="n">
        <f aca="false">E30*Допущения!$D$5</f>
        <v>875.926166187082</v>
      </c>
      <c r="F31" s="10" t="n">
        <f aca="false">F30*Допущения!$D$5</f>
        <v>2156.78321200771</v>
      </c>
      <c r="G31" s="10" t="n">
        <f aca="false">G30*Допущения!$D$5</f>
        <v>3653.63476638856</v>
      </c>
      <c r="H31" s="10" t="n">
        <f aca="false">H30*Допущения!$D$5</f>
        <v>5310.6232045188</v>
      </c>
      <c r="I31" s="10" t="n">
        <f aca="false">I30*Допущения!$D$5</f>
        <v>7097.87759723448</v>
      </c>
      <c r="J31" s="10" t="n">
        <f aca="false">J30*Допущения!$D$5</f>
        <v>8996.30406208406</v>
      </c>
      <c r="K31" s="10" t="n">
        <f aca="false">K30*Допущения!$D$5</f>
        <v>10992.4614705479</v>
      </c>
      <c r="L31" s="10" t="n">
        <f aca="false">L30*Допущения!$D$5</f>
        <v>13076.2881792464</v>
      </c>
      <c r="M31" s="10" t="n">
        <f aca="false">M30*Допущения!$D$5</f>
        <v>15239.922634429</v>
      </c>
      <c r="N31" s="10" t="n">
        <f aca="false">N30*Допущения!$D$5</f>
        <v>17477.0247008825</v>
      </c>
      <c r="O31" s="10" t="n">
        <f aca="false">O30*Допущения!$D$5</f>
        <v>19782.3549822281</v>
      </c>
      <c r="P31" s="10" t="n">
        <f aca="false">P30*Допущения!$D$5</f>
        <v>22151.4989735739</v>
      </c>
      <c r="Q31" s="10" t="n">
        <f aca="false">Q30*Допущения!$D$5</f>
        <v>24580.6780188996</v>
      </c>
      <c r="R31" s="10" t="n">
        <f aca="false">R30*Допущения!$D$5</f>
        <v>27066.6150567486</v>
      </c>
      <c r="S31" s="10" t="n">
        <f aca="false">S30*Допущения!$D$5</f>
        <v>29606.4364302682</v>
      </c>
      <c r="T31" s="10" t="n">
        <f aca="false">T30*Допущения!$D$5</f>
        <v>32197.5982783347</v>
      </c>
      <c r="U31" s="10" t="n">
        <f aca="false">U30*Допущения!$D$5</f>
        <v>34837.8301806775</v>
      </c>
      <c r="V31" s="10" t="n">
        <f aca="false">V30*Допущения!$D$5</f>
        <v>37525.0912223721</v>
      </c>
      <c r="W31" s="10" t="n">
        <f aca="false">W30*Допущения!$D$5</f>
        <v>40257.5351944848</v>
      </c>
      <c r="X31" s="10" t="n">
        <f aca="false">X30*Допущения!$D$5</f>
        <v>43033.4826447653</v>
      </c>
      <c r="Y31" s="10" t="n">
        <f aca="false">Y30*Допущения!$D$5</f>
        <v>45851.3981512941</v>
      </c>
      <c r="Z31" s="10" t="n">
        <f aca="false">Z30*Допущения!$D$5</f>
        <v>48709.8716383523</v>
      </c>
      <c r="AA31" s="10" t="n">
        <f aca="false">AA30*Допущения!$D$5</f>
        <v>51607.6028627669</v>
      </c>
      <c r="AB31" s="10" t="n">
        <f aca="false">AB30*Допущения!$D$5</f>
        <v>54543.3884170624</v>
      </c>
      <c r="AC31" s="10" t="n">
        <f aca="false">AC30*Допущения!$D$5</f>
        <v>57516.1107523791</v>
      </c>
      <c r="AD31" s="10" t="n">
        <f aca="false">AD30*Допущения!$D$5</f>
        <v>60524.7288383969</v>
      </c>
      <c r="AE31" s="10" t="n">
        <f aca="false">AE30*Допущения!$D$5</f>
        <v>63568.2701620873</v>
      </c>
      <c r="AF31" s="10" t="n">
        <f aca="false">AF30*Допущения!$D$5</f>
        <v>66645.8238305468</v>
      </c>
      <c r="AG31" s="10" t="n">
        <f aca="false">AG30*Допущения!$D$5</f>
        <v>69756.5345912939</v>
      </c>
      <c r="AH31" s="10" t="n">
        <f aca="false">AH30*Допущения!$D$5</f>
        <v>72899.5976203521</v>
      </c>
      <c r="AI31" s="10" t="n">
        <f aca="false">AI30*Допущения!$D$5</f>
        <v>76074.2539570652</v>
      </c>
      <c r="AJ31" s="10" t="n">
        <f aca="false">AJ30*Допущения!$D$5</f>
        <v>79279.7864869914</v>
      </c>
      <c r="AK31" s="10" t="n">
        <f aca="false">AK30*Допущения!$D$5</f>
        <v>82515.516391905</v>
      </c>
      <c r="AL31" s="10" t="n">
        <f aca="false">AL30*Допущения!$D$5</f>
        <v>85780.8</v>
      </c>
      <c r="AM31" s="10" t="n">
        <f aca="false">SUM(C31:N31)</f>
        <v>84876.8459935265</v>
      </c>
      <c r="AN31" s="10" t="n">
        <f aca="false">SUM(O31:Z31)</f>
        <v>405600.390771999</v>
      </c>
      <c r="AO31" s="10" t="n">
        <f aca="false">SUM(AA31:AL31)</f>
        <v>820712.413910847</v>
      </c>
      <c r="AP31" s="10" t="n">
        <f aca="false">SUM(C31:AL31)</f>
        <v>1311189.65067637</v>
      </c>
    </row>
    <row r="32" customFormat="false" ht="15" hidden="false" customHeight="false" outlineLevel="0" collapsed="false">
      <c r="A32" s="0" t="s">
        <v>271</v>
      </c>
      <c r="B32" s="0" t="s">
        <v>272</v>
      </c>
      <c r="C32" s="10" t="n">
        <f aca="false">C25/1000*Допущения!$D$8</f>
        <v>0</v>
      </c>
      <c r="D32" s="10" t="n">
        <f aca="false">D25/1000*Допущения!$D$8</f>
        <v>0</v>
      </c>
      <c r="E32" s="10" t="n">
        <f aca="false">E25/1000*Допущения!$D$8</f>
        <v>122.534576434878</v>
      </c>
      <c r="F32" s="10" t="n">
        <f aca="false">F25/1000*Допущения!$D$8</f>
        <v>301.715518438771</v>
      </c>
      <c r="G32" s="10" t="n">
        <f aca="false">G25/1000*Допущения!$D$8</f>
        <v>511.112244192904</v>
      </c>
      <c r="H32" s="10" t="n">
        <f aca="false">H25/1000*Допущения!$D$8</f>
        <v>742.910749890717</v>
      </c>
      <c r="I32" s="10" t="n">
        <f aca="false">I25/1000*Допущения!$D$8</f>
        <v>992.932348110693</v>
      </c>
      <c r="J32" s="10" t="n">
        <f aca="false">J25/1000*Допущения!$D$8</f>
        <v>1258.50596806055</v>
      </c>
      <c r="K32" s="10" t="n">
        <f aca="false">K25/1000*Допущения!$D$8</f>
        <v>1537.75131085948</v>
      </c>
      <c r="L32" s="10" t="n">
        <f aca="false">L25/1000*Допущения!$D$8</f>
        <v>1829.26083868368</v>
      </c>
      <c r="M32" s="10" t="n">
        <f aca="false">M25/1000*Допущения!$D$8</f>
        <v>2131.93478742502</v>
      </c>
      <c r="N32" s="10" t="n">
        <f aca="false">N25/1000*Допущения!$D$8</f>
        <v>2444.88622641186</v>
      </c>
      <c r="O32" s="10" t="n">
        <f aca="false">O25/1000*Допущения!$D$8</f>
        <v>2767.38220891782</v>
      </c>
      <c r="P32" s="10" t="n">
        <f aca="false">P25/1000*Допущения!$D$8</f>
        <v>3098.80518347797</v>
      </c>
      <c r="Q32" s="10" t="n">
        <f aca="false">Q25/1000*Допущения!$D$8</f>
        <v>3438.62654844435</v>
      </c>
      <c r="R32" s="10" t="n">
        <f aca="false">R25/1000*Допущения!$D$8</f>
        <v>3786.38787095694</v>
      </c>
      <c r="S32" s="10" t="n">
        <f aca="false">S25/1000*Допущения!$D$8</f>
        <v>4141.68715100836</v>
      </c>
      <c r="T32" s="10" t="n">
        <f aca="false">T25/1000*Допущения!$D$8</f>
        <v>4504.16852419209</v>
      </c>
      <c r="U32" s="10" t="n">
        <f aca="false">U25/1000*Допущения!$D$8</f>
        <v>4873.51437813741</v>
      </c>
      <c r="V32" s="10" t="n">
        <f aca="false">V25/1000*Допущения!$D$8</f>
        <v>5249.439206308</v>
      </c>
      <c r="W32" s="10" t="n">
        <f aca="false">W25/1000*Допущения!$D$8</f>
        <v>5631.68473986973</v>
      </c>
      <c r="X32" s="10" t="n">
        <f aca="false">X25/1000*Допущения!$D$8</f>
        <v>6020.01603782179</v>
      </c>
      <c r="Y32" s="10" t="n">
        <f aca="false">Y25/1000*Допущения!$D$8</f>
        <v>6414.21830777434</v>
      </c>
      <c r="Z32" s="10" t="n">
        <f aca="false">Z25/1000*Допущения!$D$8</f>
        <v>6814.09429219858</v>
      </c>
      <c r="AA32" s="10" t="n">
        <f aca="false">AA25/1000*Допущения!$D$8</f>
        <v>7219.46209819916</v>
      </c>
      <c r="AB32" s="10" t="n">
        <f aca="false">AB25/1000*Допущения!$D$8</f>
        <v>7630.15337936635</v>
      </c>
      <c r="AC32" s="10" t="n">
        <f aca="false">AC25/1000*Допущения!$D$8</f>
        <v>8046.01180017614</v>
      </c>
      <c r="AD32" s="10" t="n">
        <f aca="false">AD25/1000*Допущения!$D$8</f>
        <v>8466.89172939355</v>
      </c>
      <c r="AE32" s="10" t="n">
        <f aca="false">AE25/1000*Допущения!$D$8</f>
        <v>8892.65712076651</v>
      </c>
      <c r="AF32" s="10" t="n">
        <f aca="false">AF25/1000*Допущения!$D$8</f>
        <v>9323.18054817117</v>
      </c>
      <c r="AG32" s="10" t="n">
        <f aca="false">AG25/1000*Допущения!$D$8</f>
        <v>9758.34236910272</v>
      </c>
      <c r="AH32" s="10" t="n">
        <f aca="false">AH25/1000*Допущения!$D$8</f>
        <v>10198.0299955727</v>
      </c>
      <c r="AI32" s="10" t="n">
        <f aca="false">AI25/1000*Допущения!$D$8</f>
        <v>10642.1372554789</v>
      </c>
      <c r="AJ32" s="10" t="n">
        <f aca="false">AJ25/1000*Допущения!$D$8</f>
        <v>11090.5638306462</v>
      </c>
      <c r="AK32" s="10" t="n">
        <f aca="false">AK25/1000*Допущения!$D$8</f>
        <v>11543.2147602128</v>
      </c>
      <c r="AL32" s="10" t="n">
        <f aca="false">AL25/1000*Допущения!$D$8</f>
        <v>12000</v>
      </c>
      <c r="AM32" s="10" t="n">
        <f aca="false">SUM(C32:N32)</f>
        <v>11873.5445685086</v>
      </c>
      <c r="AN32" s="10" t="n">
        <f aca="false">SUM(O32:Z32)</f>
        <v>56740.0244491074</v>
      </c>
      <c r="AO32" s="10" t="n">
        <f aca="false">SUM(AA32:AL32)</f>
        <v>114810.644887086</v>
      </c>
      <c r="AP32" s="10" t="n">
        <f aca="false">SUM(C32:AL32)</f>
        <v>183424.213904702</v>
      </c>
    </row>
    <row r="33" customFormat="false" ht="15" hidden="false" customHeight="false" outlineLevel="0" collapsed="false">
      <c r="A33" s="0" t="s">
        <v>273</v>
      </c>
      <c r="B33" s="0" t="s">
        <v>274</v>
      </c>
      <c r="C33" s="10" t="n">
        <f aca="false">IF(C26&gt;=10000,C26*Допущения!$D$11*Допущения!$D$10/1000*Допущения!$D$12*(1-Допущения!$D$14),0)</f>
        <v>0</v>
      </c>
      <c r="D33" s="10" t="n">
        <f aca="false">IF(D26&gt;=10000,D26*Допущения!$D$11*Допущения!$D$10/1000*Допущения!$D$12*(1-Допущения!$D$14),0)</f>
        <v>0</v>
      </c>
      <c r="E33" s="10" t="n">
        <f aca="false">IF(E26&gt;=10000,E26*Допущения!$D$11*Допущения!$D$10/1000*Допущения!$D$12*(1-Допущения!$D$14),0)</f>
        <v>0</v>
      </c>
      <c r="F33" s="10" t="n">
        <f aca="false">IF(F26&gt;=10000,F26*Допущения!$D$11*Допущения!$D$10/1000*Допущения!$D$12*(1-Допущения!$D$14),0)</f>
        <v>0</v>
      </c>
      <c r="G33" s="10" t="n">
        <f aca="false">IF(G26&gt;=10000,G26*Допущения!$D$11*Допущения!$D$10/1000*Допущения!$D$12*(1-Допущения!$D$14),0)</f>
        <v>0</v>
      </c>
      <c r="H33" s="10" t="n">
        <f aca="false">IF(H26&gt;=10000,H26*Допущения!$D$11*Допущения!$D$10/1000*Допущения!$D$12*(1-Допущения!$D$14),0)</f>
        <v>0</v>
      </c>
      <c r="I33" s="10" t="n">
        <f aca="false">IF(I26&gt;=10000,I26*Допущения!$D$11*Допущения!$D$10/1000*Допущения!$D$12*(1-Допущения!$D$14),0)</f>
        <v>0</v>
      </c>
      <c r="J33" s="10" t="n">
        <f aca="false">IF(J26&gt;=10000,J26*Допущения!$D$11*Допущения!$D$10/1000*Допущения!$D$12*(1-Допущения!$D$14),0)</f>
        <v>0</v>
      </c>
      <c r="K33" s="10" t="n">
        <f aca="false">IF(K26&gt;=10000,K26*Допущения!$D$11*Допущения!$D$10/1000*Допущения!$D$12*(1-Допущения!$D$14),0)</f>
        <v>0</v>
      </c>
      <c r="L33" s="10" t="n">
        <f aca="false">IF(L26&gt;=10000,L26*Допущения!$D$11*Допущения!$D$10/1000*Допущения!$D$12*(1-Допущения!$D$14),0)</f>
        <v>0</v>
      </c>
      <c r="M33" s="10" t="n">
        <f aca="false">IF(M26&gt;=10000,M26*Допущения!$D$11*Допущения!$D$10/1000*Допущения!$D$12*(1-Допущения!$D$14),0)</f>
        <v>0</v>
      </c>
      <c r="N33" s="10" t="n">
        <f aca="false">IF(N26&gt;=10000,N26*Допущения!$D$11*Допущения!$D$10/1000*Допущения!$D$12*(1-Допущения!$D$14),0)</f>
        <v>0</v>
      </c>
      <c r="O33" s="10" t="n">
        <f aca="false">IF(O26&gt;=10000,O26*Допущения!$D$11*Допущения!$D$10/1000*Допущения!$D$12*(1-Допущения!$D$14),0)</f>
        <v>0</v>
      </c>
      <c r="P33" s="10" t="n">
        <f aca="false">IF(P26&gt;=10000,P26*Допущения!$D$11*Допущения!$D$10/1000*Допущения!$D$12*(1-Допущения!$D$14),0)</f>
        <v>0</v>
      </c>
      <c r="Q33" s="10" t="n">
        <f aca="false">IF(Q26&gt;=10000,Q26*Допущения!$D$11*Допущения!$D$10/1000*Допущения!$D$12*(1-Допущения!$D$14),0)</f>
        <v>0</v>
      </c>
      <c r="R33" s="10" t="n">
        <f aca="false">IF(R26&gt;=10000,R26*Допущения!$D$11*Допущения!$D$10/1000*Допущения!$D$12*(1-Допущения!$D$14),0)</f>
        <v>0</v>
      </c>
      <c r="S33" s="10" t="n">
        <f aca="false">IF(S26&gt;=10000,S26*Допущения!$D$11*Допущения!$D$10/1000*Допущения!$D$12*(1-Допущения!$D$14),0)</f>
        <v>0</v>
      </c>
      <c r="T33" s="10" t="n">
        <f aca="false">IF(T26&gt;=10000,T26*Допущения!$D$11*Допущения!$D$10/1000*Допущения!$D$12*(1-Допущения!$D$14),0)</f>
        <v>0</v>
      </c>
      <c r="U33" s="10" t="n">
        <f aca="false">IF(U26&gt;=10000,U26*Допущения!$D$11*Допущения!$D$10/1000*Допущения!$D$12*(1-Допущения!$D$14),0)</f>
        <v>10689.2415360481</v>
      </c>
      <c r="V33" s="10" t="n">
        <f aca="false">IF(V26&gt;=10000,V26*Допущения!$D$11*Допущения!$D$10/1000*Допущения!$D$12*(1-Допущения!$D$14),0)</f>
        <v>11513.7699925022</v>
      </c>
      <c r="W33" s="10" t="n">
        <f aca="false">IF(W26&gt;=10000,W26*Допущения!$D$11*Допущения!$D$10/1000*Допущения!$D$12*(1-Допущения!$D$14),0)</f>
        <v>12352.1618627809</v>
      </c>
      <c r="X33" s="10" t="n">
        <f aca="false">IF(X26&gt;=10000,X26*Допущения!$D$11*Допущения!$D$10/1000*Допущения!$D$12*(1-Допущения!$D$14),0)</f>
        <v>13203.9018429558</v>
      </c>
      <c r="Y33" s="10" t="n">
        <f aca="false">IF(Y26&gt;=10000,Y26*Допущения!$D$11*Допущения!$D$10/1000*Допущения!$D$12*(1-Допущения!$D$14),0)</f>
        <v>14068.5188217184</v>
      </c>
      <c r="Z33" s="10" t="n">
        <f aca="false">IF(Z26&gt;=10000,Z26*Допущения!$D$11*Допущения!$D$10/1000*Допущения!$D$12*(1-Допущения!$D$14),0)</f>
        <v>14945.5801475555</v>
      </c>
      <c r="AA33" s="10" t="n">
        <f aca="false">IF(AA26&gt;=10000,AA26*Допущения!$D$11*Допущения!$D$10/1000*Допущения!$D$12*(1-Допущения!$D$14),0)</f>
        <v>15834.6868687168</v>
      </c>
      <c r="AB33" s="10" t="n">
        <f aca="false">IF(AB26&gt;=10000,AB26*Допущения!$D$11*Допущения!$D$10/1000*Допущения!$D$12*(1-Допущения!$D$14),0)</f>
        <v>16735.4697454102</v>
      </c>
      <c r="AC33" s="10" t="n">
        <f aca="false">IF(AC26&gt;=10000,AC26*Допущения!$D$11*Допущения!$D$10/1000*Допущения!$D$12*(1-Допущения!$D$14),0)</f>
        <v>17647.5858817197</v>
      </c>
      <c r="AD33" s="10" t="n">
        <f aca="false">IF(AD26&gt;=10000,AD26*Допущения!$D$11*Допущения!$D$10/1000*Допущения!$D$12*(1-Допущения!$D$14),0)</f>
        <v>18570.7158598032</v>
      </c>
      <c r="AE33" s="10" t="n">
        <f aca="false">IF(AE26&gt;=10000,AE26*Допущения!$D$11*Допущения!$D$10/1000*Допущения!$D$12*(1-Допущения!$D$14),0)</f>
        <v>19504.5612848812</v>
      </c>
      <c r="AF33" s="10" t="n">
        <f aca="false">IF(AF26&gt;=10000,AF26*Допущения!$D$11*Допущения!$D$10/1000*Допущения!$D$12*(1-Допущения!$D$14),0)</f>
        <v>20448.8426689888</v>
      </c>
      <c r="AG33" s="10" t="n">
        <f aca="false">IF(AG26&gt;=10000,AG26*Допущения!$D$11*Допущения!$D$10/1000*Допущения!$D$12*(1-Допущения!$D$14),0)</f>
        <v>21403.297596232</v>
      </c>
      <c r="AH33" s="10" t="n">
        <f aca="false">IF(AH26&gt;=10000,AH26*Допущения!$D$11*Допущения!$D$10/1000*Допущения!$D$12*(1-Допущения!$D$14),0)</f>
        <v>22367.6791236229</v>
      </c>
      <c r="AI33" s="10" t="n">
        <f aca="false">IF(AI26&gt;=10000,AI26*Допущения!$D$11*Допущения!$D$10/1000*Допущения!$D$12*(1-Допущения!$D$14),0)</f>
        <v>23341.7543803503</v>
      </c>
      <c r="AJ33" s="10" t="n">
        <f aca="false">IF(AJ26&gt;=10000,AJ26*Допущения!$D$11*Допущения!$D$10/1000*Допущения!$D$12*(1-Допущения!$D$14),0)</f>
        <v>24325.3033352174</v>
      </c>
      <c r="AK33" s="10" t="n">
        <f aca="false">IF(AK26&gt;=10000,AK26*Допущения!$D$11*Допущения!$D$10/1000*Допущения!$D$12*(1-Допущения!$D$14),0)</f>
        <v>25318.1177074</v>
      </c>
      <c r="AL33" s="10" t="n">
        <f aca="false">IF(AL26&gt;=10000,AL26*Допущения!$D$11*Допущения!$D$10/1000*Допущения!$D$12*(1-Допущения!$D$14),0)</f>
        <v>26320</v>
      </c>
      <c r="AM33" s="10" t="n">
        <f aca="false">SUM(C33:N33)</f>
        <v>0</v>
      </c>
      <c r="AN33" s="10" t="n">
        <f aca="false">SUM(O33:Z33)</f>
        <v>76773.1742035609</v>
      </c>
      <c r="AO33" s="10" t="n">
        <f aca="false">SUM(AA33:AL33)</f>
        <v>251818.014452342</v>
      </c>
      <c r="AP33" s="10" t="n">
        <f aca="false">SUM(C33:AL33)</f>
        <v>328591.188655903</v>
      </c>
    </row>
    <row r="34" customFormat="false" ht="15" hidden="false" customHeight="false" outlineLevel="0" collapsed="false">
      <c r="A34" s="0" t="s">
        <v>275</v>
      </c>
      <c r="B34" s="0" t="s">
        <v>276</v>
      </c>
      <c r="C34" s="10" t="n">
        <f aca="false">C31+C32+C33</f>
        <v>0</v>
      </c>
      <c r="D34" s="10" t="n">
        <f aca="false">D31+D32+D33</f>
        <v>0</v>
      </c>
      <c r="E34" s="10" t="n">
        <f aca="false">E31+E32+E33</f>
        <v>998.46074262196</v>
      </c>
      <c r="F34" s="10" t="n">
        <f aca="false">F31+F32+F33</f>
        <v>2458.49873044648</v>
      </c>
      <c r="G34" s="10" t="n">
        <f aca="false">G31+G32+G33</f>
        <v>4164.74701058146</v>
      </c>
      <c r="H34" s="10" t="n">
        <f aca="false">H31+H32+H33</f>
        <v>6053.53395440952</v>
      </c>
      <c r="I34" s="10" t="n">
        <f aca="false">I31+I32+I33</f>
        <v>8090.80994534517</v>
      </c>
      <c r="J34" s="10" t="n">
        <f aca="false">J31+J32+J33</f>
        <v>10254.8100301446</v>
      </c>
      <c r="K34" s="10" t="n">
        <f aca="false">K31+K32+K33</f>
        <v>12530.2127814074</v>
      </c>
      <c r="L34" s="10" t="n">
        <f aca="false">L31+L32+L33</f>
        <v>14905.5490179301</v>
      </c>
      <c r="M34" s="10" t="n">
        <f aca="false">M31+M32+M33</f>
        <v>17371.8574218541</v>
      </c>
      <c r="N34" s="10" t="n">
        <f aca="false">N31+N32+N33</f>
        <v>19921.9109272944</v>
      </c>
      <c r="O34" s="10" t="n">
        <f aca="false">O31+O32+O33</f>
        <v>22549.737191146</v>
      </c>
      <c r="P34" s="10" t="n">
        <f aca="false">P31+P32+P33</f>
        <v>25250.3041570519</v>
      </c>
      <c r="Q34" s="10" t="n">
        <f aca="false">Q31+Q32+Q33</f>
        <v>28019.3045673439</v>
      </c>
      <c r="R34" s="10" t="n">
        <f aca="false">R31+R32+R33</f>
        <v>30853.0029277055</v>
      </c>
      <c r="S34" s="10" t="n">
        <f aca="false">S31+S32+S33</f>
        <v>33748.1235812765</v>
      </c>
      <c r="T34" s="10" t="n">
        <f aca="false">T31+T32+T33</f>
        <v>36701.7668025268</v>
      </c>
      <c r="U34" s="10" t="n">
        <f aca="false">U31+U32+U33</f>
        <v>50400.586094863</v>
      </c>
      <c r="V34" s="10" t="n">
        <f aca="false">V31+V32+V33</f>
        <v>54288.3004211823</v>
      </c>
      <c r="W34" s="10" t="n">
        <f aca="false">W31+W32+W33</f>
        <v>58241.3817971354</v>
      </c>
      <c r="X34" s="10" t="n">
        <f aca="false">X31+X32+X33</f>
        <v>62257.4005255428</v>
      </c>
      <c r="Y34" s="10" t="n">
        <f aca="false">Y31+Y32+Y33</f>
        <v>66334.1352807868</v>
      </c>
      <c r="Z34" s="10" t="n">
        <f aca="false">Z31+Z32+Z33</f>
        <v>70469.5460781065</v>
      </c>
      <c r="AA34" s="10" t="n">
        <f aca="false">AA31+AA32+AA33</f>
        <v>74661.7518296829</v>
      </c>
      <c r="AB34" s="10" t="n">
        <f aca="false">AB31+AB32+AB33</f>
        <v>78909.0115418389</v>
      </c>
      <c r="AC34" s="10" t="n">
        <f aca="false">AC31+AC32+AC33</f>
        <v>83209.7084342749</v>
      </c>
      <c r="AD34" s="10" t="n">
        <f aca="false">AD31+AD32+AD33</f>
        <v>87562.3364275936</v>
      </c>
      <c r="AE34" s="10" t="n">
        <f aca="false">AE31+AE32+AE33</f>
        <v>91965.4885677351</v>
      </c>
      <c r="AF34" s="10" t="n">
        <f aca="false">AF31+AF32+AF33</f>
        <v>96417.8470477067</v>
      </c>
      <c r="AG34" s="10" t="n">
        <f aca="false">AG31+AG32+AG33</f>
        <v>100918.174556629</v>
      </c>
      <c r="AH34" s="10" t="n">
        <f aca="false">AH31+AH32+AH33</f>
        <v>105465.306739548</v>
      </c>
      <c r="AI34" s="10" t="n">
        <f aca="false">AI31+AI32+AI33</f>
        <v>110058.145592894</v>
      </c>
      <c r="AJ34" s="10" t="n">
        <f aca="false">AJ31+AJ32+AJ33</f>
        <v>114695.653652855</v>
      </c>
      <c r="AK34" s="10" t="n">
        <f aca="false">AK31+AK32+AK33</f>
        <v>119376.848859518</v>
      </c>
      <c r="AL34" s="10" t="n">
        <f aca="false">AL31+AL32+AL33</f>
        <v>124100.8</v>
      </c>
      <c r="AM34" s="10" t="n">
        <f aca="false">SUM(C34:N34)</f>
        <v>96750.3905620351</v>
      </c>
      <c r="AN34" s="10" t="n">
        <f aca="false">SUM(O34:Z34)</f>
        <v>539113.589424667</v>
      </c>
      <c r="AO34" s="10" t="n">
        <f aca="false">SUM(AA34:AL34)</f>
        <v>1187341.07325028</v>
      </c>
      <c r="AP34" s="10" t="n">
        <f aca="false">SUM(C34:AL34)</f>
        <v>1823205.05323698</v>
      </c>
    </row>
    <row r="35" customFormat="false" ht="15" hidden="false" customHeight="false" outlineLevel="0" collapsed="false">
      <c r="A35" s="0" t="s">
        <v>277</v>
      </c>
      <c r="B35" s="0" t="s">
        <v>278</v>
      </c>
      <c r="C35" s="10" t="n">
        <f aca="false">MAX(0,C26-0)*(1-Допущения!$D$13)*Допущения!$D$9</f>
        <v>0</v>
      </c>
      <c r="D35" s="10" t="n">
        <f aca="false">MAX(0,D26-C26)*(1-Допущения!$D$13)*Допущения!$D$9</f>
        <v>0</v>
      </c>
      <c r="E35" s="10" t="n">
        <f aca="false">MAX(0,E26-D26)*(1-Допущения!$D$13)*Допущения!$D$9</f>
        <v>27570.2796978476</v>
      </c>
      <c r="F35" s="10" t="n">
        <f aca="false">MAX(0,F26-E26)*(1-Допущения!$D$13)*Допущения!$D$9</f>
        <v>40315.711950876</v>
      </c>
      <c r="G35" s="10" t="n">
        <f aca="false">MAX(0,G26-F26)*(1-Допущения!$D$13)*Допущения!$D$9</f>
        <v>47114.2632946799</v>
      </c>
      <c r="H35" s="10" t="n">
        <f aca="false">MAX(0,H26-G26)*(1-Допущения!$D$13)*Допущения!$D$9</f>
        <v>52154.6637820079</v>
      </c>
      <c r="I35" s="10" t="n">
        <f aca="false">MAX(0,I26-H26)*(1-Допущения!$D$13)*Допущения!$D$9</f>
        <v>56254.8595994946</v>
      </c>
      <c r="J35" s="10" t="n">
        <f aca="false">MAX(0,J26-I26)*(1-Допущения!$D$13)*Допущения!$D$9</f>
        <v>59754.0644887186</v>
      </c>
      <c r="K35" s="10" t="n">
        <f aca="false">MAX(0,K26-J26)*(1-Допущения!$D$13)*Допущения!$D$9</f>
        <v>62830.2021297581</v>
      </c>
      <c r="L35" s="10" t="n">
        <f aca="false">MAX(0,L26-K26)*(1-Допущения!$D$13)*Допущения!$D$9</f>
        <v>65589.6437604447</v>
      </c>
      <c r="M35" s="10" t="n">
        <f aca="false">MAX(0,M26-L26)*(1-Допущения!$D$13)*Допущения!$D$9</f>
        <v>68101.638466803</v>
      </c>
      <c r="N35" s="10" t="n">
        <f aca="false">MAX(0,N26-M26)*(1-Допущения!$D$13)*Допущения!$D$9</f>
        <v>70414.0737720378</v>
      </c>
      <c r="O35" s="10" t="n">
        <f aca="false">MAX(0,O26-N26)*(1-Допущения!$D$13)*Допущения!$D$9</f>
        <v>72561.5960638415</v>
      </c>
      <c r="P35" s="10" t="n">
        <f aca="false">MAX(0,P26-O26)*(1-Допущения!$D$13)*Допущения!$D$9</f>
        <v>74570.169276034</v>
      </c>
      <c r="Q35" s="10" t="n">
        <f aca="false">MAX(0,Q26-P26)*(1-Допущения!$D$13)*Допущения!$D$9</f>
        <v>76459.8071174354</v>
      </c>
      <c r="R35" s="10" t="n">
        <f aca="false">MAX(0,R26-Q26)*(1-Допущения!$D$13)*Допущения!$D$9</f>
        <v>78246.2975653317</v>
      </c>
      <c r="S35" s="10" t="n">
        <f aca="false">MAX(0,S26-R26)*(1-Допущения!$D$13)*Допущения!$D$9</f>
        <v>79942.3380115706</v>
      </c>
      <c r="T35" s="10" t="n">
        <f aca="false">MAX(0,T26-S26)*(1-Допущения!$D$13)*Допущения!$D$9</f>
        <v>81558.308966339</v>
      </c>
      <c r="U35" s="10" t="n">
        <f aca="false">MAX(0,U26-T26)*(1-Допущения!$D$13)*Допущения!$D$9</f>
        <v>83102.8171376975</v>
      </c>
      <c r="V35" s="10" t="n">
        <f aca="false">MAX(0,V26-U26)*(1-Допущения!$D$13)*Допущения!$D$9</f>
        <v>84583.0863383821</v>
      </c>
      <c r="W35" s="10" t="n">
        <f aca="false">MAX(0,W26-V26)*(1-Допущения!$D$13)*Допущения!$D$9</f>
        <v>86005.245051389</v>
      </c>
      <c r="X35" s="10" t="n">
        <f aca="false">MAX(0,X26-W26)*(1-Допущения!$D$13)*Допущения!$D$9</f>
        <v>87374.5420392132</v>
      </c>
      <c r="Y35" s="10" t="n">
        <f aca="false">MAX(0,Y26-X26)*(1-Допущения!$D$13)*Допущения!$D$9</f>
        <v>88695.5107393239</v>
      </c>
      <c r="Z35" s="10" t="n">
        <f aca="false">MAX(0,Z26-Y26)*(1-Допущения!$D$13)*Допущения!$D$9</f>
        <v>89972.0964954541</v>
      </c>
      <c r="AA35" s="10" t="n">
        <f aca="false">MAX(0,AA26-Z26)*(1-Допущения!$D$13)*Допущения!$D$9</f>
        <v>91207.7563501314</v>
      </c>
      <c r="AB35" s="10" t="n">
        <f aca="false">MAX(0,AB26-AA26)*(1-Допущения!$D$13)*Допущения!$D$9</f>
        <v>92405.5382626165</v>
      </c>
      <c r="AC35" s="10" t="n">
        <f aca="false">MAX(0,AC26-AB26)*(1-Допущения!$D$13)*Допущения!$D$9</f>
        <v>93568.1446822043</v>
      </c>
      <c r="AD35" s="10" t="n">
        <f aca="false">MAX(0,AD26-AC26)*(1-Допущения!$D$13)*Допущения!$D$9</f>
        <v>94697.9840739164</v>
      </c>
      <c r="AE35" s="10" t="n">
        <f aca="false">MAX(0,AE26-AD26)*(1-Допущения!$D$13)*Допущения!$D$9</f>
        <v>95797.2130589162</v>
      </c>
      <c r="AF35" s="10" t="n">
        <f aca="false">MAX(0,AF26-AE26)*(1-Допущения!$D$13)*Допущения!$D$9</f>
        <v>96867.7711660484</v>
      </c>
      <c r="AG35" s="10" t="n">
        <f aca="false">MAX(0,AG26-AF26)*(1-Допущения!$D$13)*Допущения!$D$9</f>
        <v>97911.4097095979</v>
      </c>
      <c r="AH35" s="10" t="n">
        <f aca="false">MAX(0,AH26-AG26)*(1-Допущения!$D$13)*Допущения!$D$9</f>
        <v>98929.715955754</v>
      </c>
      <c r="AI35" s="10" t="n">
        <f aca="false">MAX(0,AI26-AH26)*(1-Допущения!$D$13)*Допущения!$D$9</f>
        <v>99924.1334788828</v>
      </c>
      <c r="AJ35" s="10" t="n">
        <f aca="false">MAX(0,AJ26-AI26)*(1-Допущения!$D$13)*Допущения!$D$9</f>
        <v>100895.979412651</v>
      </c>
      <c r="AK35" s="10" t="n">
        <f aca="false">MAX(0,AK26-AJ26)*(1-Допущения!$D$13)*Допущения!$D$9</f>
        <v>101846.459152475</v>
      </c>
      <c r="AL35" s="10" t="n">
        <f aca="false">MAX(0,AL26-AK26)*(1-Допущения!$D$13)*Допущения!$D$9</f>
        <v>102776.678952127</v>
      </c>
      <c r="AM35" s="10" t="n">
        <f aca="false">SUM(C35:N35)</f>
        <v>550099.400942668</v>
      </c>
      <c r="AN35" s="10" t="n">
        <f aca="false">SUM(O35:Z35)</f>
        <v>983071.814802012</v>
      </c>
      <c r="AO35" s="10" t="n">
        <f aca="false">SUM(AA35:AL35)</f>
        <v>1166828.78425532</v>
      </c>
      <c r="AP35" s="10" t="n">
        <f aca="false">SUM(C35:AL35)</f>
        <v>2700000</v>
      </c>
    </row>
    <row r="36" customFormat="false" ht="15" hidden="false" customHeight="false" outlineLevel="0" collapsed="false">
      <c r="A36" s="0" t="s">
        <v>279</v>
      </c>
      <c r="B36" s="0" t="s">
        <v>280</v>
      </c>
      <c r="C36" s="10" t="n">
        <f aca="false">Допущения!$D$16</f>
        <v>420000</v>
      </c>
      <c r="D36" s="10" t="n">
        <f aca="false">Допущения!$D$16</f>
        <v>420000</v>
      </c>
      <c r="E36" s="10" t="n">
        <f aca="false">Допущения!$D$16</f>
        <v>420000</v>
      </c>
      <c r="F36" s="10" t="n">
        <f aca="false">Допущения!$D$16</f>
        <v>420000</v>
      </c>
      <c r="G36" s="10" t="n">
        <f aca="false">Допущения!$D$16</f>
        <v>420000</v>
      </c>
      <c r="H36" s="10" t="n">
        <f aca="false">Допущения!$D$16</f>
        <v>420000</v>
      </c>
      <c r="I36" s="10" t="n">
        <f aca="false">Допущения!$D$16</f>
        <v>420000</v>
      </c>
      <c r="J36" s="10" t="n">
        <f aca="false">Допущения!$D$16</f>
        <v>420000</v>
      </c>
      <c r="K36" s="10" t="n">
        <f aca="false">Допущения!$D$16</f>
        <v>420000</v>
      </c>
      <c r="L36" s="10" t="n">
        <f aca="false">Допущения!$D$16</f>
        <v>420000</v>
      </c>
      <c r="M36" s="10" t="n">
        <f aca="false">Допущения!$D$16</f>
        <v>420000</v>
      </c>
      <c r="N36" s="10" t="n">
        <f aca="false">Допущения!$D$16</f>
        <v>420000</v>
      </c>
      <c r="O36" s="10" t="n">
        <f aca="false">Допущения!$D$16</f>
        <v>420000</v>
      </c>
      <c r="P36" s="10" t="n">
        <f aca="false">Допущения!$D$16</f>
        <v>420000</v>
      </c>
      <c r="Q36" s="10" t="n">
        <f aca="false">Допущения!$D$16</f>
        <v>420000</v>
      </c>
      <c r="R36" s="10" t="n">
        <f aca="false">Допущения!$D$16</f>
        <v>420000</v>
      </c>
      <c r="S36" s="10" t="n">
        <f aca="false">Допущения!$D$16</f>
        <v>420000</v>
      </c>
      <c r="T36" s="10" t="n">
        <f aca="false">Допущения!$D$16</f>
        <v>420000</v>
      </c>
      <c r="U36" s="10" t="n">
        <f aca="false">Допущения!$D$16</f>
        <v>420000</v>
      </c>
      <c r="V36" s="10" t="n">
        <f aca="false">Допущения!$D$16</f>
        <v>420000</v>
      </c>
      <c r="W36" s="10" t="n">
        <f aca="false">Допущения!$D$16</f>
        <v>420000</v>
      </c>
      <c r="X36" s="10" t="n">
        <f aca="false">Допущения!$D$16</f>
        <v>420000</v>
      </c>
      <c r="Y36" s="10" t="n">
        <f aca="false">Допущения!$D$16</f>
        <v>420000</v>
      </c>
      <c r="Z36" s="10" t="n">
        <f aca="false">Допущения!$D$16</f>
        <v>420000</v>
      </c>
      <c r="AA36" s="10" t="n">
        <f aca="false">Допущения!$D$16</f>
        <v>420000</v>
      </c>
      <c r="AB36" s="10" t="n">
        <f aca="false">Допущения!$D$16</f>
        <v>420000</v>
      </c>
      <c r="AC36" s="10" t="n">
        <f aca="false">Допущения!$D$16</f>
        <v>420000</v>
      </c>
      <c r="AD36" s="10" t="n">
        <f aca="false">Допущения!$D$16</f>
        <v>420000</v>
      </c>
      <c r="AE36" s="10" t="n">
        <f aca="false">Допущения!$D$16</f>
        <v>420000</v>
      </c>
      <c r="AF36" s="10" t="n">
        <f aca="false">Допущения!$D$16</f>
        <v>420000</v>
      </c>
      <c r="AG36" s="10" t="n">
        <f aca="false">Допущения!$D$16</f>
        <v>420000</v>
      </c>
      <c r="AH36" s="10" t="n">
        <f aca="false">Допущения!$D$16</f>
        <v>420000</v>
      </c>
      <c r="AI36" s="10" t="n">
        <f aca="false">Допущения!$D$16</f>
        <v>420000</v>
      </c>
      <c r="AJ36" s="10" t="n">
        <f aca="false">Допущения!$D$16</f>
        <v>420000</v>
      </c>
      <c r="AK36" s="10" t="n">
        <f aca="false">Допущения!$D$16</f>
        <v>420000</v>
      </c>
      <c r="AL36" s="10" t="n">
        <f aca="false">Допущения!$D$16</f>
        <v>420000</v>
      </c>
      <c r="AM36" s="10" t="n">
        <f aca="false">SUM(C36:N36)</f>
        <v>5040000</v>
      </c>
      <c r="AN36" s="10" t="n">
        <f aca="false">SUM(O36:Z36)</f>
        <v>5040000</v>
      </c>
      <c r="AO36" s="10" t="n">
        <f aca="false">SUM(AA36:AL36)</f>
        <v>5040000</v>
      </c>
      <c r="AP36" s="10" t="n">
        <f aca="false">SUM(C36:AL36)</f>
        <v>15120000</v>
      </c>
    </row>
    <row r="37" customFormat="false" ht="15" hidden="false" customHeight="false" outlineLevel="0" collapsed="false">
      <c r="A37" s="1" t="s">
        <v>281</v>
      </c>
      <c r="B37" s="1" t="s">
        <v>282</v>
      </c>
      <c r="C37" s="11" t="n">
        <f aca="false">C34-C36-C35</f>
        <v>-420000</v>
      </c>
      <c r="D37" s="11" t="n">
        <f aca="false">D34-D36-D35</f>
        <v>-420000</v>
      </c>
      <c r="E37" s="11" t="n">
        <f aca="false">E34-E36-E35</f>
        <v>-446571.818955226</v>
      </c>
      <c r="F37" s="11" t="n">
        <f aca="false">F34-F36-F35</f>
        <v>-457857.21322043</v>
      </c>
      <c r="G37" s="11" t="n">
        <f aca="false">G34-G36-G35</f>
        <v>-462949.516284098</v>
      </c>
      <c r="H37" s="11" t="n">
        <f aca="false">H34-H36-H35</f>
        <v>-466101.129827598</v>
      </c>
      <c r="I37" s="11" t="n">
        <f aca="false">I34-I36-I35</f>
        <v>-468164.049654149</v>
      </c>
      <c r="J37" s="11" t="n">
        <f aca="false">J34-J36-J35</f>
        <v>-469499.254458574</v>
      </c>
      <c r="K37" s="11" t="n">
        <f aca="false">K34-K36-K35</f>
        <v>-470299.989348351</v>
      </c>
      <c r="L37" s="11" t="n">
        <f aca="false">L34-L36-L35</f>
        <v>-470684.094742515</v>
      </c>
      <c r="M37" s="11" t="n">
        <f aca="false">M34-M36-M35</f>
        <v>-470729.781044949</v>
      </c>
      <c r="N37" s="11" t="n">
        <f aca="false">N34-N36-N35</f>
        <v>-470492.162844743</v>
      </c>
      <c r="O37" s="11" t="n">
        <f aca="false">O34-O36-O35</f>
        <v>-470011.858872696</v>
      </c>
      <c r="P37" s="11" t="n">
        <f aca="false">P34-P36-P35</f>
        <v>-469319.865118982</v>
      </c>
      <c r="Q37" s="11" t="n">
        <f aca="false">Q34-Q36-Q35</f>
        <v>-468440.502550091</v>
      </c>
      <c r="R37" s="11" t="n">
        <f aca="false">R34-R36-R35</f>
        <v>-467393.294637626</v>
      </c>
      <c r="S37" s="11" t="n">
        <f aca="false">S34-S36-S35</f>
        <v>-466194.214430294</v>
      </c>
      <c r="T37" s="11" t="n">
        <f aca="false">T34-T36-T35</f>
        <v>-464856.542163812</v>
      </c>
      <c r="U37" s="11" t="n">
        <f aca="false">U34-U36-U35</f>
        <v>-452702.231042835</v>
      </c>
      <c r="V37" s="11" t="n">
        <f aca="false">V34-V36-V35</f>
        <v>-450294.7859172</v>
      </c>
      <c r="W37" s="11" t="n">
        <f aca="false">W34-W36-W35</f>
        <v>-447763.863254254</v>
      </c>
      <c r="X37" s="11" t="n">
        <f aca="false">X34-X36-X35</f>
        <v>-445117.14151367</v>
      </c>
      <c r="Y37" s="11" t="n">
        <f aca="false">Y34-Y36-Y35</f>
        <v>-442361.375458537</v>
      </c>
      <c r="Z37" s="11" t="n">
        <f aca="false">Z34-Z36-Z35</f>
        <v>-439502.550417348</v>
      </c>
      <c r="AA37" s="11" t="n">
        <f aca="false">AA34-AA36-AA35</f>
        <v>-436546.004520449</v>
      </c>
      <c r="AB37" s="11" t="n">
        <f aca="false">AB34-AB36-AB35</f>
        <v>-433496.526720778</v>
      </c>
      <c r="AC37" s="11" t="n">
        <f aca="false">AC34-AC36-AC35</f>
        <v>-430358.436247929</v>
      </c>
      <c r="AD37" s="11" t="n">
        <f aca="false">AD34-AD36-AD35</f>
        <v>-427135.647646323</v>
      </c>
      <c r="AE37" s="11" t="n">
        <f aca="false">AE34-AE36-AE35</f>
        <v>-423831.724491181</v>
      </c>
      <c r="AF37" s="11" t="n">
        <f aca="false">AF34-AF36-AF35</f>
        <v>-420449.924118342</v>
      </c>
      <c r="AG37" s="11" t="n">
        <f aca="false">AG34-AG36-AG35</f>
        <v>-416993.235152969</v>
      </c>
      <c r="AH37" s="11" t="n">
        <f aca="false">AH34-AH36-AH35</f>
        <v>-413464.409216206</v>
      </c>
      <c r="AI37" s="11" t="n">
        <f aca="false">AI34-AI36-AI35</f>
        <v>-409865.987885988</v>
      </c>
      <c r="AJ37" s="11" t="n">
        <f aca="false">AJ34-AJ36-AJ35</f>
        <v>-406200.325759796</v>
      </c>
      <c r="AK37" s="11" t="n">
        <f aca="false">AK34-AK36-AK35</f>
        <v>-402469.610292957</v>
      </c>
      <c r="AL37" s="11" t="n">
        <f aca="false">AL34-AL36-AL35</f>
        <v>-398675.878952127</v>
      </c>
      <c r="AM37" s="11" t="n">
        <f aca="false">SUM(C37:N37)</f>
        <v>-5493349.01038063</v>
      </c>
      <c r="AN37" s="11" t="n">
        <f aca="false">SUM(O37:Z37)</f>
        <v>-5483958.22537734</v>
      </c>
      <c r="AO37" s="11" t="n">
        <f aca="false">SUM(AA37:AL37)</f>
        <v>-5019487.71100504</v>
      </c>
      <c r="AP37" s="11" t="n">
        <f aca="false">SUM(C37:AL37)</f>
        <v>-15996794.946763</v>
      </c>
    </row>
    <row r="38" customFormat="false" ht="15" hidden="false" customHeight="false" outlineLevel="0" collapsed="false">
      <c r="A38" s="0" t="s">
        <v>283</v>
      </c>
      <c r="B38" s="0" t="s">
        <v>284</v>
      </c>
      <c r="C38" s="10" t="n">
        <f aca="false">IF(C$24=1,Допущения!$D$18,0)</f>
        <v>400000</v>
      </c>
      <c r="D38" s="10" t="n">
        <f aca="false">IF(D$24=1,Допущения!$D$18,0)</f>
        <v>0</v>
      </c>
      <c r="E38" s="10" t="n">
        <f aca="false">IF(E$24=1,Допущения!$D$18,0)</f>
        <v>0</v>
      </c>
      <c r="F38" s="10" t="n">
        <f aca="false">IF(F$24=1,Допущения!$D$18,0)</f>
        <v>0</v>
      </c>
      <c r="G38" s="10" t="n">
        <f aca="false">IF(G$24=1,Допущения!$D$18,0)</f>
        <v>0</v>
      </c>
      <c r="H38" s="10" t="n">
        <f aca="false">IF(H$24=1,Допущения!$D$18,0)</f>
        <v>0</v>
      </c>
      <c r="I38" s="10" t="n">
        <f aca="false">IF(I$24=1,Допущения!$D$18,0)</f>
        <v>0</v>
      </c>
      <c r="J38" s="10" t="n">
        <f aca="false">IF(J$24=1,Допущения!$D$18,0)</f>
        <v>0</v>
      </c>
      <c r="K38" s="10" t="n">
        <f aca="false">IF(K$24=1,Допущения!$D$18,0)</f>
        <v>0</v>
      </c>
      <c r="L38" s="10" t="n">
        <f aca="false">IF(L$24=1,Допущения!$D$18,0)</f>
        <v>0</v>
      </c>
      <c r="M38" s="10" t="n">
        <f aca="false">IF(M$24=1,Допущения!$D$18,0)</f>
        <v>0</v>
      </c>
      <c r="N38" s="10" t="n">
        <f aca="false">IF(N$24=1,Допущения!$D$18,0)</f>
        <v>0</v>
      </c>
      <c r="O38" s="10" t="n">
        <f aca="false">IF(O$24=1,Допущения!$D$18,0)</f>
        <v>0</v>
      </c>
      <c r="P38" s="10" t="n">
        <f aca="false">IF(P$24=1,Допущения!$D$18,0)</f>
        <v>0</v>
      </c>
      <c r="Q38" s="10" t="n">
        <f aca="false">IF(Q$24=1,Допущения!$D$18,0)</f>
        <v>0</v>
      </c>
      <c r="R38" s="10" t="n">
        <f aca="false">IF(R$24=1,Допущения!$D$18,0)</f>
        <v>0</v>
      </c>
      <c r="S38" s="10" t="n">
        <f aca="false">IF(S$24=1,Допущения!$D$18,0)</f>
        <v>0</v>
      </c>
      <c r="T38" s="10" t="n">
        <f aca="false">IF(T$24=1,Допущения!$D$18,0)</f>
        <v>0</v>
      </c>
      <c r="U38" s="10" t="n">
        <f aca="false">IF(U$24=1,Допущения!$D$18,0)</f>
        <v>0</v>
      </c>
      <c r="V38" s="10" t="n">
        <f aca="false">IF(V$24=1,Допущения!$D$18,0)</f>
        <v>0</v>
      </c>
      <c r="W38" s="10" t="n">
        <f aca="false">IF(W$24=1,Допущения!$D$18,0)</f>
        <v>0</v>
      </c>
      <c r="X38" s="10" t="n">
        <f aca="false">IF(X$24=1,Допущения!$D$18,0)</f>
        <v>0</v>
      </c>
      <c r="Y38" s="10" t="n">
        <f aca="false">IF(Y$24=1,Допущения!$D$18,0)</f>
        <v>0</v>
      </c>
      <c r="Z38" s="10" t="n">
        <f aca="false">IF(Z$24=1,Допущения!$D$18,0)</f>
        <v>0</v>
      </c>
      <c r="AA38" s="10" t="n">
        <f aca="false">IF(AA$24=1,Допущения!$D$18,0)</f>
        <v>0</v>
      </c>
      <c r="AB38" s="10" t="n">
        <f aca="false">IF(AB$24=1,Допущения!$D$18,0)</f>
        <v>0</v>
      </c>
      <c r="AC38" s="10" t="n">
        <f aca="false">IF(AC$24=1,Допущения!$D$18,0)</f>
        <v>0</v>
      </c>
      <c r="AD38" s="10" t="n">
        <f aca="false">IF(AD$24=1,Допущения!$D$18,0)</f>
        <v>0</v>
      </c>
      <c r="AE38" s="10" t="n">
        <f aca="false">IF(AE$24=1,Допущения!$D$18,0)</f>
        <v>0</v>
      </c>
      <c r="AF38" s="10" t="n">
        <f aca="false">IF(AF$24=1,Допущения!$D$18,0)</f>
        <v>0</v>
      </c>
      <c r="AG38" s="10" t="n">
        <f aca="false">IF(AG$24=1,Допущения!$D$18,0)</f>
        <v>0</v>
      </c>
      <c r="AH38" s="10" t="n">
        <f aca="false">IF(AH$24=1,Допущения!$D$18,0)</f>
        <v>0</v>
      </c>
      <c r="AI38" s="10" t="n">
        <f aca="false">IF(AI$24=1,Допущения!$D$18,0)</f>
        <v>0</v>
      </c>
      <c r="AJ38" s="10" t="n">
        <f aca="false">IF(AJ$24=1,Допущения!$D$18,0)</f>
        <v>0</v>
      </c>
      <c r="AK38" s="10" t="n">
        <f aca="false">IF(AK$24=1,Допущения!$D$18,0)</f>
        <v>0</v>
      </c>
      <c r="AL38" s="10" t="n">
        <f aca="false">IF(AL$24=1,Допущения!$D$18,0)</f>
        <v>0</v>
      </c>
      <c r="AM38" s="10" t="n">
        <f aca="false">SUM(C38:N38)</f>
        <v>400000</v>
      </c>
      <c r="AN38" s="10" t="n">
        <f aca="false">SUM(O38:Z38)</f>
        <v>0</v>
      </c>
      <c r="AO38" s="10" t="n">
        <f aca="false">SUM(AA38:AL38)</f>
        <v>0</v>
      </c>
      <c r="AP38" s="10" t="n">
        <f aca="false">SUM(C38:AL38)</f>
        <v>400000</v>
      </c>
    </row>
    <row r="39" customFormat="false" ht="15" hidden="false" customHeight="false" outlineLevel="0" collapsed="false">
      <c r="A39" s="1" t="s">
        <v>285</v>
      </c>
      <c r="B39" s="1" t="s">
        <v>286</v>
      </c>
      <c r="C39" s="11" t="n">
        <f aca="false">C37-C38</f>
        <v>-820000</v>
      </c>
      <c r="D39" s="11" t="n">
        <f aca="false">D37-D38</f>
        <v>-420000</v>
      </c>
      <c r="E39" s="11" t="n">
        <f aca="false">E37-E38</f>
        <v>-446571.818955226</v>
      </c>
      <c r="F39" s="11" t="n">
        <f aca="false">F37-F38</f>
        <v>-457857.21322043</v>
      </c>
      <c r="G39" s="11" t="n">
        <f aca="false">G37-G38</f>
        <v>-462949.516284098</v>
      </c>
      <c r="H39" s="11" t="n">
        <f aca="false">H37-H38</f>
        <v>-466101.129827598</v>
      </c>
      <c r="I39" s="11" t="n">
        <f aca="false">I37-I38</f>
        <v>-468164.049654149</v>
      </c>
      <c r="J39" s="11" t="n">
        <f aca="false">J37-J38</f>
        <v>-469499.254458574</v>
      </c>
      <c r="K39" s="11" t="n">
        <f aca="false">K37-K38</f>
        <v>-470299.989348351</v>
      </c>
      <c r="L39" s="11" t="n">
        <f aca="false">L37-L38</f>
        <v>-470684.094742515</v>
      </c>
      <c r="M39" s="11" t="n">
        <f aca="false">M37-M38</f>
        <v>-470729.781044949</v>
      </c>
      <c r="N39" s="11" t="n">
        <f aca="false">N37-N38</f>
        <v>-470492.162844743</v>
      </c>
      <c r="O39" s="11" t="n">
        <f aca="false">O37-O38</f>
        <v>-470011.858872696</v>
      </c>
      <c r="P39" s="11" t="n">
        <f aca="false">P37-P38</f>
        <v>-469319.865118982</v>
      </c>
      <c r="Q39" s="11" t="n">
        <f aca="false">Q37-Q38</f>
        <v>-468440.502550091</v>
      </c>
      <c r="R39" s="11" t="n">
        <f aca="false">R37-R38</f>
        <v>-467393.294637626</v>
      </c>
      <c r="S39" s="11" t="n">
        <f aca="false">S37-S38</f>
        <v>-466194.214430294</v>
      </c>
      <c r="T39" s="11" t="n">
        <f aca="false">T37-T38</f>
        <v>-464856.542163812</v>
      </c>
      <c r="U39" s="11" t="n">
        <f aca="false">U37-U38</f>
        <v>-452702.231042835</v>
      </c>
      <c r="V39" s="11" t="n">
        <f aca="false">V37-V38</f>
        <v>-450294.7859172</v>
      </c>
      <c r="W39" s="11" t="n">
        <f aca="false">W37-W38</f>
        <v>-447763.863254254</v>
      </c>
      <c r="X39" s="11" t="n">
        <f aca="false">X37-X38</f>
        <v>-445117.14151367</v>
      </c>
      <c r="Y39" s="11" t="n">
        <f aca="false">Y37-Y38</f>
        <v>-442361.375458537</v>
      </c>
      <c r="Z39" s="11" t="n">
        <f aca="false">Z37-Z38</f>
        <v>-439502.550417348</v>
      </c>
      <c r="AA39" s="11" t="n">
        <f aca="false">AA37-AA38</f>
        <v>-436546.004520449</v>
      </c>
      <c r="AB39" s="11" t="n">
        <f aca="false">AB37-AB38</f>
        <v>-433496.526720778</v>
      </c>
      <c r="AC39" s="11" t="n">
        <f aca="false">AC37-AC38</f>
        <v>-430358.436247929</v>
      </c>
      <c r="AD39" s="11" t="n">
        <f aca="false">AD37-AD38</f>
        <v>-427135.647646323</v>
      </c>
      <c r="AE39" s="11" t="n">
        <f aca="false">AE37-AE38</f>
        <v>-423831.724491181</v>
      </c>
      <c r="AF39" s="11" t="n">
        <f aca="false">AF37-AF38</f>
        <v>-420449.924118342</v>
      </c>
      <c r="AG39" s="11" t="n">
        <f aca="false">AG37-AG38</f>
        <v>-416993.235152969</v>
      </c>
      <c r="AH39" s="11" t="n">
        <f aca="false">AH37-AH38</f>
        <v>-413464.409216206</v>
      </c>
      <c r="AI39" s="11" t="n">
        <f aca="false">AI37-AI38</f>
        <v>-409865.987885988</v>
      </c>
      <c r="AJ39" s="11" t="n">
        <f aca="false">AJ37-AJ38</f>
        <v>-406200.325759796</v>
      </c>
      <c r="AK39" s="11" t="n">
        <f aca="false">AK37-AK38</f>
        <v>-402469.610292957</v>
      </c>
      <c r="AL39" s="11" t="n">
        <f aca="false">AL37-AL38</f>
        <v>-398675.878952127</v>
      </c>
      <c r="AM39" s="11" t="n">
        <f aca="false">SUM(C39:N39)</f>
        <v>-5893349.01038063</v>
      </c>
      <c r="AN39" s="11" t="n">
        <f aca="false">SUM(O39:Z39)</f>
        <v>-5483958.22537734</v>
      </c>
      <c r="AO39" s="11" t="n">
        <f aca="false">SUM(AA39:AL39)</f>
        <v>-5019487.71100504</v>
      </c>
      <c r="AP39" s="11" t="n">
        <f aca="false">SUM(C39:AL39)</f>
        <v>-16396794.946763</v>
      </c>
    </row>
    <row r="40" customFormat="false" ht="15" hidden="false" customHeight="false" outlineLevel="0" collapsed="false">
      <c r="A40" s="1" t="s">
        <v>287</v>
      </c>
      <c r="B40" s="1" t="s">
        <v>288</v>
      </c>
      <c r="C40" s="11" t="n">
        <f aca="false">0+C39</f>
        <v>-820000</v>
      </c>
      <c r="D40" s="11" t="n">
        <f aca="false">C40+D39</f>
        <v>-1240000</v>
      </c>
      <c r="E40" s="11" t="n">
        <f aca="false">D40+E39</f>
        <v>-1686571.81895523</v>
      </c>
      <c r="F40" s="11" t="n">
        <f aca="false">E40+F39</f>
        <v>-2144429.03217566</v>
      </c>
      <c r="G40" s="11" t="n">
        <f aca="false">F40+G39</f>
        <v>-2607378.54845975</v>
      </c>
      <c r="H40" s="11" t="n">
        <f aca="false">G40+H39</f>
        <v>-3073479.67828735</v>
      </c>
      <c r="I40" s="11" t="n">
        <f aca="false">H40+I39</f>
        <v>-3541643.7279415</v>
      </c>
      <c r="J40" s="11" t="n">
        <f aca="false">I40+J39</f>
        <v>-4011142.98240008</v>
      </c>
      <c r="K40" s="11" t="n">
        <f aca="false">J40+K39</f>
        <v>-4481442.97174843</v>
      </c>
      <c r="L40" s="11" t="n">
        <f aca="false">K40+L39</f>
        <v>-4952127.06649094</v>
      </c>
      <c r="M40" s="11" t="n">
        <f aca="false">L40+M39</f>
        <v>-5422856.84753589</v>
      </c>
      <c r="N40" s="11" t="n">
        <f aca="false">M40+N39</f>
        <v>-5893349.01038063</v>
      </c>
      <c r="O40" s="11" t="n">
        <f aca="false">N40+O39</f>
        <v>-6363360.86925333</v>
      </c>
      <c r="P40" s="11" t="n">
        <f aca="false">O40+P39</f>
        <v>-6832680.73437231</v>
      </c>
      <c r="Q40" s="11" t="n">
        <f aca="false">P40+Q39</f>
        <v>-7301121.2369224</v>
      </c>
      <c r="R40" s="11" t="n">
        <f aca="false">Q40+R39</f>
        <v>-7768514.53156003</v>
      </c>
      <c r="S40" s="11" t="n">
        <f aca="false">R40+S39</f>
        <v>-8234708.74599032</v>
      </c>
      <c r="T40" s="11" t="n">
        <f aca="false">S40+T39</f>
        <v>-8699565.28815414</v>
      </c>
      <c r="U40" s="11" t="n">
        <f aca="false">T40+U39</f>
        <v>-9152267.51919697</v>
      </c>
      <c r="V40" s="11" t="n">
        <f aca="false">U40+V39</f>
        <v>-9602562.30511417</v>
      </c>
      <c r="W40" s="11" t="n">
        <f aca="false">V40+W39</f>
        <v>-10050326.1683684</v>
      </c>
      <c r="X40" s="11" t="n">
        <f aca="false">W40+X39</f>
        <v>-10495443.3098821</v>
      </c>
      <c r="Y40" s="11" t="n">
        <f aca="false">X40+Y39</f>
        <v>-10937804.6853406</v>
      </c>
      <c r="Z40" s="11" t="n">
        <f aca="false">Y40+Z39</f>
        <v>-11377307.235758</v>
      </c>
      <c r="AA40" s="11" t="n">
        <f aca="false">Z40+AA39</f>
        <v>-11813853.2402784</v>
      </c>
      <c r="AB40" s="11" t="n">
        <f aca="false">AA40+AB39</f>
        <v>-12247349.7669992</v>
      </c>
      <c r="AC40" s="11" t="n">
        <f aca="false">AB40+AC39</f>
        <v>-12677708.2032471</v>
      </c>
      <c r="AD40" s="11" t="n">
        <f aca="false">AC40+AD39</f>
        <v>-13104843.8508935</v>
      </c>
      <c r="AE40" s="11" t="n">
        <f aca="false">AD40+AE39</f>
        <v>-13528675.5753846</v>
      </c>
      <c r="AF40" s="11" t="n">
        <f aca="false">AE40+AF39</f>
        <v>-13949125.499503</v>
      </c>
      <c r="AG40" s="11" t="n">
        <f aca="false">AF40+AG39</f>
        <v>-14366118.7346559</v>
      </c>
      <c r="AH40" s="11" t="n">
        <f aca="false">AG40+AH39</f>
        <v>-14779583.1438722</v>
      </c>
      <c r="AI40" s="11" t="n">
        <f aca="false">AH40+AI39</f>
        <v>-15189449.1317581</v>
      </c>
      <c r="AJ40" s="11" t="n">
        <f aca="false">AI40+AJ39</f>
        <v>-15595649.4575179</v>
      </c>
      <c r="AK40" s="11" t="n">
        <f aca="false">AJ40+AK39</f>
        <v>-15998119.0678109</v>
      </c>
      <c r="AL40" s="11" t="n">
        <f aca="false">AK40+AL39</f>
        <v>-16396794.946763</v>
      </c>
      <c r="AM40" s="11" t="n">
        <f aca="false">N40</f>
        <v>-5893349.01038063</v>
      </c>
      <c r="AN40" s="11" t="n">
        <f aca="false">Z40</f>
        <v>-11377307.235758</v>
      </c>
      <c r="AO40" s="11" t="n">
        <f aca="false">AL40</f>
        <v>-16396794.946763</v>
      </c>
      <c r="AP40" s="1"/>
    </row>
    <row r="41" customFormat="false" ht="15" hidden="false" customHeight="false" outlineLevel="0" collapsed="false">
      <c r="A41" s="0" t="s">
        <v>289</v>
      </c>
      <c r="B41" s="0" t="s">
        <v>290</v>
      </c>
      <c r="C41" s="0" t="n">
        <f aca="false">IF(AND(C37&gt;0,COUNTIF(C37:AL37,"&lt;=0")=0),C$24,99)</f>
        <v>99</v>
      </c>
      <c r="D41" s="0" t="n">
        <f aca="false">IF(AND(D37&gt;0,COUNTIF(D37:AL37,"&lt;=0")=0),D$24,99)</f>
        <v>99</v>
      </c>
      <c r="E41" s="0" t="n">
        <f aca="false">IF(AND(E37&gt;0,COUNTIF(E37:AL37,"&lt;=0")=0),E$24,99)</f>
        <v>99</v>
      </c>
      <c r="F41" s="0" t="n">
        <f aca="false">IF(AND(F37&gt;0,COUNTIF(F37:AL37,"&lt;=0")=0),F$24,99)</f>
        <v>99</v>
      </c>
      <c r="G41" s="0" t="n">
        <f aca="false">IF(AND(G37&gt;0,COUNTIF(G37:AL37,"&lt;=0")=0),G$24,99)</f>
        <v>99</v>
      </c>
      <c r="H41" s="0" t="n">
        <f aca="false">IF(AND(H37&gt;0,COUNTIF(H37:AL37,"&lt;=0")=0),H$24,99)</f>
        <v>99</v>
      </c>
      <c r="I41" s="0" t="n">
        <f aca="false">IF(AND(I37&gt;0,COUNTIF(I37:AL37,"&lt;=0")=0),I$24,99)</f>
        <v>99</v>
      </c>
      <c r="J41" s="0" t="n">
        <f aca="false">IF(AND(J37&gt;0,COUNTIF(J37:AL37,"&lt;=0")=0),J$24,99)</f>
        <v>99</v>
      </c>
      <c r="K41" s="0" t="n">
        <f aca="false">IF(AND(K37&gt;0,COUNTIF(K37:AL37,"&lt;=0")=0),K$24,99)</f>
        <v>99</v>
      </c>
      <c r="L41" s="0" t="n">
        <f aca="false">IF(AND(L37&gt;0,COUNTIF(L37:AL37,"&lt;=0")=0),L$24,99)</f>
        <v>99</v>
      </c>
      <c r="M41" s="0" t="n">
        <f aca="false">IF(AND(M37&gt;0,COUNTIF(M37:AL37,"&lt;=0")=0),M$24,99)</f>
        <v>99</v>
      </c>
      <c r="N41" s="0" t="n">
        <f aca="false">IF(AND(N37&gt;0,COUNTIF(N37:AL37,"&lt;=0")=0),N$24,99)</f>
        <v>99</v>
      </c>
      <c r="O41" s="0" t="n">
        <f aca="false">IF(AND(O37&gt;0,COUNTIF(O37:AL37,"&lt;=0")=0),O$24,99)</f>
        <v>99</v>
      </c>
      <c r="P41" s="0" t="n">
        <f aca="false">IF(AND(P37&gt;0,COUNTIF(P37:AL37,"&lt;=0")=0),P$24,99)</f>
        <v>99</v>
      </c>
      <c r="Q41" s="0" t="n">
        <f aca="false">IF(AND(Q37&gt;0,COUNTIF(Q37:AL37,"&lt;=0")=0),Q$24,99)</f>
        <v>99</v>
      </c>
      <c r="R41" s="0" t="n">
        <f aca="false">IF(AND(R37&gt;0,COUNTIF(R37:AL37,"&lt;=0")=0),R$24,99)</f>
        <v>99</v>
      </c>
      <c r="S41" s="0" t="n">
        <f aca="false">IF(AND(S37&gt;0,COUNTIF(S37:AL37,"&lt;=0")=0),S$24,99)</f>
        <v>99</v>
      </c>
      <c r="T41" s="0" t="n">
        <f aca="false">IF(AND(T37&gt;0,COUNTIF(T37:AL37,"&lt;=0")=0),T$24,99)</f>
        <v>99</v>
      </c>
      <c r="U41" s="0" t="n">
        <f aca="false">IF(AND(U37&gt;0,COUNTIF(U37:AL37,"&lt;=0")=0),U$24,99)</f>
        <v>99</v>
      </c>
      <c r="V41" s="0" t="n">
        <f aca="false">IF(AND(V37&gt;0,COUNTIF(V37:AL37,"&lt;=0")=0),V$24,99)</f>
        <v>99</v>
      </c>
      <c r="W41" s="0" t="n">
        <f aca="false">IF(AND(W37&gt;0,COUNTIF(W37:AL37,"&lt;=0")=0),W$24,99)</f>
        <v>99</v>
      </c>
      <c r="X41" s="0" t="n">
        <f aca="false">IF(AND(X37&gt;0,COUNTIF(X37:AL37,"&lt;=0")=0),X$24,99)</f>
        <v>99</v>
      </c>
      <c r="Y41" s="0" t="n">
        <f aca="false">IF(AND(Y37&gt;0,COUNTIF(Y37:AL37,"&lt;=0")=0),Y$24,99)</f>
        <v>99</v>
      </c>
      <c r="Z41" s="0" t="n">
        <f aca="false">IF(AND(Z37&gt;0,COUNTIF(Z37:AL37,"&lt;=0")=0),Z$24,99)</f>
        <v>99</v>
      </c>
      <c r="AA41" s="0" t="n">
        <f aca="false">IF(AND(AA37&gt;0,COUNTIF(AA37:AL37,"&lt;=0")=0),AA$24,99)</f>
        <v>99</v>
      </c>
      <c r="AB41" s="0" t="n">
        <f aca="false">IF(AND(AB37&gt;0,COUNTIF(AB37:AL37,"&lt;=0")=0),AB$24,99)</f>
        <v>99</v>
      </c>
      <c r="AC41" s="0" t="n">
        <f aca="false">IF(AND(AC37&gt;0,COUNTIF(AC37:AL37,"&lt;=0")=0),AC$24,99)</f>
        <v>99</v>
      </c>
      <c r="AD41" s="0" t="n">
        <f aca="false">IF(AND(AD37&gt;0,COUNTIF(AD37:AL37,"&lt;=0")=0),AD$24,99)</f>
        <v>99</v>
      </c>
      <c r="AE41" s="0" t="n">
        <f aca="false">IF(AND(AE37&gt;0,COUNTIF(AE37:AL37,"&lt;=0")=0),AE$24,99)</f>
        <v>99</v>
      </c>
      <c r="AF41" s="0" t="n">
        <f aca="false">IF(AND(AF37&gt;0,COUNTIF(AF37:AL37,"&lt;=0")=0),AF$24,99)</f>
        <v>99</v>
      </c>
      <c r="AG41" s="0" t="n">
        <f aca="false">IF(AND(AG37&gt;0,COUNTIF(AG37:AL37,"&lt;=0")=0),AG$24,99)</f>
        <v>99</v>
      </c>
      <c r="AH41" s="0" t="n">
        <f aca="false">IF(AND(AH37&gt;0,COUNTIF(AH37:AL37,"&lt;=0")=0),AH$24,99)</f>
        <v>99</v>
      </c>
      <c r="AI41" s="0" t="n">
        <f aca="false">IF(AND(AI37&gt;0,COUNTIF(AI37:AL37,"&lt;=0")=0),AI$24,99)</f>
        <v>99</v>
      </c>
      <c r="AJ41" s="0" t="n">
        <f aca="false">IF(AND(AJ37&gt;0,COUNTIF(AJ37:AL37,"&lt;=0")=0),AJ$24,99)</f>
        <v>99</v>
      </c>
      <c r="AK41" s="0" t="n">
        <f aca="false">IF(AND(AK37&gt;0,COUNTIF(AK37:AL37,"&lt;=0")=0),AK$24,99)</f>
        <v>99</v>
      </c>
      <c r="AL41" s="0" t="n">
        <f aca="false">IF(AND(AL37&gt;0,COUNTIF(AL37:AL37,"&lt;=0")=0),AL$24,99)</f>
        <v>99</v>
      </c>
    </row>
    <row r="42" customFormat="false" ht="15" hidden="false" customHeight="false" outlineLevel="0" collapsed="false">
      <c r="A42" s="0" t="s">
        <v>291</v>
      </c>
      <c r="B42" s="0" t="s">
        <v>292</v>
      </c>
      <c r="C42" s="0" t="n">
        <f aca="false">IF(AND(C40&gt;=0,COUNTIF(C40:AL40,"&lt;0")=0),C$24,99)</f>
        <v>99</v>
      </c>
      <c r="D42" s="0" t="n">
        <f aca="false">IF(AND(D40&gt;=0,COUNTIF(D40:AL40,"&lt;0")=0),D$24,99)</f>
        <v>99</v>
      </c>
      <c r="E42" s="0" t="n">
        <f aca="false">IF(AND(E40&gt;=0,COUNTIF(E40:AL40,"&lt;0")=0),E$24,99)</f>
        <v>99</v>
      </c>
      <c r="F42" s="0" t="n">
        <f aca="false">IF(AND(F40&gt;=0,COUNTIF(F40:AL40,"&lt;0")=0),F$24,99)</f>
        <v>99</v>
      </c>
      <c r="G42" s="0" t="n">
        <f aca="false">IF(AND(G40&gt;=0,COUNTIF(G40:AL40,"&lt;0")=0),G$24,99)</f>
        <v>99</v>
      </c>
      <c r="H42" s="0" t="n">
        <f aca="false">IF(AND(H40&gt;=0,COUNTIF(H40:AL40,"&lt;0")=0),H$24,99)</f>
        <v>99</v>
      </c>
      <c r="I42" s="0" t="n">
        <f aca="false">IF(AND(I40&gt;=0,COUNTIF(I40:AL40,"&lt;0")=0),I$24,99)</f>
        <v>99</v>
      </c>
      <c r="J42" s="0" t="n">
        <f aca="false">IF(AND(J40&gt;=0,COUNTIF(J40:AL40,"&lt;0")=0),J$24,99)</f>
        <v>99</v>
      </c>
      <c r="K42" s="0" t="n">
        <f aca="false">IF(AND(K40&gt;=0,COUNTIF(K40:AL40,"&lt;0")=0),K$24,99)</f>
        <v>99</v>
      </c>
      <c r="L42" s="0" t="n">
        <f aca="false">IF(AND(L40&gt;=0,COUNTIF(L40:AL40,"&lt;0")=0),L$24,99)</f>
        <v>99</v>
      </c>
      <c r="M42" s="0" t="n">
        <f aca="false">IF(AND(M40&gt;=0,COUNTIF(M40:AL40,"&lt;0")=0),M$24,99)</f>
        <v>99</v>
      </c>
      <c r="N42" s="0" t="n">
        <f aca="false">IF(AND(N40&gt;=0,COUNTIF(N40:AL40,"&lt;0")=0),N$24,99)</f>
        <v>99</v>
      </c>
      <c r="O42" s="0" t="n">
        <f aca="false">IF(AND(O40&gt;=0,COUNTIF(O40:AL40,"&lt;0")=0),O$24,99)</f>
        <v>99</v>
      </c>
      <c r="P42" s="0" t="n">
        <f aca="false">IF(AND(P40&gt;=0,COUNTIF(P40:AL40,"&lt;0")=0),P$24,99)</f>
        <v>99</v>
      </c>
      <c r="Q42" s="0" t="n">
        <f aca="false">IF(AND(Q40&gt;=0,COUNTIF(Q40:AL40,"&lt;0")=0),Q$24,99)</f>
        <v>99</v>
      </c>
      <c r="R42" s="0" t="n">
        <f aca="false">IF(AND(R40&gt;=0,COUNTIF(R40:AL40,"&lt;0")=0),R$24,99)</f>
        <v>99</v>
      </c>
      <c r="S42" s="0" t="n">
        <f aca="false">IF(AND(S40&gt;=0,COUNTIF(S40:AL40,"&lt;0")=0),S$24,99)</f>
        <v>99</v>
      </c>
      <c r="T42" s="0" t="n">
        <f aca="false">IF(AND(T40&gt;=0,COUNTIF(T40:AL40,"&lt;0")=0),T$24,99)</f>
        <v>99</v>
      </c>
      <c r="U42" s="0" t="n">
        <f aca="false">IF(AND(U40&gt;=0,COUNTIF(U40:AL40,"&lt;0")=0),U$24,99)</f>
        <v>99</v>
      </c>
      <c r="V42" s="0" t="n">
        <f aca="false">IF(AND(V40&gt;=0,COUNTIF(V40:AL40,"&lt;0")=0),V$24,99)</f>
        <v>99</v>
      </c>
      <c r="W42" s="0" t="n">
        <f aca="false">IF(AND(W40&gt;=0,COUNTIF(W40:AL40,"&lt;0")=0),W$24,99)</f>
        <v>99</v>
      </c>
      <c r="X42" s="0" t="n">
        <f aca="false">IF(AND(X40&gt;=0,COUNTIF(X40:AL40,"&lt;0")=0),X$24,99)</f>
        <v>99</v>
      </c>
      <c r="Y42" s="0" t="n">
        <f aca="false">IF(AND(Y40&gt;=0,COUNTIF(Y40:AL40,"&lt;0")=0),Y$24,99)</f>
        <v>99</v>
      </c>
      <c r="Z42" s="0" t="n">
        <f aca="false">IF(AND(Z40&gt;=0,COUNTIF(Z40:AL40,"&lt;0")=0),Z$24,99)</f>
        <v>99</v>
      </c>
      <c r="AA42" s="0" t="n">
        <f aca="false">IF(AND(AA40&gt;=0,COUNTIF(AA40:AL40,"&lt;0")=0),AA$24,99)</f>
        <v>99</v>
      </c>
      <c r="AB42" s="0" t="n">
        <f aca="false">IF(AND(AB40&gt;=0,COUNTIF(AB40:AL40,"&lt;0")=0),AB$24,99)</f>
        <v>99</v>
      </c>
      <c r="AC42" s="0" t="n">
        <f aca="false">IF(AND(AC40&gt;=0,COUNTIF(AC40:AL40,"&lt;0")=0),AC$24,99)</f>
        <v>99</v>
      </c>
      <c r="AD42" s="0" t="n">
        <f aca="false">IF(AND(AD40&gt;=0,COUNTIF(AD40:AL40,"&lt;0")=0),AD$24,99)</f>
        <v>99</v>
      </c>
      <c r="AE42" s="0" t="n">
        <f aca="false">IF(AND(AE40&gt;=0,COUNTIF(AE40:AL40,"&lt;0")=0),AE$24,99)</f>
        <v>99</v>
      </c>
      <c r="AF42" s="0" t="n">
        <f aca="false">IF(AND(AF40&gt;=0,COUNTIF(AF40:AL40,"&lt;0")=0),AF$24,99)</f>
        <v>99</v>
      </c>
      <c r="AG42" s="0" t="n">
        <f aca="false">IF(AND(AG40&gt;=0,COUNTIF(AG40:AL40,"&lt;0")=0),AG$24,99)</f>
        <v>99</v>
      </c>
      <c r="AH42" s="0" t="n">
        <f aca="false">IF(AND(AH40&gt;=0,COUNTIF(AH40:AL40,"&lt;0")=0),AH$24,99)</f>
        <v>99</v>
      </c>
      <c r="AI42" s="0" t="n">
        <f aca="false">IF(AND(AI40&gt;=0,COUNTIF(AI40:AL40,"&lt;0")=0),AI$24,99)</f>
        <v>99</v>
      </c>
      <c r="AJ42" s="0" t="n">
        <f aca="false">IF(AND(AJ40&gt;=0,COUNTIF(AJ40:AL40,"&lt;0")=0),AJ$24,99)</f>
        <v>99</v>
      </c>
      <c r="AK42" s="0" t="n">
        <f aca="false">IF(AND(AK40&gt;=0,COUNTIF(AK40:AL40,"&lt;0")=0),AK$24,99)</f>
        <v>99</v>
      </c>
      <c r="AL42" s="0" t="n">
        <f aca="false">IF(AND(AL40&gt;=0,COUNTIF(AL40:AL40,"&lt;0")=0),AL$24,99)</f>
        <v>99</v>
      </c>
    </row>
    <row r="44" customFormat="false" ht="15" hidden="false" customHeight="false" outlineLevel="0" collapsed="false">
      <c r="A44" s="1" t="s">
        <v>294</v>
      </c>
      <c r="B44" s="1" t="s">
        <v>252</v>
      </c>
      <c r="C44" s="1" t="n">
        <v>1</v>
      </c>
      <c r="D44" s="1" t="n">
        <v>2</v>
      </c>
      <c r="E44" s="1" t="n">
        <v>3</v>
      </c>
      <c r="F44" s="1" t="n">
        <v>4</v>
      </c>
      <c r="G44" s="1" t="n">
        <v>5</v>
      </c>
      <c r="H44" s="1" t="n">
        <v>6</v>
      </c>
      <c r="I44" s="1" t="n">
        <v>7</v>
      </c>
      <c r="J44" s="1" t="n">
        <v>8</v>
      </c>
      <c r="K44" s="1" t="n">
        <v>9</v>
      </c>
      <c r="L44" s="1" t="n">
        <v>10</v>
      </c>
      <c r="M44" s="1" t="n">
        <v>11</v>
      </c>
      <c r="N44" s="1" t="n">
        <v>12</v>
      </c>
      <c r="O44" s="1" t="n">
        <v>13</v>
      </c>
      <c r="P44" s="1" t="n">
        <v>14</v>
      </c>
      <c r="Q44" s="1" t="n">
        <v>15</v>
      </c>
      <c r="R44" s="1" t="n">
        <v>16</v>
      </c>
      <c r="S44" s="1" t="n">
        <v>17</v>
      </c>
      <c r="T44" s="1" t="n">
        <v>18</v>
      </c>
      <c r="U44" s="1" t="n">
        <v>19</v>
      </c>
      <c r="V44" s="1" t="n">
        <v>20</v>
      </c>
      <c r="W44" s="1" t="n">
        <v>21</v>
      </c>
      <c r="X44" s="1" t="n">
        <v>22</v>
      </c>
      <c r="Y44" s="1" t="n">
        <v>23</v>
      </c>
      <c r="Z44" s="1" t="n">
        <v>24</v>
      </c>
      <c r="AA44" s="1" t="n">
        <v>25</v>
      </c>
      <c r="AB44" s="1" t="n">
        <v>26</v>
      </c>
      <c r="AC44" s="1" t="n">
        <v>27</v>
      </c>
      <c r="AD44" s="1" t="n">
        <v>28</v>
      </c>
      <c r="AE44" s="1" t="n">
        <v>29</v>
      </c>
      <c r="AF44" s="1" t="n">
        <v>30</v>
      </c>
      <c r="AG44" s="1" t="n">
        <v>31</v>
      </c>
      <c r="AH44" s="1" t="n">
        <v>32</v>
      </c>
      <c r="AI44" s="1" t="n">
        <v>33</v>
      </c>
      <c r="AJ44" s="1" t="n">
        <v>34</v>
      </c>
      <c r="AK44" s="1" t="n">
        <v>35</v>
      </c>
      <c r="AL44" s="1" t="n">
        <v>36</v>
      </c>
      <c r="AM44" s="1" t="s">
        <v>253</v>
      </c>
      <c r="AN44" s="1" t="s">
        <v>254</v>
      </c>
      <c r="AO44" s="1" t="s">
        <v>255</v>
      </c>
      <c r="AP44" s="1" t="s">
        <v>256</v>
      </c>
    </row>
    <row r="45" customFormat="false" ht="15" hidden="false" customHeight="false" outlineLevel="0" collapsed="false">
      <c r="A45" s="0" t="s">
        <v>257</v>
      </c>
      <c r="B45" s="0" t="s">
        <v>258</v>
      </c>
      <c r="C45" s="10" t="n">
        <f aca="false">Допущения!$E$21*IF(C$44&lt;Допущения!$E$27,0,((C$44-Допущения!$E$27+1)/(36-Допущения!$E$27+1))^Допущения!$E$28)</f>
        <v>0</v>
      </c>
      <c r="D45" s="10" t="n">
        <f aca="false">Допущения!$E$21*IF(D$44&lt;Допущения!$E$27,0,((D$44-Допущения!$E$27+1)/(36-Допущения!$E$27+1))^Допущения!$E$28)</f>
        <v>8009.12630395172</v>
      </c>
      <c r="E45" s="10" t="n">
        <f aca="false">Допущения!$E$21*IF(E$44&lt;Допущения!$E$27,0,((E$44-Допущения!$E$27+1)/(36-Допущения!$E$27+1))^Допущения!$E$28)</f>
        <v>17167.9380613537</v>
      </c>
      <c r="F45" s="10" t="n">
        <f aca="false">Допущения!$E$21*IF(F$44&lt;Допущения!$E$27,0,((F$44-Допущения!$E$27+1)/(36-Допущения!$E$27+1))^Допущения!$E$28)</f>
        <v>26817.5144148151</v>
      </c>
      <c r="G45" s="10" t="n">
        <f aca="false">Допущения!$E$21*IF(G$44&lt;Допущения!$E$27,0,((G$44-Допущения!$E$27+1)/(36-Допущения!$E$27+1))^Допущения!$E$28)</f>
        <v>36800.2808412513</v>
      </c>
      <c r="H45" s="10" t="n">
        <f aca="false">Допущения!$E$21*IF(H$44&lt;Допущения!$E$27,0,((H$44-Допущения!$E$27+1)/(36-Допущения!$E$27+1))^Допущения!$E$28)</f>
        <v>47038.3573710311</v>
      </c>
      <c r="I45" s="10" t="n">
        <f aca="false">Допущения!$E$21*IF(I$44&lt;Допущения!$E$27,0,((I$44-Допущения!$E$27+1)/(36-Допущения!$E$27+1))^Допущения!$E$28)</f>
        <v>57484.6005619666</v>
      </c>
      <c r="J45" s="10" t="n">
        <f aca="false">Допущения!$E$21*IF(J$44&lt;Допущения!$E$27,0,((J$44-Допущения!$E$27+1)/(36-Допущения!$E$27+1))^Допущения!$E$28)</f>
        <v>68107.1938016628</v>
      </c>
      <c r="K45" s="10" t="n">
        <f aca="false">Допущения!$E$21*IF(K$44&lt;Допущения!$E$27,0,((K$44-Допущения!$E$27+1)/(36-Допущения!$E$27+1))^Допущения!$E$28)</f>
        <v>78883.1288390718</v>
      </c>
      <c r="L45" s="10" t="n">
        <f aca="false">Допущения!$E$21*IF(L$44&lt;Допущения!$E$27,0,((L$44-Допущения!$E$27+1)/(36-Допущения!$E$27+1))^Допущения!$E$28)</f>
        <v>89794.9479250902</v>
      </c>
      <c r="M45" s="10" t="n">
        <f aca="false">Допущения!$E$21*IF(M$44&lt;Допущения!$E$27,0,((M$44-Допущения!$E$27+1)/(36-Допущения!$E$27+1))^Допущения!$E$28)</f>
        <v>100828.926303139</v>
      </c>
      <c r="N45" s="10" t="n">
        <f aca="false">Допущения!$E$21*IF(N$44&lt;Допущения!$E$27,0,((N$44-Допущения!$E$27+1)/(36-Допущения!$E$27+1))^Допущения!$E$28)</f>
        <v>111973.975148404</v>
      </c>
      <c r="O45" s="10" t="n">
        <f aca="false">Допущения!$E$21*IF(O$44&lt;Допущения!$E$27,0,((O$44-Допущения!$E$27+1)/(36-Допущения!$E$27+1))^Допущения!$E$28)</f>
        <v>123220.938773629</v>
      </c>
      <c r="P45" s="10" t="n">
        <f aca="false">Допущения!$E$21*IF(P$44&lt;Допущения!$E$27,0,((P$44-Допущения!$E$27+1)/(36-Допущения!$E$27+1))^Допущения!$E$28)</f>
        <v>134562.122896218</v>
      </c>
      <c r="Q45" s="10" t="n">
        <f aca="false">Допущения!$E$21*IF(Q$44&lt;Допущения!$E$27,0,((Q$44-Допущения!$E$27+1)/(36-Допущения!$E$27+1))^Допущения!$E$28)</f>
        <v>145990.965848877</v>
      </c>
      <c r="R45" s="10" t="n">
        <f aca="false">Допущения!$E$21*IF(R$44&lt;Допущения!$E$27,0,((R$44-Допущения!$E$27+1)/(36-Допущения!$E$27+1))^Допущения!$E$28)</f>
        <v>157501.802190889</v>
      </c>
      <c r="S45" s="10" t="n">
        <f aca="false">Допущения!$E$21*IF(S$44&lt;Допущения!$E$27,0,((S$44-Допущения!$E$27+1)/(36-Допущения!$E$27+1))^Допущения!$E$28)</f>
        <v>169089.688263097</v>
      </c>
      <c r="T45" s="10" t="n">
        <f aca="false">Допущения!$E$21*IF(T$44&lt;Допущения!$E$27,0,((T$44-Допущения!$E$27+1)/(36-Допущения!$E$27+1))^Допущения!$E$28)</f>
        <v>180750.270563538</v>
      </c>
      <c r="U45" s="10" t="n">
        <f aca="false">Допущения!$E$21*IF(U$44&lt;Допущения!$E$27,0,((U$44-Допущения!$E$27+1)/(36-Допущения!$E$27+1))^Допущения!$E$28)</f>
        <v>192479.68451188</v>
      </c>
      <c r="V45" s="10" t="n">
        <f aca="false">Допущения!$E$21*IF(V$44&lt;Допущения!$E$27,0,((V$44-Допущения!$E$27+1)/(36-Допущения!$E$27+1))^Допущения!$E$28)</f>
        <v>204274.475275792</v>
      </c>
      <c r="W45" s="10" t="n">
        <f aca="false">Допущения!$E$21*IF(W$44&lt;Допущения!$E$27,0,((W$44-Допущения!$E$27+1)/(36-Допущения!$E$27+1))^Допущения!$E$28)</f>
        <v>216131.534935464</v>
      </c>
      <c r="X45" s="10" t="n">
        <f aca="false">Допущения!$E$21*IF(X$44&lt;Допущения!$E$27,0,((X$44-Допущения!$E$27+1)/(36-Допущения!$E$27+1))^Допущения!$E$28)</f>
        <v>228048.051961362</v>
      </c>
      <c r="Y45" s="10" t="n">
        <f aca="false">Допущения!$E$21*IF(Y$44&lt;Допущения!$E$27,0,((Y$44-Допущения!$E$27+1)/(36-Допущения!$E$27+1))^Допущения!$E$28)</f>
        <v>240021.470117516</v>
      </c>
      <c r="Z45" s="10" t="n">
        <f aca="false">Допущения!$E$21*IF(Z$44&lt;Допущения!$E$27,0,((Z$44-Допущения!$E$27+1)/(36-Допущения!$E$27+1))^Допущения!$E$28)</f>
        <v>252049.454681102</v>
      </c>
      <c r="AA45" s="10" t="n">
        <f aca="false">Допущения!$E$21*IF(AA$44&lt;Допущения!$E$27,0,((AA$44-Допущения!$E$27+1)/(36-Допущения!$E$27+1))^Допущения!$E$28)</f>
        <v>264129.864412771</v>
      </c>
      <c r="AB45" s="10" t="n">
        <f aca="false">Допущения!$E$21*IF(AB$44&lt;Допущения!$E$27,0,((AB$44-Допущения!$E$27+1)/(36-Допущения!$E$27+1))^Допущения!$E$28)</f>
        <v>276260.728098785</v>
      </c>
      <c r="AC45" s="10" t="n">
        <f aca="false">Допущения!$E$21*IF(AC$44&lt;Допущения!$E$27,0,((AC$44-Допущения!$E$27+1)/(36-Допущения!$E$27+1))^Допущения!$E$28)</f>
        <v>288440.224765428</v>
      </c>
      <c r="AD45" s="10" t="n">
        <f aca="false">Допущения!$E$21*IF(AD$44&lt;Допущения!$E$27,0,((AD$44-Допущения!$E$27+1)/(36-Допущения!$E$27+1))^Допущения!$E$28)</f>
        <v>300666.666871082</v>
      </c>
      <c r="AE45" s="10" t="n">
        <f aca="false">Допущения!$E$21*IF(AE$44&lt;Допущения!$E$27,0,((AE$44-Допущения!$E$27+1)/(36-Допущения!$E$27+1))^Допущения!$E$28)</f>
        <v>312938.485933737</v>
      </c>
      <c r="AF45" s="10" t="n">
        <f aca="false">Допущения!$E$21*IF(AF$44&lt;Допущения!$E$27,0,((AF$44-Допущения!$E$27+1)/(36-Допущения!$E$27+1))^Допущения!$E$28)</f>
        <v>325254.220166337</v>
      </c>
      <c r="AG45" s="10" t="n">
        <f aca="false">Допущения!$E$21*IF(AG$44&lt;Допущения!$E$27,0,((AG$44-Допущения!$E$27+1)/(36-Допущения!$E$27+1))^Допущения!$E$28)</f>
        <v>337612.503779671</v>
      </c>
      <c r="AH45" s="10" t="n">
        <f aca="false">Допущения!$E$21*IF(AH$44&lt;Допущения!$E$27,0,((AH$44-Допущения!$E$27+1)/(36-Допущения!$E$27+1))^Допущения!$E$28)</f>
        <v>350012.057679632</v>
      </c>
      <c r="AI45" s="10" t="n">
        <f aca="false">Допущения!$E$21*IF(AI$44&lt;Допущения!$E$27,0,((AI$44-Допущения!$E$27+1)/(36-Допущения!$E$27+1))^Допущения!$E$28)</f>
        <v>362451.681337844</v>
      </c>
      <c r="AJ45" s="10" t="n">
        <f aca="false">Допущения!$E$21*IF(AJ$44&lt;Допущения!$E$27,0,((AJ$44-Допущения!$E$27+1)/(36-Допущения!$E$27+1))^Допущения!$E$28)</f>
        <v>374930.245655492</v>
      </c>
      <c r="AK45" s="10" t="n">
        <f aca="false">Допущения!$E$21*IF(AK$44&lt;Допущения!$E$27,0,((AK$44-Допущения!$E$27+1)/(36-Допущения!$E$27+1))^Допущения!$E$28)</f>
        <v>387446.68667251</v>
      </c>
      <c r="AL45" s="10" t="n">
        <f aca="false">Допущения!$E$21*IF(AL$44&lt;Допущения!$E$27,0,((AL$44-Допущения!$E$27+1)/(36-Допущения!$E$27+1))^Допущения!$E$28)</f>
        <v>400000</v>
      </c>
      <c r="AM45" s="10" t="n">
        <f aca="false">SUM(C45:N45)</f>
        <v>642905.989571738</v>
      </c>
      <c r="AN45" s="10" t="n">
        <f aca="false">SUM(O45:Z45)</f>
        <v>2244120.46001937</v>
      </c>
      <c r="AO45" s="10" t="n">
        <f aca="false">SUM(AA45:AL45)</f>
        <v>3980143.36537329</v>
      </c>
      <c r="AP45" s="10" t="n">
        <f aca="false">SUM(C45:AL45)</f>
        <v>6867169.81496439</v>
      </c>
    </row>
    <row r="46" customFormat="false" ht="15" hidden="false" customHeight="false" outlineLevel="0" collapsed="false">
      <c r="A46" s="0" t="s">
        <v>259</v>
      </c>
      <c r="B46" s="0" t="s">
        <v>260</v>
      </c>
      <c r="C46" s="10" t="n">
        <f aca="false">Допущения!$E$22*IF(C$44&lt;Допущения!$E$27,0,((C$44-Допущения!$E$27+1)/(36-Допущения!$E$27+1))^Допущения!$E$28)</f>
        <v>0</v>
      </c>
      <c r="D46" s="10" t="n">
        <f aca="false">Допущения!$E$22*IF(D$44&lt;Допущения!$E$27,0,((D$44-Допущения!$E$27+1)/(36-Допущения!$E$27+1))^Допущения!$E$28)</f>
        <v>1201.36894559276</v>
      </c>
      <c r="E46" s="10" t="n">
        <f aca="false">Допущения!$E$22*IF(E$44&lt;Допущения!$E$27,0,((E$44-Допущения!$E$27+1)/(36-Допущения!$E$27+1))^Допущения!$E$28)</f>
        <v>2575.19070920305</v>
      </c>
      <c r="F46" s="10" t="n">
        <f aca="false">Допущения!$E$22*IF(F$44&lt;Допущения!$E$27,0,((F$44-Допущения!$E$27+1)/(36-Допущения!$E$27+1))^Допущения!$E$28)</f>
        <v>4022.62716222226</v>
      </c>
      <c r="G46" s="10" t="n">
        <f aca="false">Допущения!$E$22*IF(G$44&lt;Допущения!$E$27,0,((G$44-Допущения!$E$27+1)/(36-Допущения!$E$27+1))^Допущения!$E$28)</f>
        <v>5520.04212618769</v>
      </c>
      <c r="H46" s="10" t="n">
        <f aca="false">Допущения!$E$22*IF(H$44&lt;Допущения!$E$27,0,((H$44-Допущения!$E$27+1)/(36-Допущения!$E$27+1))^Допущения!$E$28)</f>
        <v>7055.75360565466</v>
      </c>
      <c r="I46" s="10" t="n">
        <f aca="false">Допущения!$E$22*IF(I$44&lt;Допущения!$E$27,0,((I$44-Допущения!$E$27+1)/(36-Допущения!$E$27+1))^Допущения!$E$28)</f>
        <v>8622.69008429499</v>
      </c>
      <c r="J46" s="10" t="n">
        <f aca="false">Допущения!$E$22*IF(J$44&lt;Допущения!$E$27,0,((J$44-Допущения!$E$27+1)/(36-Допущения!$E$27+1))^Допущения!$E$28)</f>
        <v>10216.0790702494</v>
      </c>
      <c r="K46" s="10" t="n">
        <f aca="false">Допущения!$E$22*IF(K$44&lt;Допущения!$E$27,0,((K$44-Допущения!$E$27+1)/(36-Допущения!$E$27+1))^Допущения!$E$28)</f>
        <v>11832.4693258608</v>
      </c>
      <c r="L46" s="10" t="n">
        <f aca="false">Допущения!$E$22*IF(L$44&lt;Допущения!$E$27,0,((L$44-Допущения!$E$27+1)/(36-Допущения!$E$27+1))^Допущения!$E$28)</f>
        <v>13469.2421887635</v>
      </c>
      <c r="M46" s="10" t="n">
        <f aca="false">Допущения!$E$22*IF(M$44&lt;Допущения!$E$27,0,((M$44-Допущения!$E$27+1)/(36-Допущения!$E$27+1))^Допущения!$E$28)</f>
        <v>15124.3389454709</v>
      </c>
      <c r="N46" s="10" t="n">
        <f aca="false">Допущения!$E$22*IF(N$44&lt;Допущения!$E$27,0,((N$44-Допущения!$E$27+1)/(36-Допущения!$E$27+1))^Допущения!$E$28)</f>
        <v>16796.0962722607</v>
      </c>
      <c r="O46" s="10" t="n">
        <f aca="false">Допущения!$E$22*IF(O$44&lt;Допущения!$E$27,0,((O$44-Допущения!$E$27+1)/(36-Допущения!$E$27+1))^Допущения!$E$28)</f>
        <v>18483.1408160444</v>
      </c>
      <c r="P46" s="10" t="n">
        <f aca="false">Допущения!$E$22*IF(P$44&lt;Допущения!$E$27,0,((P$44-Допущения!$E$27+1)/(36-Допущения!$E$27+1))^Допущения!$E$28)</f>
        <v>20184.3184344328</v>
      </c>
      <c r="Q46" s="10" t="n">
        <f aca="false">Допущения!$E$22*IF(Q$44&lt;Допущения!$E$27,0,((Q$44-Допущения!$E$27+1)/(36-Допущения!$E$27+1))^Допущения!$E$28)</f>
        <v>21898.6448773315</v>
      </c>
      <c r="R46" s="10" t="n">
        <f aca="false">Допущения!$E$22*IF(R$44&lt;Допущения!$E$27,0,((R$44-Допущения!$E$27+1)/(36-Допущения!$E$27+1))^Допущения!$E$28)</f>
        <v>23625.2703286334</v>
      </c>
      <c r="S46" s="10" t="n">
        <f aca="false">Допущения!$E$22*IF(S$44&lt;Допущения!$E$27,0,((S$44-Допущения!$E$27+1)/(36-Допущения!$E$27+1))^Допущения!$E$28)</f>
        <v>25363.4532394646</v>
      </c>
      <c r="T46" s="10" t="n">
        <f aca="false">Допущения!$E$22*IF(T$44&lt;Допущения!$E$27,0,((T$44-Допущения!$E$27+1)/(36-Допущения!$E$27+1))^Допущения!$E$28)</f>
        <v>27112.5405845307</v>
      </c>
      <c r="U46" s="10" t="n">
        <f aca="false">Допущения!$E$22*IF(U$44&lt;Допущения!$E$27,0,((U$44-Допущения!$E$27+1)/(36-Допущения!$E$27+1))^Допущения!$E$28)</f>
        <v>28871.952676782</v>
      </c>
      <c r="V46" s="10" t="n">
        <f aca="false">Допущения!$E$22*IF(V$44&lt;Допущения!$E$27,0,((V$44-Допущения!$E$27+1)/(36-Допущения!$E$27+1))^Допущения!$E$28)</f>
        <v>30641.1712913688</v>
      </c>
      <c r="W46" s="10" t="n">
        <f aca="false">Допущения!$E$22*IF(W$44&lt;Допущения!$E$27,0,((W$44-Допущения!$E$27+1)/(36-Допущения!$E$27+1))^Допущения!$E$28)</f>
        <v>32419.7302403196</v>
      </c>
      <c r="X46" s="10" t="n">
        <f aca="false">Допущения!$E$22*IF(X$44&lt;Допущения!$E$27,0,((X$44-Допущения!$E$27+1)/(36-Допущения!$E$27+1))^Допущения!$E$28)</f>
        <v>34207.2077942044</v>
      </c>
      <c r="Y46" s="10" t="n">
        <f aca="false">Допущения!$E$22*IF(Y$44&lt;Допущения!$E$27,0,((Y$44-Допущения!$E$27+1)/(36-Допущения!$E$27+1))^Допущения!$E$28)</f>
        <v>36003.2205176275</v>
      </c>
      <c r="Z46" s="10" t="n">
        <f aca="false">Допущения!$E$22*IF(Z$44&lt;Допущения!$E$27,0,((Z$44-Допущения!$E$27+1)/(36-Допущения!$E$27+1))^Допущения!$E$28)</f>
        <v>37807.4182021653</v>
      </c>
      <c r="AA46" s="10" t="n">
        <f aca="false">Допущения!$E$22*IF(AA$44&lt;Допущения!$E$27,0,((AA$44-Допущения!$E$27+1)/(36-Допущения!$E$27+1))^Допущения!$E$28)</f>
        <v>39619.4796619156</v>
      </c>
      <c r="AB46" s="10" t="n">
        <f aca="false">Допущения!$E$22*IF(AB$44&lt;Допущения!$E$27,0,((AB$44-Допущения!$E$27+1)/(36-Допущения!$E$27+1))^Допущения!$E$28)</f>
        <v>41439.1092148178</v>
      </c>
      <c r="AC46" s="10" t="n">
        <f aca="false">Допущения!$E$22*IF(AC$44&lt;Допущения!$E$27,0,((AC$44-Допущения!$E$27+1)/(36-Допущения!$E$27+1))^Допущения!$E$28)</f>
        <v>43266.0337148143</v>
      </c>
      <c r="AD46" s="10" t="n">
        <f aca="false">Допущения!$E$22*IF(AD$44&lt;Допущения!$E$27,0,((AD$44-Допущения!$E$27+1)/(36-Допущения!$E$27+1))^Допущения!$E$28)</f>
        <v>45100.0000306624</v>
      </c>
      <c r="AE46" s="10" t="n">
        <f aca="false">Допущения!$E$22*IF(AE$44&lt;Допущения!$E$27,0,((AE$44-Допущения!$E$27+1)/(36-Допущения!$E$27+1))^Допущения!$E$28)</f>
        <v>46940.7728900606</v>
      </c>
      <c r="AF46" s="10" t="n">
        <f aca="false">Допущения!$E$22*IF(AF$44&lt;Допущения!$E$27,0,((AF$44-Допущения!$E$27+1)/(36-Допущения!$E$27+1))^Допущения!$E$28)</f>
        <v>48788.1330249506</v>
      </c>
      <c r="AG46" s="10" t="n">
        <f aca="false">Допущения!$E$22*IF(AG$44&lt;Допущения!$E$27,0,((AG$44-Допущения!$E$27+1)/(36-Допущения!$E$27+1))^Допущения!$E$28)</f>
        <v>50641.8755669506</v>
      </c>
      <c r="AH46" s="10" t="n">
        <f aca="false">Допущения!$E$22*IF(AH$44&lt;Допущения!$E$27,0,((AH$44-Допущения!$E$27+1)/(36-Допущения!$E$27+1))^Допущения!$E$28)</f>
        <v>52501.8086519448</v>
      </c>
      <c r="AI46" s="10" t="n">
        <f aca="false">Допущения!$E$22*IF(AI$44&lt;Допущения!$E$27,0,((AI$44-Допущения!$E$27+1)/(36-Допущения!$E$27+1))^Допущения!$E$28)</f>
        <v>54367.7522006766</v>
      </c>
      <c r="AJ46" s="10" t="n">
        <f aca="false">Допущения!$E$22*IF(AJ$44&lt;Допущения!$E$27,0,((AJ$44-Допущения!$E$27+1)/(36-Допущения!$E$27+1))^Допущения!$E$28)</f>
        <v>56239.5368483238</v>
      </c>
      <c r="AK46" s="10" t="n">
        <f aca="false">Допущения!$E$22*IF(AK$44&lt;Допущения!$E$27,0,((AK$44-Допущения!$E$27+1)/(36-Допущения!$E$27+1))^Допущения!$E$28)</f>
        <v>58117.0030008766</v>
      </c>
      <c r="AL46" s="10" t="n">
        <f aca="false">Допущения!$E$22*IF(AL$44&lt;Допущения!$E$27,0,((AL$44-Допущения!$E$27+1)/(36-Допущения!$E$27+1))^Допущения!$E$28)</f>
        <v>60000</v>
      </c>
      <c r="AM46" s="10" t="n">
        <f aca="false">N46</f>
        <v>16796.0962722607</v>
      </c>
      <c r="AN46" s="10" t="n">
        <f aca="false">Z46</f>
        <v>37807.4182021653</v>
      </c>
      <c r="AO46" s="10" t="n">
        <f aca="false">AL46</f>
        <v>60000</v>
      </c>
    </row>
    <row r="47" customFormat="false" ht="15" hidden="false" customHeight="false" outlineLevel="0" collapsed="false">
      <c r="A47" s="0" t="s">
        <v>261</v>
      </c>
      <c r="B47" s="0" t="s">
        <v>262</v>
      </c>
      <c r="C47" s="10" t="n">
        <f aca="false">Допущения!$E$23*IF(C$44&lt;Допущения!$E$27,0,((C$44-Допущения!$E$27+1)/(36-Допущения!$E$27+1))^Допущения!$E$28)</f>
        <v>0</v>
      </c>
      <c r="D47" s="10" t="n">
        <f aca="false">Допущения!$E$23*IF(D$44&lt;Допущения!$E$27,0,((D$44-Допущения!$E$27+1)/(36-Допущения!$E$27+1))^Допущения!$E$28)</f>
        <v>300342.236398189</v>
      </c>
      <c r="E47" s="10" t="n">
        <f aca="false">Допущения!$E$23*IF(E$44&lt;Допущения!$E$27,0,((E$44-Допущения!$E$27+1)/(36-Допущения!$E$27+1))^Допущения!$E$28)</f>
        <v>643797.677300763</v>
      </c>
      <c r="F47" s="10" t="n">
        <f aca="false">Допущения!$E$23*IF(F$44&lt;Допущения!$E$27,0,((F$44-Допущения!$E$27+1)/(36-Допущения!$E$27+1))^Допущения!$E$28)</f>
        <v>1005656.79055557</v>
      </c>
      <c r="G47" s="10" t="n">
        <f aca="false">Допущения!$E$23*IF(G$44&lt;Допущения!$E$27,0,((G$44-Допущения!$E$27+1)/(36-Допущения!$E$27+1))^Допущения!$E$28)</f>
        <v>1380010.53154692</v>
      </c>
      <c r="H47" s="10" t="n">
        <f aca="false">Допущения!$E$23*IF(H$44&lt;Допущения!$E$27,0,((H$44-Допущения!$E$27+1)/(36-Допущения!$E$27+1))^Допущения!$E$28)</f>
        <v>1763938.40141367</v>
      </c>
      <c r="I47" s="10" t="n">
        <f aca="false">Допущения!$E$23*IF(I$44&lt;Допущения!$E$27,0,((I$44-Допущения!$E$27+1)/(36-Допущения!$E$27+1))^Допущения!$E$28)</f>
        <v>2155672.52107375</v>
      </c>
      <c r="J47" s="10" t="n">
        <f aca="false">Допущения!$E$23*IF(J$44&lt;Допущения!$E$27,0,((J$44-Допущения!$E$27+1)/(36-Допущения!$E$27+1))^Допущения!$E$28)</f>
        <v>2554019.76756235</v>
      </c>
      <c r="K47" s="10" t="n">
        <f aca="false">Допущения!$E$23*IF(K$44&lt;Допущения!$E$27,0,((K$44-Допущения!$E$27+1)/(36-Допущения!$E$27+1))^Допущения!$E$28)</f>
        <v>2958117.33146519</v>
      </c>
      <c r="L47" s="10" t="n">
        <f aca="false">Допущения!$E$23*IF(L$44&lt;Допущения!$E$27,0,((L$44-Допущения!$E$27+1)/(36-Допущения!$E$27+1))^Допущения!$E$28)</f>
        <v>3367310.54719088</v>
      </c>
      <c r="M47" s="10" t="n">
        <f aca="false">Допущения!$E$23*IF(M$44&lt;Допущения!$E$27,0,((M$44-Допущения!$E$27+1)/(36-Допущения!$E$27+1))^Допущения!$E$28)</f>
        <v>3781084.73636772</v>
      </c>
      <c r="N47" s="10" t="n">
        <f aca="false">Допущения!$E$23*IF(N$44&lt;Допущения!$E$27,0,((N$44-Допущения!$E$27+1)/(36-Допущения!$E$27+1))^Допущения!$E$28)</f>
        <v>4199024.06806516</v>
      </c>
      <c r="O47" s="10" t="n">
        <f aca="false">Допущения!$E$23*IF(O$44&lt;Допущения!$E$27,0,((O$44-Допущения!$E$27+1)/(36-Допущения!$E$27+1))^Допущения!$E$28)</f>
        <v>4620785.2040111</v>
      </c>
      <c r="P47" s="10" t="n">
        <f aca="false">Допущения!$E$23*IF(P$44&lt;Допущения!$E$27,0,((P$44-Допущения!$E$27+1)/(36-Допущения!$E$27+1))^Допущения!$E$28)</f>
        <v>5046079.60860819</v>
      </c>
      <c r="Q47" s="10" t="n">
        <f aca="false">Допущения!$E$23*IF(Q$44&lt;Допущения!$E$27,0,((Q$44-Допущения!$E$27+1)/(36-Допущения!$E$27+1))^Допущения!$E$28)</f>
        <v>5474661.21933289</v>
      </c>
      <c r="R47" s="10" t="n">
        <f aca="false">Допущения!$E$23*IF(R$44&lt;Допущения!$E$27,0,((R$44-Допущения!$E$27+1)/(36-Допущения!$E$27+1))^Допущения!$E$28)</f>
        <v>5906317.58215834</v>
      </c>
      <c r="S47" s="10" t="n">
        <f aca="false">Допущения!$E$23*IF(S$44&lt;Допущения!$E$27,0,((S$44-Допущения!$E$27+1)/(36-Допущения!$E$27+1))^Допущения!$E$28)</f>
        <v>6340863.30986614</v>
      </c>
      <c r="T47" s="10" t="n">
        <f aca="false">Допущения!$E$23*IF(T$44&lt;Допущения!$E$27,0,((T$44-Допущения!$E$27+1)/(36-Допущения!$E$27+1))^Допущения!$E$28)</f>
        <v>6778135.14613268</v>
      </c>
      <c r="U47" s="10" t="n">
        <f aca="false">Допущения!$E$23*IF(U$44&lt;Допущения!$E$27,0,((U$44-Допущения!$E$27+1)/(36-Допущения!$E$27+1))^Допущения!$E$28)</f>
        <v>7217988.1691955</v>
      </c>
      <c r="V47" s="10" t="n">
        <f aca="false">Допущения!$E$23*IF(V$44&lt;Допущения!$E$27,0,((V$44-Допущения!$E$27+1)/(36-Допущения!$E$27+1))^Допущения!$E$28)</f>
        <v>7660292.82284221</v>
      </c>
      <c r="W47" s="10" t="n">
        <f aca="false">Допущения!$E$23*IF(W$44&lt;Допущения!$E$27,0,((W$44-Допущения!$E$27+1)/(36-Допущения!$E$27+1))^Допущения!$E$28)</f>
        <v>8104932.56007991</v>
      </c>
      <c r="X47" s="10" t="n">
        <f aca="false">Допущения!$E$23*IF(X$44&lt;Допущения!$E$27,0,((X$44-Допущения!$E$27+1)/(36-Допущения!$E$27+1))^Допущения!$E$28)</f>
        <v>8551801.94855109</v>
      </c>
      <c r="Y47" s="10" t="n">
        <f aca="false">Допущения!$E$23*IF(Y$44&lt;Допущения!$E$27,0,((Y$44-Допущения!$E$27+1)/(36-Допущения!$E$27+1))^Допущения!$E$28)</f>
        <v>9000805.12940686</v>
      </c>
      <c r="Z47" s="10" t="n">
        <f aca="false">Допущения!$E$23*IF(Z$44&lt;Допущения!$E$27,0,((Z$44-Допущения!$E$27+1)/(36-Допущения!$E$27+1))^Допущения!$E$28)</f>
        <v>9451854.55054133</v>
      </c>
      <c r="AA47" s="10" t="n">
        <f aca="false">Допущения!$E$23*IF(AA$44&lt;Допущения!$E$27,0,((AA$44-Допущения!$E$27+1)/(36-Допущения!$E$27+1))^Допущения!$E$28)</f>
        <v>9904869.9154789</v>
      </c>
      <c r="AB47" s="10" t="n">
        <f aca="false">Допущения!$E$23*IF(AB$44&lt;Допущения!$E$27,0,((AB$44-Допущения!$E$27+1)/(36-Допущения!$E$27+1))^Допущения!$E$28)</f>
        <v>10359777.3037045</v>
      </c>
      <c r="AC47" s="10" t="n">
        <f aca="false">Допущения!$E$23*IF(AC$44&lt;Допущения!$E$27,0,((AC$44-Допущения!$E$27+1)/(36-Допущения!$E$27+1))^Допущения!$E$28)</f>
        <v>10816508.4287036</v>
      </c>
      <c r="AD47" s="10" t="n">
        <f aca="false">Допущения!$E$23*IF(AD$44&lt;Допущения!$E$27,0,((AD$44-Допущения!$E$27+1)/(36-Допущения!$E$27+1))^Допущения!$E$28)</f>
        <v>11275000.0076656</v>
      </c>
      <c r="AE47" s="10" t="n">
        <f aca="false">Допущения!$E$23*IF(AE$44&lt;Допущения!$E$27,0,((AE$44-Допущения!$E$27+1)/(36-Допущения!$E$27+1))^Допущения!$E$28)</f>
        <v>11735193.2225151</v>
      </c>
      <c r="AF47" s="10" t="n">
        <f aca="false">Допущения!$E$23*IF(AF$44&lt;Допущения!$E$27,0,((AF$44-Допущения!$E$27+1)/(36-Допущения!$E$27+1))^Допущения!$E$28)</f>
        <v>12197033.2562377</v>
      </c>
      <c r="AG47" s="10" t="n">
        <f aca="false">Допущения!$E$23*IF(AG$44&lt;Допущения!$E$27,0,((AG$44-Допущения!$E$27+1)/(36-Допущения!$E$27+1))^Допущения!$E$28)</f>
        <v>12660468.8917377</v>
      </c>
      <c r="AH47" s="10" t="n">
        <f aca="false">Допущения!$E$23*IF(AH$44&lt;Допущения!$E$27,0,((AH$44-Допущения!$E$27+1)/(36-Допущения!$E$27+1))^Допущения!$E$28)</f>
        <v>13125452.1629862</v>
      </c>
      <c r="AI47" s="10" t="n">
        <f aca="false">Допущения!$E$23*IF(AI$44&lt;Допущения!$E$27,0,((AI$44-Допущения!$E$27+1)/(36-Допущения!$E$27+1))^Допущения!$E$28)</f>
        <v>13591938.0501691</v>
      </c>
      <c r="AJ47" s="10" t="n">
        <f aca="false">Допущения!$E$23*IF(AJ$44&lt;Допущения!$E$27,0,((AJ$44-Допущения!$E$27+1)/(36-Допущения!$E$27+1))^Допущения!$E$28)</f>
        <v>14059884.2120809</v>
      </c>
      <c r="AK47" s="10" t="n">
        <f aca="false">Допущения!$E$23*IF(AK$44&lt;Допущения!$E$27,0,((AK$44-Допущения!$E$27+1)/(36-Допущения!$E$27+1))^Допущения!$E$28)</f>
        <v>14529250.7502191</v>
      </c>
      <c r="AL47" s="10" t="n">
        <f aca="false">Допущения!$E$23*IF(AL$44&lt;Допущения!$E$27,0,((AL$44-Допущения!$E$27+1)/(36-Допущения!$E$27+1))^Допущения!$E$28)</f>
        <v>15000000</v>
      </c>
      <c r="AM47" s="10" t="n">
        <f aca="false">SUM(C47:N47)</f>
        <v>24108974.6089402</v>
      </c>
      <c r="AN47" s="10" t="n">
        <f aca="false">SUM(O47:Z47)</f>
        <v>84154517.2507262</v>
      </c>
      <c r="AO47" s="10" t="n">
        <f aca="false">SUM(AA47:AL47)</f>
        <v>149255376.201498</v>
      </c>
      <c r="AP47" s="10" t="n">
        <f aca="false">SUM(C47:AL47)</f>
        <v>257518868.061165</v>
      </c>
    </row>
    <row r="48" customFormat="false" ht="15" hidden="false" customHeight="false" outlineLevel="0" collapsed="false">
      <c r="A48" s="0" t="s">
        <v>263</v>
      </c>
      <c r="B48" s="0" t="s">
        <v>264</v>
      </c>
      <c r="C48" s="10" t="n">
        <f aca="false">C45*Допущения!$E$24+C46*Допущения!$E$25+C47*Допущения!$E$26</f>
        <v>0</v>
      </c>
      <c r="D48" s="10" t="n">
        <f aca="false">D45*Допущения!$E$24+D46*Допущения!$E$25+D47*Допущения!$E$26</f>
        <v>1071.22064315354</v>
      </c>
      <c r="E48" s="10" t="n">
        <f aca="false">E45*Допущения!$E$24+E46*Допущения!$E$25+E47*Допущения!$E$26</f>
        <v>2296.21171570605</v>
      </c>
      <c r="F48" s="10" t="n">
        <f aca="false">F45*Допущения!$E$24+F46*Допущения!$E$25+F47*Допущения!$E$26</f>
        <v>3586.84255298152</v>
      </c>
      <c r="G48" s="10" t="n">
        <f aca="false">G45*Допущения!$E$24+G46*Допущения!$E$25+G47*Допущения!$E$26</f>
        <v>4922.03756251736</v>
      </c>
      <c r="H48" s="10" t="n">
        <f aca="false">H45*Допущения!$E$24+H46*Допущения!$E$25+H47*Допущения!$E$26</f>
        <v>6291.38029837541</v>
      </c>
      <c r="I48" s="10" t="n">
        <f aca="false">I45*Допущения!$E$24+I46*Допущения!$E$25+I47*Допущения!$E$26</f>
        <v>7688.56532516304</v>
      </c>
      <c r="J48" s="10" t="n">
        <f aca="false">J45*Допущения!$E$24+J46*Допущения!$E$25+J47*Допущения!$E$26</f>
        <v>9109.33717097239</v>
      </c>
      <c r="K48" s="10" t="n">
        <f aca="false">K45*Допущения!$E$24+K46*Допущения!$E$25+K47*Допущения!$E$26</f>
        <v>10550.6184822259</v>
      </c>
      <c r="L48" s="10" t="n">
        <f aca="false">L45*Допущения!$E$24+L46*Допущения!$E$25+L47*Допущения!$E$26</f>
        <v>12010.0742849808</v>
      </c>
      <c r="M48" s="10" t="n">
        <f aca="false">M45*Допущения!$E$24+M46*Допущения!$E$25+M47*Допущения!$E$26</f>
        <v>13485.8688930449</v>
      </c>
      <c r="N48" s="10" t="n">
        <f aca="false">N45*Допущения!$E$24+N46*Допущения!$E$25+N47*Допущения!$E$26</f>
        <v>14976.5191760991</v>
      </c>
      <c r="O48" s="10" t="n">
        <f aca="false">O45*Допущения!$E$24+O46*Допущения!$E$25+O47*Допущения!$E$26</f>
        <v>16480.8005609729</v>
      </c>
      <c r="P48" s="10" t="n">
        <f aca="false">P45*Допущения!$E$24+P46*Допущения!$E$25+P47*Допущения!$E$26</f>
        <v>17997.6839373692</v>
      </c>
      <c r="Q48" s="10" t="n">
        <f aca="false">Q45*Допущения!$E$24+Q46*Допущения!$E$25+Q47*Допущения!$E$26</f>
        <v>19526.2916822873</v>
      </c>
      <c r="R48" s="10" t="n">
        <f aca="false">R45*Допущения!$E$24+R46*Допущения!$E$25+R47*Допущения!$E$26</f>
        <v>21065.8660430314</v>
      </c>
      <c r="S48" s="10" t="n">
        <f aca="false">S45*Допущения!$E$24+S46*Допущения!$E$25+S47*Допущения!$E$26</f>
        <v>22615.7458051892</v>
      </c>
      <c r="T48" s="10" t="n">
        <f aca="false">T45*Допущения!$E$24+T46*Допущения!$E$25+T47*Допущения!$E$26</f>
        <v>24175.3486878732</v>
      </c>
      <c r="U48" s="10" t="n">
        <f aca="false">U45*Допущения!$E$24+U46*Допущения!$E$25+U47*Допущения!$E$26</f>
        <v>25744.157803464</v>
      </c>
      <c r="V48" s="10" t="n">
        <f aca="false">V45*Допущения!$E$24+V46*Допущения!$E$25+V47*Допущения!$E$26</f>
        <v>27321.7110681372</v>
      </c>
      <c r="W48" s="10" t="n">
        <f aca="false">W45*Допущения!$E$24+W46*Допущения!$E$25+W47*Допущения!$E$26</f>
        <v>28907.5927976184</v>
      </c>
      <c r="X48" s="10" t="n">
        <f aca="false">X45*Допущения!$E$24+X46*Допущения!$E$25+X47*Допущения!$E$26</f>
        <v>30501.4269498322</v>
      </c>
      <c r="Y48" s="10" t="n">
        <f aca="false">Y45*Допущения!$E$24+Y46*Допущения!$E$25+Y47*Допущения!$E$26</f>
        <v>32102.8716282178</v>
      </c>
      <c r="Z48" s="10" t="n">
        <f aca="false">Z45*Допущения!$E$24+Z46*Допущения!$E$25+Z47*Допущения!$E$26</f>
        <v>33711.6145635974</v>
      </c>
      <c r="AA48" s="10" t="n">
        <f aca="false">AA45*Допущения!$E$24+AA46*Допущения!$E$25+AA47*Допущения!$E$26</f>
        <v>35327.3693652081</v>
      </c>
      <c r="AB48" s="10" t="n">
        <f aca="false">AB45*Допущения!$E$24+AB46*Допущения!$E$25+AB47*Допущения!$E$26</f>
        <v>36949.8723832126</v>
      </c>
      <c r="AC48" s="10" t="n">
        <f aca="false">AC45*Допущения!$E$24+AC46*Допущения!$E$25+AC47*Допущения!$E$26</f>
        <v>38578.8800623761</v>
      </c>
      <c r="AD48" s="10" t="n">
        <f aca="false">AD45*Допущения!$E$24+AD46*Допущения!$E$25+AD47*Допущения!$E$26</f>
        <v>40214.1666940073</v>
      </c>
      <c r="AE48" s="10" t="n">
        <f aca="false">AE45*Допущения!$E$24+AE46*Допущения!$E$25+AE47*Допущения!$E$26</f>
        <v>41855.5224936373</v>
      </c>
      <c r="AF48" s="10" t="n">
        <f aca="false">AF45*Допущения!$E$24+AF46*Допущения!$E$25+AF47*Допущения!$E$26</f>
        <v>43502.7519472476</v>
      </c>
      <c r="AG48" s="10" t="n">
        <f aca="false">AG45*Допущения!$E$24+AG46*Допущения!$E$25+AG47*Допущения!$E$26</f>
        <v>45155.672380531</v>
      </c>
      <c r="AH48" s="10" t="n">
        <f aca="false">AH45*Допущения!$E$24+AH46*Допущения!$E$25+AH47*Допущения!$E$26</f>
        <v>46814.1127146508</v>
      </c>
      <c r="AI48" s="10" t="n">
        <f aca="false">AI45*Допущения!$E$24+AI46*Допущения!$E$25+AI47*Допущения!$E$26</f>
        <v>48477.9123789366</v>
      </c>
      <c r="AJ48" s="10" t="n">
        <f aca="false">AJ45*Допущения!$E$24+AJ46*Допущения!$E$25+AJ47*Допущения!$E$26</f>
        <v>50146.920356422</v>
      </c>
      <c r="AK48" s="10" t="n">
        <f aca="false">AK45*Допущения!$E$24+AK46*Допущения!$E$25+AK47*Допущения!$E$26</f>
        <v>51820.9943424483</v>
      </c>
      <c r="AL48" s="10" t="n">
        <f aca="false">AL45*Допущения!$E$24+AL46*Допущения!$E$25+AL47*Допущения!$E$26</f>
        <v>53500</v>
      </c>
      <c r="AM48" s="10" t="n">
        <f aca="false">SUM(C48:N48)</f>
        <v>85988.6761052199</v>
      </c>
      <c r="AN48" s="10" t="n">
        <f aca="false">SUM(O48:Z48)</f>
        <v>300151.11152759</v>
      </c>
      <c r="AO48" s="10" t="n">
        <f aca="false">SUM(AA48:AL48)</f>
        <v>532344.175118678</v>
      </c>
      <c r="AP48" s="10" t="n">
        <f aca="false">SUM(C48:AL48)</f>
        <v>918483.962751488</v>
      </c>
    </row>
    <row r="49" customFormat="false" ht="15" hidden="false" customHeight="false" outlineLevel="0" collapsed="false">
      <c r="A49" s="0" t="s">
        <v>265</v>
      </c>
      <c r="B49" s="0" t="s">
        <v>266</v>
      </c>
      <c r="C49" s="10" t="n">
        <f aca="false">C48*Допущения!$E$6*Допущения!$E$7</f>
        <v>0</v>
      </c>
      <c r="D49" s="10" t="n">
        <f aca="false">D48*Допущения!$E$6*Допущения!$E$7</f>
        <v>80.3415482365157</v>
      </c>
      <c r="E49" s="10" t="n">
        <f aca="false">E48*Допущения!$E$6*Допущения!$E$7</f>
        <v>172.215878677954</v>
      </c>
      <c r="F49" s="10" t="n">
        <f aca="false">F48*Допущения!$E$6*Допущения!$E$7</f>
        <v>269.013191473614</v>
      </c>
      <c r="G49" s="10" t="n">
        <f aca="false">G48*Допущения!$E$6*Допущения!$E$7</f>
        <v>369.152817188802</v>
      </c>
      <c r="H49" s="10" t="n">
        <f aca="false">H48*Допущения!$E$6*Допущения!$E$7</f>
        <v>471.853522378156</v>
      </c>
      <c r="I49" s="10" t="n">
        <f aca="false">I48*Допущения!$E$6*Допущения!$E$7</f>
        <v>576.642399387228</v>
      </c>
      <c r="J49" s="10" t="n">
        <f aca="false">J48*Допущения!$E$6*Допущения!$E$7</f>
        <v>683.20028782293</v>
      </c>
      <c r="K49" s="10" t="n">
        <f aca="false">K48*Допущения!$E$6*Допущения!$E$7</f>
        <v>791.296386166939</v>
      </c>
      <c r="L49" s="10" t="n">
        <f aca="false">L48*Допущения!$E$6*Допущения!$E$7</f>
        <v>900.755571373561</v>
      </c>
      <c r="M49" s="10" t="n">
        <f aca="false">M48*Допущения!$E$6*Допущения!$E$7</f>
        <v>1011.44016697836</v>
      </c>
      <c r="N49" s="10" t="n">
        <f aca="false">N48*Допущения!$E$6*Допущения!$E$7</f>
        <v>1123.23893820743</v>
      </c>
      <c r="O49" s="10" t="n">
        <f aca="false">O48*Допущения!$E$6*Допущения!$E$7</f>
        <v>1236.06004207297</v>
      </c>
      <c r="P49" s="10" t="n">
        <f aca="false">P48*Допущения!$E$6*Допущения!$E$7</f>
        <v>1349.82629530269</v>
      </c>
      <c r="Q49" s="10" t="n">
        <f aca="false">Q48*Допущения!$E$6*Допущения!$E$7</f>
        <v>1464.47187617155</v>
      </c>
      <c r="R49" s="10" t="n">
        <f aca="false">R48*Допущения!$E$6*Допущения!$E$7</f>
        <v>1579.93995322736</v>
      </c>
      <c r="S49" s="10" t="n">
        <f aca="false">S48*Допущения!$E$6*Допущения!$E$7</f>
        <v>1696.18093538919</v>
      </c>
      <c r="T49" s="10" t="n">
        <f aca="false">T48*Допущения!$E$6*Допущения!$E$7</f>
        <v>1813.15115159049</v>
      </c>
      <c r="U49" s="10" t="n">
        <f aca="false">U48*Допущения!$E$6*Допущения!$E$7</f>
        <v>1930.8118352598</v>
      </c>
      <c r="V49" s="10" t="n">
        <f aca="false">V48*Допущения!$E$6*Допущения!$E$7</f>
        <v>2049.12833011029</v>
      </c>
      <c r="W49" s="10" t="n">
        <f aca="false">W48*Допущения!$E$6*Допущения!$E$7</f>
        <v>2168.06945982138</v>
      </c>
      <c r="X49" s="10" t="n">
        <f aca="false">X48*Допущения!$E$6*Допущения!$E$7</f>
        <v>2287.60702123742</v>
      </c>
      <c r="Y49" s="10" t="n">
        <f aca="false">Y48*Допущения!$E$6*Допущения!$E$7</f>
        <v>2407.71537211634</v>
      </c>
      <c r="Z49" s="10" t="n">
        <f aca="false">Z48*Допущения!$E$6*Допущения!$E$7</f>
        <v>2528.37109226981</v>
      </c>
      <c r="AA49" s="10" t="n">
        <f aca="false">AA48*Допущения!$E$6*Допущения!$E$7</f>
        <v>2649.55270239061</v>
      </c>
      <c r="AB49" s="10" t="n">
        <f aca="false">AB48*Допущения!$E$6*Допущения!$E$7</f>
        <v>2771.24042874094</v>
      </c>
      <c r="AC49" s="10" t="n">
        <f aca="false">AC48*Допущения!$E$6*Допущения!$E$7</f>
        <v>2893.4160046782</v>
      </c>
      <c r="AD49" s="10" t="n">
        <f aca="false">AD48*Допущения!$E$6*Допущения!$E$7</f>
        <v>3016.06250205055</v>
      </c>
      <c r="AE49" s="10" t="n">
        <f aca="false">AE48*Допущения!$E$6*Допущения!$E$7</f>
        <v>3139.1641870228</v>
      </c>
      <c r="AF49" s="10" t="n">
        <f aca="false">AF48*Допущения!$E$6*Допущения!$E$7</f>
        <v>3262.70639604357</v>
      </c>
      <c r="AG49" s="10" t="n">
        <f aca="false">AG48*Допущения!$E$6*Допущения!$E$7</f>
        <v>3386.67542853982</v>
      </c>
      <c r="AH49" s="10" t="n">
        <f aca="false">AH48*Допущения!$E$6*Допущения!$E$7</f>
        <v>3511.05845359881</v>
      </c>
      <c r="AI49" s="10" t="n">
        <f aca="false">AI48*Допущения!$E$6*Допущения!$E$7</f>
        <v>3635.84342842025</v>
      </c>
      <c r="AJ49" s="10" t="n">
        <f aca="false">AJ48*Допущения!$E$6*Допущения!$E$7</f>
        <v>3761.01902673165</v>
      </c>
      <c r="AK49" s="10" t="n">
        <f aca="false">AK48*Допущения!$E$6*Допущения!$E$7</f>
        <v>3886.57457568362</v>
      </c>
      <c r="AL49" s="10" t="n">
        <f aca="false">AL48*Допущения!$E$6*Допущения!$E$7</f>
        <v>4012.5</v>
      </c>
      <c r="AM49" s="10" t="n">
        <f aca="false">SUM(C49:N49)</f>
        <v>6449.15070789149</v>
      </c>
      <c r="AN49" s="10" t="n">
        <f aca="false">SUM(O49:Z49)</f>
        <v>22511.3333645693</v>
      </c>
      <c r="AO49" s="10" t="n">
        <f aca="false">SUM(AA49:AL49)</f>
        <v>39925.8131339008</v>
      </c>
      <c r="AP49" s="10" t="n">
        <f aca="false">SUM(C49:AL49)</f>
        <v>68886.2972063616</v>
      </c>
    </row>
    <row r="50" customFormat="false" ht="15" hidden="false" customHeight="false" outlineLevel="0" collapsed="false">
      <c r="A50" s="0" t="s">
        <v>267</v>
      </c>
      <c r="B50" s="0" t="s">
        <v>268</v>
      </c>
      <c r="C50" s="10" t="n">
        <f aca="false">C49*Допущения!$E$4</f>
        <v>0</v>
      </c>
      <c r="D50" s="10" t="n">
        <f aca="false">D49*Допущения!$E$4</f>
        <v>160683.096473031</v>
      </c>
      <c r="E50" s="10" t="n">
        <f aca="false">E49*Допущения!$E$4</f>
        <v>344431.757355908</v>
      </c>
      <c r="F50" s="10" t="n">
        <f aca="false">F49*Допущения!$E$4</f>
        <v>538026.382947228</v>
      </c>
      <c r="G50" s="10" t="n">
        <f aca="false">G49*Допущения!$E$4</f>
        <v>738305.634377604</v>
      </c>
      <c r="H50" s="10" t="n">
        <f aca="false">H49*Допущения!$E$4</f>
        <v>943707.044756311</v>
      </c>
      <c r="I50" s="10" t="n">
        <f aca="false">I49*Допущения!$E$4</f>
        <v>1153284.79877446</v>
      </c>
      <c r="J50" s="10" t="n">
        <f aca="false">J49*Допущения!$E$4</f>
        <v>1366400.57564586</v>
      </c>
      <c r="K50" s="10" t="n">
        <f aca="false">K49*Допущения!$E$4</f>
        <v>1582592.77233388</v>
      </c>
      <c r="L50" s="10" t="n">
        <f aca="false">L49*Допущения!$E$4</f>
        <v>1801511.14274712</v>
      </c>
      <c r="M50" s="10" t="n">
        <f aca="false">M49*Допущения!$E$4</f>
        <v>2022880.33395673</v>
      </c>
      <c r="N50" s="10" t="n">
        <f aca="false">N49*Допущения!$E$4</f>
        <v>2246477.87641486</v>
      </c>
      <c r="O50" s="10" t="n">
        <f aca="false">O49*Допущения!$E$4</f>
        <v>2472120.08414594</v>
      </c>
      <c r="P50" s="10" t="n">
        <f aca="false">P49*Допущения!$E$4</f>
        <v>2699652.59060538</v>
      </c>
      <c r="Q50" s="10" t="n">
        <f aca="false">Q49*Допущения!$E$4</f>
        <v>2928943.75234309</v>
      </c>
      <c r="R50" s="10" t="n">
        <f aca="false">R49*Допущения!$E$4</f>
        <v>3159879.90645471</v>
      </c>
      <c r="S50" s="10" t="n">
        <f aca="false">S49*Допущения!$E$4</f>
        <v>3392361.87077838</v>
      </c>
      <c r="T50" s="10" t="n">
        <f aca="false">T49*Допущения!$E$4</f>
        <v>3626302.30318099</v>
      </c>
      <c r="U50" s="10" t="n">
        <f aca="false">U49*Допущения!$E$4</f>
        <v>3861623.67051959</v>
      </c>
      <c r="V50" s="10" t="n">
        <f aca="false">V49*Допущения!$E$4</f>
        <v>4098256.66022058</v>
      </c>
      <c r="W50" s="10" t="n">
        <f aca="false">W49*Допущения!$E$4</f>
        <v>4336138.91964275</v>
      </c>
      <c r="X50" s="10" t="n">
        <f aca="false">X49*Допущения!$E$4</f>
        <v>4575214.04247483</v>
      </c>
      <c r="Y50" s="10" t="n">
        <f aca="false">Y49*Допущения!$E$4</f>
        <v>4815430.74423267</v>
      </c>
      <c r="Z50" s="10" t="n">
        <f aca="false">Z49*Допущения!$E$4</f>
        <v>5056742.18453961</v>
      </c>
      <c r="AA50" s="10" t="n">
        <f aca="false">AA49*Допущения!$E$4</f>
        <v>5299105.40478121</v>
      </c>
      <c r="AB50" s="10" t="n">
        <f aca="false">AB49*Допущения!$E$4</f>
        <v>5542480.85748188</v>
      </c>
      <c r="AC50" s="10" t="n">
        <f aca="false">AC49*Допущения!$E$4</f>
        <v>5786832.00935641</v>
      </c>
      <c r="AD50" s="10" t="n">
        <f aca="false">AD49*Допущения!$E$4</f>
        <v>6032125.00410109</v>
      </c>
      <c r="AE50" s="10" t="n">
        <f aca="false">AE49*Допущения!$E$4</f>
        <v>6278328.3740456</v>
      </c>
      <c r="AF50" s="10" t="n">
        <f aca="false">AF49*Допущения!$E$4</f>
        <v>6525412.79208715</v>
      </c>
      <c r="AG50" s="10" t="n">
        <f aca="false">AG49*Допущения!$E$4</f>
        <v>6773350.85707965</v>
      </c>
      <c r="AH50" s="10" t="n">
        <f aca="false">AH49*Допущения!$E$4</f>
        <v>7022116.90719761</v>
      </c>
      <c r="AI50" s="10" t="n">
        <f aca="false">AI49*Допущения!$E$4</f>
        <v>7271686.85684049</v>
      </c>
      <c r="AJ50" s="10" t="n">
        <f aca="false">AJ49*Допущения!$E$4</f>
        <v>7522038.05346331</v>
      </c>
      <c r="AK50" s="10" t="n">
        <f aca="false">AK49*Допущения!$E$4</f>
        <v>7773149.15136724</v>
      </c>
      <c r="AL50" s="10" t="n">
        <f aca="false">AL49*Допущения!$E$4</f>
        <v>8025000</v>
      </c>
      <c r="AM50" s="10" t="n">
        <f aca="false">SUM(C50:N50)</f>
        <v>12898301.415783</v>
      </c>
      <c r="AN50" s="10" t="n">
        <f aca="false">SUM(O50:Z50)</f>
        <v>45022666.7291385</v>
      </c>
      <c r="AO50" s="10" t="n">
        <f aca="false">SUM(AA50:AL50)</f>
        <v>79851626.2678016</v>
      </c>
      <c r="AP50" s="10" t="n">
        <f aca="false">SUM(C50:AL50)</f>
        <v>137772594.412723</v>
      </c>
    </row>
    <row r="51" customFormat="false" ht="15" hidden="false" customHeight="false" outlineLevel="0" collapsed="false">
      <c r="A51" s="0" t="s">
        <v>269</v>
      </c>
      <c r="B51" s="0" t="s">
        <v>270</v>
      </c>
      <c r="C51" s="10" t="n">
        <f aca="false">C50*Допущения!$E$5</f>
        <v>0</v>
      </c>
      <c r="D51" s="10" t="n">
        <f aca="false">D50*Допущения!$E$5</f>
        <v>28922.9573651456</v>
      </c>
      <c r="E51" s="10" t="n">
        <f aca="false">E50*Допущения!$E$5</f>
        <v>61997.7163240634</v>
      </c>
      <c r="F51" s="10" t="n">
        <f aca="false">F50*Допущения!$E$5</f>
        <v>96844.748930501</v>
      </c>
      <c r="G51" s="10" t="n">
        <f aca="false">G50*Допущения!$E$5</f>
        <v>132895.014187969</v>
      </c>
      <c r="H51" s="10" t="n">
        <f aca="false">H50*Допущения!$E$5</f>
        <v>169867.268056136</v>
      </c>
      <c r="I51" s="10" t="n">
        <f aca="false">I50*Допущения!$E$5</f>
        <v>207591.263779402</v>
      </c>
      <c r="J51" s="10" t="n">
        <f aca="false">J50*Допущения!$E$5</f>
        <v>245952.103616255</v>
      </c>
      <c r="K51" s="10" t="n">
        <f aca="false">K50*Допущения!$E$5</f>
        <v>284866.699020098</v>
      </c>
      <c r="L51" s="10" t="n">
        <f aca="false">L50*Допущения!$E$5</f>
        <v>324272.005694482</v>
      </c>
      <c r="M51" s="10" t="n">
        <f aca="false">M50*Допущения!$E$5</f>
        <v>364118.460112211</v>
      </c>
      <c r="N51" s="10" t="n">
        <f aca="false">N50*Допущения!$E$5</f>
        <v>404366.017754675</v>
      </c>
      <c r="O51" s="10" t="n">
        <f aca="false">O50*Допущения!$E$5</f>
        <v>444981.615146269</v>
      </c>
      <c r="P51" s="10" t="n">
        <f aca="false">P50*Допущения!$E$5</f>
        <v>485937.466308969</v>
      </c>
      <c r="Q51" s="10" t="n">
        <f aca="false">Q50*Допущения!$E$5</f>
        <v>527209.875421757</v>
      </c>
      <c r="R51" s="10" t="n">
        <f aca="false">R50*Допущения!$E$5</f>
        <v>568778.383161848</v>
      </c>
      <c r="S51" s="10" t="n">
        <f aca="false">S50*Допущения!$E$5</f>
        <v>610625.136740109</v>
      </c>
      <c r="T51" s="10" t="n">
        <f aca="false">T50*Допущения!$E$5</f>
        <v>652734.414572577</v>
      </c>
      <c r="U51" s="10" t="n">
        <f aca="false">U50*Допущения!$E$5</f>
        <v>695092.260693527</v>
      </c>
      <c r="V51" s="10" t="n">
        <f aca="false">V50*Допущения!$E$5</f>
        <v>737686.198839705</v>
      </c>
      <c r="W51" s="10" t="n">
        <f aca="false">W50*Допущения!$E$5</f>
        <v>780505.005535696</v>
      </c>
      <c r="X51" s="10" t="n">
        <f aca="false">X50*Допущения!$E$5</f>
        <v>823538.52764547</v>
      </c>
      <c r="Y51" s="10" t="n">
        <f aca="false">Y50*Допущения!$E$5</f>
        <v>866777.533961881</v>
      </c>
      <c r="Z51" s="10" t="n">
        <f aca="false">Z50*Допущения!$E$5</f>
        <v>910213.59321713</v>
      </c>
      <c r="AA51" s="10" t="n">
        <f aca="false">AA50*Допущения!$E$5</f>
        <v>953838.972860619</v>
      </c>
      <c r="AB51" s="10" t="n">
        <f aca="false">AB50*Допущения!$E$5</f>
        <v>997646.554346739</v>
      </c>
      <c r="AC51" s="10" t="n">
        <f aca="false">AC50*Допущения!$E$5</f>
        <v>1041629.76168415</v>
      </c>
      <c r="AD51" s="10" t="n">
        <f aca="false">AD50*Допущения!$E$5</f>
        <v>1085782.5007382</v>
      </c>
      <c r="AE51" s="10" t="n">
        <f aca="false">AE50*Допущения!$E$5</f>
        <v>1130099.10732821</v>
      </c>
      <c r="AF51" s="10" t="n">
        <f aca="false">AF50*Допущения!$E$5</f>
        <v>1174574.30257569</v>
      </c>
      <c r="AG51" s="10" t="n">
        <f aca="false">AG50*Допущения!$E$5</f>
        <v>1219203.15427434</v>
      </c>
      <c r="AH51" s="10" t="n">
        <f aca="false">AH50*Допущения!$E$5</f>
        <v>1263981.04329557</v>
      </c>
      <c r="AI51" s="10" t="n">
        <f aca="false">AI50*Допущения!$E$5</f>
        <v>1308903.63423129</v>
      </c>
      <c r="AJ51" s="10" t="n">
        <f aca="false">AJ50*Допущения!$E$5</f>
        <v>1353966.8496234</v>
      </c>
      <c r="AK51" s="10" t="n">
        <f aca="false">AK50*Допущения!$E$5</f>
        <v>1399166.8472461</v>
      </c>
      <c r="AL51" s="10" t="n">
        <f aca="false">AL50*Допущения!$E$5</f>
        <v>1444500</v>
      </c>
      <c r="AM51" s="10" t="n">
        <f aca="false">SUM(C51:N51)</f>
        <v>2321694.25484094</v>
      </c>
      <c r="AN51" s="10" t="n">
        <f aca="false">SUM(O51:Z51)</f>
        <v>8104080.01124494</v>
      </c>
      <c r="AO51" s="10" t="n">
        <f aca="false">SUM(AA51:AL51)</f>
        <v>14373292.7282043</v>
      </c>
      <c r="AP51" s="10" t="n">
        <f aca="false">SUM(C51:AL51)</f>
        <v>24799066.9942902</v>
      </c>
    </row>
    <row r="52" customFormat="false" ht="15" hidden="false" customHeight="false" outlineLevel="0" collapsed="false">
      <c r="A52" s="0" t="s">
        <v>271</v>
      </c>
      <c r="B52" s="0" t="s">
        <v>272</v>
      </c>
      <c r="C52" s="10" t="n">
        <f aca="false">C45/1000*Допущения!$E$8</f>
        <v>0</v>
      </c>
      <c r="D52" s="10" t="n">
        <f aca="false">D45/1000*Допущения!$E$8</f>
        <v>1201.36894559276</v>
      </c>
      <c r="E52" s="10" t="n">
        <f aca="false">E45/1000*Допущения!$E$8</f>
        <v>2575.19070920305</v>
      </c>
      <c r="F52" s="10" t="n">
        <f aca="false">F45/1000*Допущения!$E$8</f>
        <v>4022.62716222226</v>
      </c>
      <c r="G52" s="10" t="n">
        <f aca="false">G45/1000*Допущения!$E$8</f>
        <v>5520.04212618769</v>
      </c>
      <c r="H52" s="10" t="n">
        <f aca="false">H45/1000*Допущения!$E$8</f>
        <v>7055.75360565466</v>
      </c>
      <c r="I52" s="10" t="n">
        <f aca="false">I45/1000*Допущения!$E$8</f>
        <v>8622.69008429499</v>
      </c>
      <c r="J52" s="10" t="n">
        <f aca="false">J45/1000*Допущения!$E$8</f>
        <v>10216.0790702494</v>
      </c>
      <c r="K52" s="10" t="n">
        <f aca="false">K45/1000*Допущения!$E$8</f>
        <v>11832.4693258608</v>
      </c>
      <c r="L52" s="10" t="n">
        <f aca="false">L45/1000*Допущения!$E$8</f>
        <v>13469.2421887635</v>
      </c>
      <c r="M52" s="10" t="n">
        <f aca="false">M45/1000*Допущения!$E$8</f>
        <v>15124.3389454709</v>
      </c>
      <c r="N52" s="10" t="n">
        <f aca="false">N45/1000*Допущения!$E$8</f>
        <v>16796.0962722607</v>
      </c>
      <c r="O52" s="10" t="n">
        <f aca="false">O45/1000*Допущения!$E$8</f>
        <v>18483.1408160444</v>
      </c>
      <c r="P52" s="10" t="n">
        <f aca="false">P45/1000*Допущения!$E$8</f>
        <v>20184.3184344328</v>
      </c>
      <c r="Q52" s="10" t="n">
        <f aca="false">Q45/1000*Допущения!$E$8</f>
        <v>21898.6448773315</v>
      </c>
      <c r="R52" s="10" t="n">
        <f aca="false">R45/1000*Допущения!$E$8</f>
        <v>23625.2703286333</v>
      </c>
      <c r="S52" s="10" t="n">
        <f aca="false">S45/1000*Допущения!$E$8</f>
        <v>25363.4532394646</v>
      </c>
      <c r="T52" s="10" t="n">
        <f aca="false">T45/1000*Допущения!$E$8</f>
        <v>27112.5405845307</v>
      </c>
      <c r="U52" s="10" t="n">
        <f aca="false">U45/1000*Допущения!$E$8</f>
        <v>28871.952676782</v>
      </c>
      <c r="V52" s="10" t="n">
        <f aca="false">V45/1000*Допущения!$E$8</f>
        <v>30641.1712913688</v>
      </c>
      <c r="W52" s="10" t="n">
        <f aca="false">W45/1000*Допущения!$E$8</f>
        <v>32419.7302403196</v>
      </c>
      <c r="X52" s="10" t="n">
        <f aca="false">X45/1000*Допущения!$E$8</f>
        <v>34207.2077942044</v>
      </c>
      <c r="Y52" s="10" t="n">
        <f aca="false">Y45/1000*Допущения!$E$8</f>
        <v>36003.2205176275</v>
      </c>
      <c r="Z52" s="10" t="n">
        <f aca="false">Z45/1000*Допущения!$E$8</f>
        <v>37807.4182021653</v>
      </c>
      <c r="AA52" s="10" t="n">
        <f aca="false">AA45/1000*Допущения!$E$8</f>
        <v>39619.4796619156</v>
      </c>
      <c r="AB52" s="10" t="n">
        <f aca="false">AB45/1000*Допущения!$E$8</f>
        <v>41439.1092148178</v>
      </c>
      <c r="AC52" s="10" t="n">
        <f aca="false">AC45/1000*Допущения!$E$8</f>
        <v>43266.0337148143</v>
      </c>
      <c r="AD52" s="10" t="n">
        <f aca="false">AD45/1000*Допущения!$E$8</f>
        <v>45100.0000306624</v>
      </c>
      <c r="AE52" s="10" t="n">
        <f aca="false">AE45/1000*Допущения!$E$8</f>
        <v>46940.7728900606</v>
      </c>
      <c r="AF52" s="10" t="n">
        <f aca="false">AF45/1000*Допущения!$E$8</f>
        <v>48788.1330249506</v>
      </c>
      <c r="AG52" s="10" t="n">
        <f aca="false">AG45/1000*Допущения!$E$8</f>
        <v>50641.8755669506</v>
      </c>
      <c r="AH52" s="10" t="n">
        <f aca="false">AH45/1000*Допущения!$E$8</f>
        <v>52501.8086519448</v>
      </c>
      <c r="AI52" s="10" t="n">
        <f aca="false">AI45/1000*Допущения!$E$8</f>
        <v>54367.7522006766</v>
      </c>
      <c r="AJ52" s="10" t="n">
        <f aca="false">AJ45/1000*Допущения!$E$8</f>
        <v>56239.5368483238</v>
      </c>
      <c r="AK52" s="10" t="n">
        <f aca="false">AK45/1000*Допущения!$E$8</f>
        <v>58117.0030008766</v>
      </c>
      <c r="AL52" s="10" t="n">
        <f aca="false">AL45/1000*Допущения!$E$8</f>
        <v>60000</v>
      </c>
      <c r="AM52" s="10" t="n">
        <f aca="false">SUM(C52:N52)</f>
        <v>96435.8984357606</v>
      </c>
      <c r="AN52" s="10" t="n">
        <f aca="false">SUM(O52:Z52)</f>
        <v>336618.069002905</v>
      </c>
      <c r="AO52" s="10" t="n">
        <f aca="false">SUM(AA52:AL52)</f>
        <v>597021.504805994</v>
      </c>
      <c r="AP52" s="10" t="n">
        <f aca="false">SUM(C52:AL52)</f>
        <v>1030075.47224466</v>
      </c>
    </row>
    <row r="53" customFormat="false" ht="15" hidden="false" customHeight="false" outlineLevel="0" collapsed="false">
      <c r="A53" s="0" t="s">
        <v>273</v>
      </c>
      <c r="B53" s="0" t="s">
        <v>274</v>
      </c>
      <c r="C53" s="10" t="n">
        <f aca="false">IF(C46&gt;=10000,C46*Допущения!$E$11*Допущения!$E$10/1000*Допущения!$E$12*(1-Допущения!$E$14),0)</f>
        <v>0</v>
      </c>
      <c r="D53" s="10" t="n">
        <f aca="false">IF(D46&gt;=10000,D46*Допущения!$E$11*Допущения!$E$10/1000*Допущения!$E$12*(1-Допущения!$E$14),0)</f>
        <v>0</v>
      </c>
      <c r="E53" s="10" t="n">
        <f aca="false">IF(E46&gt;=10000,E46*Допущения!$E$11*Допущения!$E$10/1000*Допущения!$E$12*(1-Допущения!$E$14),0)</f>
        <v>0</v>
      </c>
      <c r="F53" s="10" t="n">
        <f aca="false">IF(F46&gt;=10000,F46*Допущения!$E$11*Допущения!$E$10/1000*Допущения!$E$12*(1-Допущения!$E$14),0)</f>
        <v>0</v>
      </c>
      <c r="G53" s="10" t="n">
        <f aca="false">IF(G46&gt;=10000,G46*Допущения!$E$11*Допущения!$E$10/1000*Допущения!$E$12*(1-Допущения!$E$14),0)</f>
        <v>0</v>
      </c>
      <c r="H53" s="10" t="n">
        <f aca="false">IF(H46&gt;=10000,H46*Допущения!$E$11*Допущения!$E$10/1000*Допущения!$E$12*(1-Допущения!$E$14),0)</f>
        <v>0</v>
      </c>
      <c r="I53" s="10" t="n">
        <f aca="false">IF(I46&gt;=10000,I46*Допущения!$E$11*Допущения!$E$10/1000*Допущения!$E$12*(1-Допущения!$E$14),0)</f>
        <v>0</v>
      </c>
      <c r="J53" s="10" t="n">
        <f aca="false">IF(J46&gt;=10000,J46*Допущения!$E$11*Допущения!$E$10/1000*Допущения!$E$12*(1-Допущения!$E$14),0)</f>
        <v>28233.1561185413</v>
      </c>
      <c r="K53" s="10" t="n">
        <f aca="false">IF(K46&gt;=10000,K46*Допущения!$E$11*Допущения!$E$10/1000*Допущения!$E$12*(1-Допущения!$E$14),0)</f>
        <v>32700.2122289488</v>
      </c>
      <c r="L53" s="10" t="n">
        <f aca="false">IF(L46&gt;=10000,L46*Допущения!$E$11*Допущения!$E$10/1000*Допущения!$E$12*(1-Допущения!$E$14),0)</f>
        <v>37223.5977128669</v>
      </c>
      <c r="M53" s="10" t="n">
        <f aca="false">IF(M46&gt;=10000,M46*Допущения!$E$11*Допущения!$E$10/1000*Допущения!$E$12*(1-Допущения!$E$14),0)</f>
        <v>41797.6231097033</v>
      </c>
      <c r="N53" s="10" t="n">
        <f aca="false">IF(N46&gt;=10000,N46*Допущения!$E$11*Допущения!$E$10/1000*Допущения!$E$12*(1-Допущения!$E$14),0)</f>
        <v>46417.6916580195</v>
      </c>
      <c r="O53" s="10" t="n">
        <f aca="false">IF(O46&gt;=10000,O46*Допущения!$E$11*Допущения!$E$10/1000*Допущения!$E$12*(1-Допущения!$E$14),0)</f>
        <v>51080.0079592203</v>
      </c>
      <c r="P53" s="10" t="n">
        <f aca="false">IF(P46&gt;=10000,P46*Допущения!$E$11*Допущения!$E$10/1000*Допущения!$E$12*(1-Допущения!$E$14),0)</f>
        <v>55781.3824253984</v>
      </c>
      <c r="Q53" s="10" t="n">
        <f aca="false">IF(Q46&gt;=10000,Q46*Допущения!$E$11*Допущения!$E$10/1000*Допущения!$E$12*(1-Допущения!$E$14),0)</f>
        <v>60519.0949829935</v>
      </c>
      <c r="R53" s="10" t="n">
        <f aca="false">IF(R46&gt;=10000,R46*Допущения!$E$11*Допущения!$E$10/1000*Допущения!$E$12*(1-Допущения!$E$14),0)</f>
        <v>65290.7970802111</v>
      </c>
      <c r="S53" s="10" t="n">
        <f aca="false">IF(S46&gt;=10000,S46*Допущения!$E$11*Допущения!$E$10/1000*Допущения!$E$12*(1-Допущения!$E$14),0)</f>
        <v>70094.4393725843</v>
      </c>
      <c r="T53" s="10" t="n">
        <f aca="false">IF(T46&gt;=10000,T46*Допущения!$E$11*Допущения!$E$10/1000*Допущения!$E$12*(1-Допущения!$E$14),0)</f>
        <v>74928.2171594091</v>
      </c>
      <c r="U53" s="10" t="n">
        <f aca="false">IF(U46&gt;=10000,U46*Допущения!$E$11*Допущения!$E$10/1000*Допущения!$E$12*(1-Допущения!$E$14),0)</f>
        <v>79790.5284175547</v>
      </c>
      <c r="V53" s="10" t="n">
        <f aca="false">IF(V46&gt;=10000,V46*Допущения!$E$11*Допущения!$E$10/1000*Допущения!$E$12*(1-Допущения!$E$14),0)</f>
        <v>84679.9409808269</v>
      </c>
      <c r="W53" s="10" t="n">
        <f aca="false">IF(W46&gt;=10000,W46*Допущения!$E$11*Допущения!$E$10/1000*Допущения!$E$12*(1-Допущения!$E$14),0)</f>
        <v>89595.1664921474</v>
      </c>
      <c r="X53" s="10" t="n">
        <f aca="false">IF(X46&gt;=10000,X46*Допущения!$E$11*Допущения!$E$10/1000*Допущения!$E$12*(1-Допущения!$E$14),0)</f>
        <v>94535.0394600631</v>
      </c>
      <c r="Y53" s="10" t="n">
        <f aca="false">IF(Y46&gt;=10000,Y46*Допущения!$E$11*Допущения!$E$10/1000*Допущения!$E$12*(1-Допущения!$E$14),0)</f>
        <v>99498.5002225152</v>
      </c>
      <c r="Z53" s="10" t="n">
        <f aca="false">IF(Z46&gt;=10000,Z46*Допущения!$E$11*Допущения!$E$10/1000*Допущения!$E$12*(1-Допущения!$E$14),0)</f>
        <v>104484.580943504</v>
      </c>
      <c r="AA53" s="10" t="n">
        <f aca="false">IF(AA46&gt;=10000,AA46*Допущения!$E$11*Допущения!$E$10/1000*Допущения!$E$12*(1-Допущения!$E$14),0)</f>
        <v>109492.39399367</v>
      </c>
      <c r="AB53" s="10" t="n">
        <f aca="false">IF(AB46&gt;=10000,AB46*Допущения!$E$11*Допущения!$E$10/1000*Допущения!$E$12*(1-Допущения!$E$14),0)</f>
        <v>114521.12222607</v>
      </c>
      <c r="AC53" s="10" t="n">
        <f aca="false">IF(AC46&gt;=10000,AC46*Допущения!$E$11*Допущения!$E$10/1000*Допущения!$E$12*(1-Допущения!$E$14),0)</f>
        <v>119570.010774261</v>
      </c>
      <c r="AD53" s="10" t="n">
        <f aca="false">IF(AD46&gt;=10000,AD46*Допущения!$E$11*Допущения!$E$10/1000*Допущения!$E$12*(1-Допущения!$E$14),0)</f>
        <v>124638.360084739</v>
      </c>
      <c r="AE53" s="10" t="n">
        <f aca="false">IF(AE46&gt;=10000,AE46*Допущения!$E$11*Допущения!$E$10/1000*Допущения!$E$12*(1-Допущения!$E$14),0)</f>
        <v>129725.519958971</v>
      </c>
      <c r="AF53" s="10" t="n">
        <f aca="false">IF(AF46&gt;=10000,AF46*Допущения!$E$11*Допущения!$E$10/1000*Допущения!$E$12*(1-Допущения!$E$14),0)</f>
        <v>134830.884427753</v>
      </c>
      <c r="AG53" s="10" t="n">
        <f aca="false">IF(AG46&gt;=10000,AG46*Допущения!$E$11*Допущения!$E$10/1000*Допущения!$E$12*(1-Допущения!$E$14),0)</f>
        <v>139953.887316825</v>
      </c>
      <c r="AH53" s="10" t="n">
        <f aca="false">IF(AH46&gt;=10000,AH46*Допущения!$E$11*Допущения!$E$10/1000*Допущения!$E$12*(1-Допущения!$E$14),0)</f>
        <v>145093.998390515</v>
      </c>
      <c r="AI53" s="10" t="n">
        <f aca="false">IF(AI46&gt;=10000,AI46*Допущения!$E$11*Допущения!$E$10/1000*Допущения!$E$12*(1-Допущения!$E$14),0)</f>
        <v>150250.71998179</v>
      </c>
      <c r="AJ53" s="10" t="n">
        <f aca="false">IF(AJ46&gt;=10000,AJ46*Допущения!$E$11*Допущения!$E$10/1000*Допущения!$E$12*(1-Допущения!$E$14),0)</f>
        <v>155423.584034028</v>
      </c>
      <c r="AK53" s="10" t="n">
        <f aca="false">IF(AK46&gt;=10000,AK46*Допущения!$E$11*Допущения!$E$10/1000*Допущения!$E$12*(1-Допущения!$E$14),0)</f>
        <v>160612.149493222</v>
      </c>
      <c r="AL53" s="10" t="n">
        <f aca="false">IF(AL46&gt;=10000,AL46*Допущения!$E$11*Допущения!$E$10/1000*Допущения!$E$12*(1-Допущения!$E$14),0)</f>
        <v>165816</v>
      </c>
      <c r="AM53" s="10" t="n">
        <f aca="false">SUM(C53:N53)</f>
        <v>186372.28082808</v>
      </c>
      <c r="AN53" s="10" t="n">
        <f aca="false">SUM(O53:Z53)</f>
        <v>930277.695496428</v>
      </c>
      <c r="AO53" s="10" t="n">
        <f aca="false">SUM(AA53:AL53)</f>
        <v>1649928.63068184</v>
      </c>
      <c r="AP53" s="10" t="n">
        <f aca="false">SUM(C53:AL53)</f>
        <v>2766578.60700635</v>
      </c>
    </row>
    <row r="54" customFormat="false" ht="15" hidden="false" customHeight="false" outlineLevel="0" collapsed="false">
      <c r="A54" s="0" t="s">
        <v>275</v>
      </c>
      <c r="B54" s="0" t="s">
        <v>276</v>
      </c>
      <c r="C54" s="10" t="n">
        <f aca="false">C51+C52+C53</f>
        <v>0</v>
      </c>
      <c r="D54" s="10" t="n">
        <f aca="false">D51+D52+D53</f>
        <v>30124.3263107384</v>
      </c>
      <c r="E54" s="10" t="n">
        <f aca="false">E51+E52+E53</f>
        <v>64572.9070332665</v>
      </c>
      <c r="F54" s="10" t="n">
        <f aca="false">F51+F52+F53</f>
        <v>100867.376092723</v>
      </c>
      <c r="G54" s="10" t="n">
        <f aca="false">G51+G52+G53</f>
        <v>138415.056314156</v>
      </c>
      <c r="H54" s="10" t="n">
        <f aca="false">H51+H52+H53</f>
        <v>176923.021661791</v>
      </c>
      <c r="I54" s="10" t="n">
        <f aca="false">I51+I52+I53</f>
        <v>216213.953863697</v>
      </c>
      <c r="J54" s="10" t="n">
        <f aca="false">J51+J52+J53</f>
        <v>284401.338805045</v>
      </c>
      <c r="K54" s="10" t="n">
        <f aca="false">K51+K52+K53</f>
        <v>329399.380574908</v>
      </c>
      <c r="L54" s="10" t="n">
        <f aca="false">L51+L52+L53</f>
        <v>374964.845596112</v>
      </c>
      <c r="M54" s="10" t="n">
        <f aca="false">M51+M52+M53</f>
        <v>421040.422167385</v>
      </c>
      <c r="N54" s="10" t="n">
        <f aca="false">N51+N52+N53</f>
        <v>467579.805684955</v>
      </c>
      <c r="O54" s="10" t="n">
        <f aca="false">O51+O52+O53</f>
        <v>514544.763921534</v>
      </c>
      <c r="P54" s="10" t="n">
        <f aca="false">P51+P52+P53</f>
        <v>561903.1671688</v>
      </c>
      <c r="Q54" s="10" t="n">
        <f aca="false">Q51+Q52+Q53</f>
        <v>609627.615282082</v>
      </c>
      <c r="R54" s="10" t="n">
        <f aca="false">R51+R52+R53</f>
        <v>657694.450570692</v>
      </c>
      <c r="S54" s="10" t="n">
        <f aca="false">S51+S52+S53</f>
        <v>706083.029352158</v>
      </c>
      <c r="T54" s="10" t="n">
        <f aca="false">T51+T52+T53</f>
        <v>754775.172316517</v>
      </c>
      <c r="U54" s="10" t="n">
        <f aca="false">U51+U52+U53</f>
        <v>803754.741787863</v>
      </c>
      <c r="V54" s="10" t="n">
        <f aca="false">V51+V52+V53</f>
        <v>853007.311111901</v>
      </c>
      <c r="W54" s="10" t="n">
        <f aca="false">W51+W52+W53</f>
        <v>902519.902268163</v>
      </c>
      <c r="X54" s="10" t="n">
        <f aca="false">X51+X52+X53</f>
        <v>952280.774899737</v>
      </c>
      <c r="Y54" s="10" t="n">
        <f aca="false">Y51+Y52+Y53</f>
        <v>1002279.25470202</v>
      </c>
      <c r="Z54" s="10" t="n">
        <f aca="false">Z51+Z52+Z53</f>
        <v>1052505.5923628</v>
      </c>
      <c r="AA54" s="10" t="n">
        <f aca="false">AA51+AA52+AA53</f>
        <v>1102950.8465162</v>
      </c>
      <c r="AB54" s="10" t="n">
        <f aca="false">AB51+AB52+AB53</f>
        <v>1153606.78578763</v>
      </c>
      <c r="AC54" s="10" t="n">
        <f aca="false">AC51+AC52+AC53</f>
        <v>1204465.80617323</v>
      </c>
      <c r="AD54" s="10" t="n">
        <f aca="false">AD51+AD52+AD53</f>
        <v>1255520.8608536</v>
      </c>
      <c r="AE54" s="10" t="n">
        <f aca="false">AE51+AE52+AE53</f>
        <v>1306765.40017724</v>
      </c>
      <c r="AF54" s="10" t="n">
        <f aca="false">AF51+AF52+AF53</f>
        <v>1358193.32002839</v>
      </c>
      <c r="AG54" s="10" t="n">
        <f aca="false">AG51+AG52+AG53</f>
        <v>1409798.91715811</v>
      </c>
      <c r="AH54" s="10" t="n">
        <f aca="false">AH51+AH52+AH53</f>
        <v>1461576.85033803</v>
      </c>
      <c r="AI54" s="10" t="n">
        <f aca="false">AI51+AI52+AI53</f>
        <v>1513522.10641375</v>
      </c>
      <c r="AJ54" s="10" t="n">
        <f aca="false">AJ51+AJ52+AJ53</f>
        <v>1565629.97050575</v>
      </c>
      <c r="AK54" s="10" t="n">
        <f aca="false">AK51+AK52+AK53</f>
        <v>1617895.9997402</v>
      </c>
      <c r="AL54" s="10" t="n">
        <f aca="false">AL51+AL52+AL53</f>
        <v>1670316</v>
      </c>
      <c r="AM54" s="10" t="n">
        <f aca="false">SUM(C54:N54)</f>
        <v>2604502.43410478</v>
      </c>
      <c r="AN54" s="10" t="n">
        <f aca="false">SUM(O54:Z54)</f>
        <v>9370975.77574427</v>
      </c>
      <c r="AO54" s="10" t="n">
        <f aca="false">SUM(AA54:AL54)</f>
        <v>16620242.8636921</v>
      </c>
      <c r="AP54" s="10" t="n">
        <f aca="false">SUM(C54:AL54)</f>
        <v>28595721.0735412</v>
      </c>
    </row>
    <row r="55" customFormat="false" ht="15" hidden="false" customHeight="false" outlineLevel="0" collapsed="false">
      <c r="A55" s="0" t="s">
        <v>277</v>
      </c>
      <c r="B55" s="0" t="s">
        <v>278</v>
      </c>
      <c r="C55" s="10" t="n">
        <f aca="false">MAX(0,C46-0)*(1-Допущения!$E$13)*Допущения!$E$9</f>
        <v>0</v>
      </c>
      <c r="D55" s="10" t="n">
        <f aca="false">MAX(0,D46-C46)*(1-Допущения!$E$13)*Допущения!$E$9</f>
        <v>48054.7578237103</v>
      </c>
      <c r="E55" s="10" t="n">
        <f aca="false">MAX(0,E46-D46)*(1-Допущения!$E$13)*Допущения!$E$9</f>
        <v>54952.8705444117</v>
      </c>
      <c r="F55" s="10" t="n">
        <f aca="false">MAX(0,F46-E46)*(1-Допущения!$E$13)*Допущения!$E$9</f>
        <v>57897.4581207684</v>
      </c>
      <c r="G55" s="10" t="n">
        <f aca="false">MAX(0,G46-F46)*(1-Допущения!$E$13)*Допущения!$E$9</f>
        <v>59896.5985586172</v>
      </c>
      <c r="H55" s="10" t="n">
        <f aca="false">MAX(0,H46-G46)*(1-Допущения!$E$13)*Допущения!$E$9</f>
        <v>61428.4591786789</v>
      </c>
      <c r="I55" s="10" t="n">
        <f aca="false">MAX(0,I46-H46)*(1-Допущения!$E$13)*Допущения!$E$9</f>
        <v>62677.4591456132</v>
      </c>
      <c r="J55" s="10" t="n">
        <f aca="false">MAX(0,J46-I46)*(1-Допущения!$E$13)*Допущения!$E$9</f>
        <v>63735.5594381769</v>
      </c>
      <c r="K55" s="10" t="n">
        <f aca="false">MAX(0,K46-J46)*(1-Допущения!$E$13)*Допущения!$E$9</f>
        <v>64655.6102244543</v>
      </c>
      <c r="L55" s="10" t="n">
        <f aca="false">MAX(0,L46-K46)*(1-Допущения!$E$13)*Допущения!$E$9</f>
        <v>65470.9145161101</v>
      </c>
      <c r="M55" s="10" t="n">
        <f aca="false">MAX(0,M46-L46)*(1-Допущения!$E$13)*Допущения!$E$9</f>
        <v>66203.8702682938</v>
      </c>
      <c r="N55" s="10" t="n">
        <f aca="false">MAX(0,N46-M46)*(1-Допущения!$E$13)*Допущения!$E$9</f>
        <v>66870.2930715914</v>
      </c>
      <c r="O55" s="10" t="n">
        <f aca="false">MAX(0,O46-N46)*(1-Допущения!$E$13)*Допущения!$E$9</f>
        <v>67481.7817513504</v>
      </c>
      <c r="P55" s="10" t="n">
        <f aca="false">MAX(0,P46-O46)*(1-Допущения!$E$13)*Допущения!$E$9</f>
        <v>68047.1047355338</v>
      </c>
      <c r="Q55" s="10" t="n">
        <f aca="false">MAX(0,Q46-P46)*(1-Допущения!$E$13)*Допущения!$E$9</f>
        <v>68573.0577159514</v>
      </c>
      <c r="R55" s="10" t="n">
        <f aca="false">MAX(0,R46-Q46)*(1-Допущения!$E$13)*Допущения!$E$9</f>
        <v>69065.0180520723</v>
      </c>
      <c r="S55" s="10" t="n">
        <f aca="false">MAX(0,S46-R46)*(1-Допущения!$E$13)*Допущения!$E$9</f>
        <v>69527.3164332482</v>
      </c>
      <c r="T55" s="10" t="n">
        <f aca="false">MAX(0,T46-S46)*(1-Допущения!$E$13)*Допущения!$E$9</f>
        <v>69963.4938026473</v>
      </c>
      <c r="U55" s="10" t="n">
        <f aca="false">MAX(0,U46-T46)*(1-Допущения!$E$13)*Допущения!$E$9</f>
        <v>70376.4836900507</v>
      </c>
      <c r="V55" s="10" t="n">
        <f aca="false">MAX(0,V46-U46)*(1-Допущения!$E$13)*Допущения!$E$9</f>
        <v>70768.7445834735</v>
      </c>
      <c r="W55" s="10" t="n">
        <f aca="false">MAX(0,W46-V46)*(1-Допущения!$E$13)*Допущения!$E$9</f>
        <v>71142.3579580324</v>
      </c>
      <c r="X55" s="10" t="n">
        <f aca="false">MAX(0,X46-W46)*(1-Допущения!$E$13)*Допущения!$E$9</f>
        <v>71499.102155388</v>
      </c>
      <c r="Y55" s="10" t="n">
        <f aca="false">MAX(0,Y46-X46)*(1-Допущения!$E$13)*Допущения!$E$9</f>
        <v>71840.5089369245</v>
      </c>
      <c r="Z55" s="10" t="n">
        <f aca="false">MAX(0,Z46-Y46)*(1-Допущения!$E$13)*Допущения!$E$9</f>
        <v>72167.9073815141</v>
      </c>
      <c r="AA55" s="10" t="n">
        <f aca="false">MAX(0,AA46-Z46)*(1-Допущения!$E$13)*Допущения!$E$9</f>
        <v>72482.458390012</v>
      </c>
      <c r="AB55" s="10" t="n">
        <f aca="false">MAX(0,AB46-AA46)*(1-Допущения!$E$13)*Допущения!$E$9</f>
        <v>72785.1821160878</v>
      </c>
      <c r="AC55" s="10" t="n">
        <f aca="false">MAX(0,AC46-AB46)*(1-Допущения!$E$13)*Допущения!$E$9</f>
        <v>73076.979999858</v>
      </c>
      <c r="AD55" s="10" t="n">
        <f aca="false">MAX(0,AD46-AC46)*(1-Допущения!$E$13)*Допущения!$E$9</f>
        <v>73358.6526339242</v>
      </c>
      <c r="AE55" s="10" t="n">
        <f aca="false">MAX(0,AE46-AD46)*(1-Допущения!$E$13)*Допущения!$E$9</f>
        <v>73630.9143759284</v>
      </c>
      <c r="AF55" s="10" t="n">
        <f aca="false">MAX(0,AF46-AE46)*(1-Допущения!$E$13)*Допущения!$E$9</f>
        <v>73894.4053956016</v>
      </c>
      <c r="AG55" s="10" t="n">
        <f aca="false">MAX(0,AG46-AF46)*(1-Допущения!$E$13)*Допущения!$E$9</f>
        <v>74149.7016800006</v>
      </c>
      <c r="AH55" s="10" t="n">
        <f aca="false">MAX(0,AH46-AG46)*(1-Допущения!$E$13)*Допущения!$E$9</f>
        <v>74397.3233997656</v>
      </c>
      <c r="AI55" s="10" t="n">
        <f aca="false">MAX(0,AI46-AH46)*(1-Допущения!$E$13)*Допущения!$E$9</f>
        <v>74637.7419492722</v>
      </c>
      <c r="AJ55" s="10" t="n">
        <f aca="false">MAX(0,AJ46-AI46)*(1-Допущения!$E$13)*Допущения!$E$9</f>
        <v>74871.3859058882</v>
      </c>
      <c r="AK55" s="10" t="n">
        <f aca="false">MAX(0,AK46-AJ46)*(1-Допущения!$E$13)*Допущения!$E$9</f>
        <v>75098.6461021114</v>
      </c>
      <c r="AL55" s="10" t="n">
        <f aca="false">MAX(0,AL46-AK46)*(1-Допущения!$E$13)*Допущения!$E$9</f>
        <v>75319.8799649376</v>
      </c>
      <c r="AM55" s="10" t="n">
        <f aca="false">SUM(C55:N55)</f>
        <v>671843.850890426</v>
      </c>
      <c r="AN55" s="10" t="n">
        <f aca="false">SUM(O55:Z55)</f>
        <v>840452.877196186</v>
      </c>
      <c r="AO55" s="10" t="n">
        <f aca="false">SUM(AA55:AL55)</f>
        <v>887703.271913388</v>
      </c>
      <c r="AP55" s="10" t="n">
        <f aca="false">SUM(C55:AL55)</f>
        <v>2400000</v>
      </c>
    </row>
    <row r="56" customFormat="false" ht="15" hidden="false" customHeight="false" outlineLevel="0" collapsed="false">
      <c r="A56" s="0" t="s">
        <v>279</v>
      </c>
      <c r="B56" s="0" t="s">
        <v>280</v>
      </c>
      <c r="C56" s="10" t="n">
        <f aca="false">Допущения!$E$16</f>
        <v>360000</v>
      </c>
      <c r="D56" s="10" t="n">
        <f aca="false">Допущения!$E$16</f>
        <v>360000</v>
      </c>
      <c r="E56" s="10" t="n">
        <f aca="false">Допущения!$E$16</f>
        <v>360000</v>
      </c>
      <c r="F56" s="10" t="n">
        <f aca="false">Допущения!$E$16</f>
        <v>360000</v>
      </c>
      <c r="G56" s="10" t="n">
        <f aca="false">Допущения!$E$16</f>
        <v>360000</v>
      </c>
      <c r="H56" s="10" t="n">
        <f aca="false">Допущения!$E$16</f>
        <v>360000</v>
      </c>
      <c r="I56" s="10" t="n">
        <f aca="false">Допущения!$E$16</f>
        <v>360000</v>
      </c>
      <c r="J56" s="10" t="n">
        <f aca="false">Допущения!$E$16</f>
        <v>360000</v>
      </c>
      <c r="K56" s="10" t="n">
        <f aca="false">Допущения!$E$16</f>
        <v>360000</v>
      </c>
      <c r="L56" s="10" t="n">
        <f aca="false">Допущения!$E$16</f>
        <v>360000</v>
      </c>
      <c r="M56" s="10" t="n">
        <f aca="false">Допущения!$E$16</f>
        <v>360000</v>
      </c>
      <c r="N56" s="10" t="n">
        <f aca="false">Допущения!$E$16</f>
        <v>360000</v>
      </c>
      <c r="O56" s="10" t="n">
        <f aca="false">Допущения!$E$16</f>
        <v>360000</v>
      </c>
      <c r="P56" s="10" t="n">
        <f aca="false">Допущения!$E$16</f>
        <v>360000</v>
      </c>
      <c r="Q56" s="10" t="n">
        <f aca="false">Допущения!$E$16</f>
        <v>360000</v>
      </c>
      <c r="R56" s="10" t="n">
        <f aca="false">Допущения!$E$16</f>
        <v>360000</v>
      </c>
      <c r="S56" s="10" t="n">
        <f aca="false">Допущения!$E$16</f>
        <v>360000</v>
      </c>
      <c r="T56" s="10" t="n">
        <f aca="false">Допущения!$E$16</f>
        <v>360000</v>
      </c>
      <c r="U56" s="10" t="n">
        <f aca="false">Допущения!$E$16</f>
        <v>360000</v>
      </c>
      <c r="V56" s="10" t="n">
        <f aca="false">Допущения!$E$16</f>
        <v>360000</v>
      </c>
      <c r="W56" s="10" t="n">
        <f aca="false">Допущения!$E$16</f>
        <v>360000</v>
      </c>
      <c r="X56" s="10" t="n">
        <f aca="false">Допущения!$E$16</f>
        <v>360000</v>
      </c>
      <c r="Y56" s="10" t="n">
        <f aca="false">Допущения!$E$16</f>
        <v>360000</v>
      </c>
      <c r="Z56" s="10" t="n">
        <f aca="false">Допущения!$E$16</f>
        <v>360000</v>
      </c>
      <c r="AA56" s="10" t="n">
        <f aca="false">Допущения!$E$16</f>
        <v>360000</v>
      </c>
      <c r="AB56" s="10" t="n">
        <f aca="false">Допущения!$E$16</f>
        <v>360000</v>
      </c>
      <c r="AC56" s="10" t="n">
        <f aca="false">Допущения!$E$16</f>
        <v>360000</v>
      </c>
      <c r="AD56" s="10" t="n">
        <f aca="false">Допущения!$E$16</f>
        <v>360000</v>
      </c>
      <c r="AE56" s="10" t="n">
        <f aca="false">Допущения!$E$16</f>
        <v>360000</v>
      </c>
      <c r="AF56" s="10" t="n">
        <f aca="false">Допущения!$E$16</f>
        <v>360000</v>
      </c>
      <c r="AG56" s="10" t="n">
        <f aca="false">Допущения!$E$16</f>
        <v>360000</v>
      </c>
      <c r="AH56" s="10" t="n">
        <f aca="false">Допущения!$E$16</f>
        <v>360000</v>
      </c>
      <c r="AI56" s="10" t="n">
        <f aca="false">Допущения!$E$16</f>
        <v>360000</v>
      </c>
      <c r="AJ56" s="10" t="n">
        <f aca="false">Допущения!$E$16</f>
        <v>360000</v>
      </c>
      <c r="AK56" s="10" t="n">
        <f aca="false">Допущения!$E$16</f>
        <v>360000</v>
      </c>
      <c r="AL56" s="10" t="n">
        <f aca="false">Допущения!$E$16</f>
        <v>360000</v>
      </c>
      <c r="AM56" s="10" t="n">
        <f aca="false">SUM(C56:N56)</f>
        <v>4320000</v>
      </c>
      <c r="AN56" s="10" t="n">
        <f aca="false">SUM(O56:Z56)</f>
        <v>4320000</v>
      </c>
      <c r="AO56" s="10" t="n">
        <f aca="false">SUM(AA56:AL56)</f>
        <v>4320000</v>
      </c>
      <c r="AP56" s="10" t="n">
        <f aca="false">SUM(C56:AL56)</f>
        <v>12960000</v>
      </c>
    </row>
    <row r="57" customFormat="false" ht="15" hidden="false" customHeight="false" outlineLevel="0" collapsed="false">
      <c r="A57" s="1" t="s">
        <v>281</v>
      </c>
      <c r="B57" s="1" t="s">
        <v>282</v>
      </c>
      <c r="C57" s="11" t="n">
        <f aca="false">C54-C56-C55</f>
        <v>-360000</v>
      </c>
      <c r="D57" s="11" t="n">
        <f aca="false">D54-D56-D55</f>
        <v>-377930.431512972</v>
      </c>
      <c r="E57" s="11" t="n">
        <f aca="false">E54-E56-E55</f>
        <v>-350379.963511145</v>
      </c>
      <c r="F57" s="11" t="n">
        <f aca="false">F54-F56-F55</f>
        <v>-317030.082028045</v>
      </c>
      <c r="G57" s="11" t="n">
        <f aca="false">G54-G56-G55</f>
        <v>-281481.542244461</v>
      </c>
      <c r="H57" s="11" t="n">
        <f aca="false">H54-H56-H55</f>
        <v>-244505.437516888</v>
      </c>
      <c r="I57" s="11" t="n">
        <f aca="false">I54-I56-I55</f>
        <v>-206463.505281916</v>
      </c>
      <c r="J57" s="11" t="n">
        <f aca="false">J54-J56-J55</f>
        <v>-139334.220633132</v>
      </c>
      <c r="K57" s="11" t="n">
        <f aca="false">K54-K56-K55</f>
        <v>-95256.2296495466</v>
      </c>
      <c r="L57" s="11" t="n">
        <f aca="false">L54-L56-L55</f>
        <v>-50506.0689199979</v>
      </c>
      <c r="M57" s="11" t="n">
        <f aca="false">M54-M56-M55</f>
        <v>-5163.44810090847</v>
      </c>
      <c r="N57" s="11" t="n">
        <f aca="false">N54-N56-N55</f>
        <v>40709.512613364</v>
      </c>
      <c r="O57" s="11" t="n">
        <f aca="false">O54-O56-O55</f>
        <v>87062.9821701837</v>
      </c>
      <c r="P57" s="11" t="n">
        <f aca="false">P54-P56-P55</f>
        <v>133856.062433266</v>
      </c>
      <c r="Q57" s="11" t="n">
        <f aca="false">Q54-Q56-Q55</f>
        <v>181054.55756613</v>
      </c>
      <c r="R57" s="11" t="n">
        <f aca="false">R54-R56-R55</f>
        <v>228629.43251862</v>
      </c>
      <c r="S57" s="11" t="n">
        <f aca="false">S54-S56-S55</f>
        <v>276555.71291891</v>
      </c>
      <c r="T57" s="11" t="n">
        <f aca="false">T54-T56-T55</f>
        <v>324811.67851387</v>
      </c>
      <c r="U57" s="11" t="n">
        <f aca="false">U54-U56-U55</f>
        <v>373378.258097813</v>
      </c>
      <c r="V57" s="11" t="n">
        <f aca="false">V54-V56-V55</f>
        <v>422238.566528427</v>
      </c>
      <c r="W57" s="11" t="n">
        <f aca="false">W54-W56-W55</f>
        <v>471377.54431013</v>
      </c>
      <c r="X57" s="11" t="n">
        <f aca="false">X54-X56-X55</f>
        <v>520781.672744349</v>
      </c>
      <c r="Y57" s="11" t="n">
        <f aca="false">Y54-Y56-Y55</f>
        <v>570438.745765099</v>
      </c>
      <c r="Z57" s="11" t="n">
        <f aca="false">Z54-Z56-Z55</f>
        <v>620337.684981285</v>
      </c>
      <c r="AA57" s="11" t="n">
        <f aca="false">AA54-AA56-AA55</f>
        <v>670468.388126192</v>
      </c>
      <c r="AB57" s="11" t="n">
        <f aca="false">AB54-AB56-AB55</f>
        <v>720821.603671539</v>
      </c>
      <c r="AC57" s="11" t="n">
        <f aca="false">AC54-AC56-AC55</f>
        <v>771388.826173371</v>
      </c>
      <c r="AD57" s="11" t="n">
        <f aca="false">AD54-AD56-AD55</f>
        <v>822162.208219673</v>
      </c>
      <c r="AE57" s="11" t="n">
        <f aca="false">AE54-AE56-AE55</f>
        <v>873134.485801312</v>
      </c>
      <c r="AF57" s="11" t="n">
        <f aca="false">AF54-AF56-AF55</f>
        <v>924298.914632788</v>
      </c>
      <c r="AG57" s="11" t="n">
        <f aca="false">AG54-AG56-AG55</f>
        <v>975649.215478111</v>
      </c>
      <c r="AH57" s="11" t="n">
        <f aca="false">AH54-AH56-AH55</f>
        <v>1027179.52693826</v>
      </c>
      <c r="AI57" s="11" t="n">
        <f aca="false">AI54-AI56-AI55</f>
        <v>1078884.36446448</v>
      </c>
      <c r="AJ57" s="11" t="n">
        <f aca="false">AJ54-AJ56-AJ55</f>
        <v>1130758.58459986</v>
      </c>
      <c r="AK57" s="11" t="n">
        <f aca="false">AK54-AK56-AK55</f>
        <v>1182797.35363809</v>
      </c>
      <c r="AL57" s="11" t="n">
        <f aca="false">AL54-AL56-AL55</f>
        <v>1234996.12003506</v>
      </c>
      <c r="AM57" s="11" t="n">
        <f aca="false">SUM(C57:N57)</f>
        <v>-2387341.41678565</v>
      </c>
      <c r="AN57" s="11" t="n">
        <f aca="false">SUM(O57:Z57)</f>
        <v>4210522.89854808</v>
      </c>
      <c r="AO57" s="11" t="n">
        <f aca="false">SUM(AA57:AL57)</f>
        <v>11412539.5917787</v>
      </c>
      <c r="AP57" s="11" t="n">
        <f aca="false">SUM(C57:AL57)</f>
        <v>13235721.0735412</v>
      </c>
    </row>
    <row r="58" customFormat="false" ht="15" hidden="false" customHeight="false" outlineLevel="0" collapsed="false">
      <c r="A58" s="0" t="s">
        <v>283</v>
      </c>
      <c r="B58" s="0" t="s">
        <v>284</v>
      </c>
      <c r="C58" s="10" t="n">
        <f aca="false">IF(C$44=1,Допущения!$E$18,0)</f>
        <v>300000</v>
      </c>
      <c r="D58" s="10" t="n">
        <f aca="false">IF(D$44=1,Допущения!$E$18,0)</f>
        <v>0</v>
      </c>
      <c r="E58" s="10" t="n">
        <f aca="false">IF(E$44=1,Допущения!$E$18,0)</f>
        <v>0</v>
      </c>
      <c r="F58" s="10" t="n">
        <f aca="false">IF(F$44=1,Допущения!$E$18,0)</f>
        <v>0</v>
      </c>
      <c r="G58" s="10" t="n">
        <f aca="false">IF(G$44=1,Допущения!$E$18,0)</f>
        <v>0</v>
      </c>
      <c r="H58" s="10" t="n">
        <f aca="false">IF(H$44=1,Допущения!$E$18,0)</f>
        <v>0</v>
      </c>
      <c r="I58" s="10" t="n">
        <f aca="false">IF(I$44=1,Допущения!$E$18,0)</f>
        <v>0</v>
      </c>
      <c r="J58" s="10" t="n">
        <f aca="false">IF(J$44=1,Допущения!$E$18,0)</f>
        <v>0</v>
      </c>
      <c r="K58" s="10" t="n">
        <f aca="false">IF(K$44=1,Допущения!$E$18,0)</f>
        <v>0</v>
      </c>
      <c r="L58" s="10" t="n">
        <f aca="false">IF(L$44=1,Допущения!$E$18,0)</f>
        <v>0</v>
      </c>
      <c r="M58" s="10" t="n">
        <f aca="false">IF(M$44=1,Допущения!$E$18,0)</f>
        <v>0</v>
      </c>
      <c r="N58" s="10" t="n">
        <f aca="false">IF(N$44=1,Допущения!$E$18,0)</f>
        <v>0</v>
      </c>
      <c r="O58" s="10" t="n">
        <f aca="false">IF(O$44=1,Допущения!$E$18,0)</f>
        <v>0</v>
      </c>
      <c r="P58" s="10" t="n">
        <f aca="false">IF(P$44=1,Допущения!$E$18,0)</f>
        <v>0</v>
      </c>
      <c r="Q58" s="10" t="n">
        <f aca="false">IF(Q$44=1,Допущения!$E$18,0)</f>
        <v>0</v>
      </c>
      <c r="R58" s="10" t="n">
        <f aca="false">IF(R$44=1,Допущения!$E$18,0)</f>
        <v>0</v>
      </c>
      <c r="S58" s="10" t="n">
        <f aca="false">IF(S$44=1,Допущения!$E$18,0)</f>
        <v>0</v>
      </c>
      <c r="T58" s="10" t="n">
        <f aca="false">IF(T$44=1,Допущения!$E$18,0)</f>
        <v>0</v>
      </c>
      <c r="U58" s="10" t="n">
        <f aca="false">IF(U$44=1,Допущения!$E$18,0)</f>
        <v>0</v>
      </c>
      <c r="V58" s="10" t="n">
        <f aca="false">IF(V$44=1,Допущения!$E$18,0)</f>
        <v>0</v>
      </c>
      <c r="W58" s="10" t="n">
        <f aca="false">IF(W$44=1,Допущения!$E$18,0)</f>
        <v>0</v>
      </c>
      <c r="X58" s="10" t="n">
        <f aca="false">IF(X$44=1,Допущения!$E$18,0)</f>
        <v>0</v>
      </c>
      <c r="Y58" s="10" t="n">
        <f aca="false">IF(Y$44=1,Допущения!$E$18,0)</f>
        <v>0</v>
      </c>
      <c r="Z58" s="10" t="n">
        <f aca="false">IF(Z$44=1,Допущения!$E$18,0)</f>
        <v>0</v>
      </c>
      <c r="AA58" s="10" t="n">
        <f aca="false">IF(AA$44=1,Допущения!$E$18,0)</f>
        <v>0</v>
      </c>
      <c r="AB58" s="10" t="n">
        <f aca="false">IF(AB$44=1,Допущения!$E$18,0)</f>
        <v>0</v>
      </c>
      <c r="AC58" s="10" t="n">
        <f aca="false">IF(AC$44=1,Допущения!$E$18,0)</f>
        <v>0</v>
      </c>
      <c r="AD58" s="10" t="n">
        <f aca="false">IF(AD$44=1,Допущения!$E$18,0)</f>
        <v>0</v>
      </c>
      <c r="AE58" s="10" t="n">
        <f aca="false">IF(AE$44=1,Допущения!$E$18,0)</f>
        <v>0</v>
      </c>
      <c r="AF58" s="10" t="n">
        <f aca="false">IF(AF$44=1,Допущения!$E$18,0)</f>
        <v>0</v>
      </c>
      <c r="AG58" s="10" t="n">
        <f aca="false">IF(AG$44=1,Допущения!$E$18,0)</f>
        <v>0</v>
      </c>
      <c r="AH58" s="10" t="n">
        <f aca="false">IF(AH$44=1,Допущения!$E$18,0)</f>
        <v>0</v>
      </c>
      <c r="AI58" s="10" t="n">
        <f aca="false">IF(AI$44=1,Допущения!$E$18,0)</f>
        <v>0</v>
      </c>
      <c r="AJ58" s="10" t="n">
        <f aca="false">IF(AJ$44=1,Допущения!$E$18,0)</f>
        <v>0</v>
      </c>
      <c r="AK58" s="10" t="n">
        <f aca="false">IF(AK$44=1,Допущения!$E$18,0)</f>
        <v>0</v>
      </c>
      <c r="AL58" s="10" t="n">
        <f aca="false">IF(AL$44=1,Допущения!$E$18,0)</f>
        <v>0</v>
      </c>
      <c r="AM58" s="10" t="n">
        <f aca="false">SUM(C58:N58)</f>
        <v>300000</v>
      </c>
      <c r="AN58" s="10" t="n">
        <f aca="false">SUM(O58:Z58)</f>
        <v>0</v>
      </c>
      <c r="AO58" s="10" t="n">
        <f aca="false">SUM(AA58:AL58)</f>
        <v>0</v>
      </c>
      <c r="AP58" s="10" t="n">
        <f aca="false">SUM(C58:AL58)</f>
        <v>300000</v>
      </c>
    </row>
    <row r="59" customFormat="false" ht="15" hidden="false" customHeight="false" outlineLevel="0" collapsed="false">
      <c r="A59" s="1" t="s">
        <v>285</v>
      </c>
      <c r="B59" s="1" t="s">
        <v>286</v>
      </c>
      <c r="C59" s="11" t="n">
        <f aca="false">C57-C58</f>
        <v>-660000</v>
      </c>
      <c r="D59" s="11" t="n">
        <f aca="false">D57-D58</f>
        <v>-377930.431512972</v>
      </c>
      <c r="E59" s="11" t="n">
        <f aca="false">E57-E58</f>
        <v>-350379.963511145</v>
      </c>
      <c r="F59" s="11" t="n">
        <f aca="false">F57-F58</f>
        <v>-317030.082028045</v>
      </c>
      <c r="G59" s="11" t="n">
        <f aca="false">G57-G58</f>
        <v>-281481.542244461</v>
      </c>
      <c r="H59" s="11" t="n">
        <f aca="false">H57-H58</f>
        <v>-244505.437516888</v>
      </c>
      <c r="I59" s="11" t="n">
        <f aca="false">I57-I58</f>
        <v>-206463.505281916</v>
      </c>
      <c r="J59" s="11" t="n">
        <f aca="false">J57-J58</f>
        <v>-139334.220633132</v>
      </c>
      <c r="K59" s="11" t="n">
        <f aca="false">K57-K58</f>
        <v>-95256.2296495466</v>
      </c>
      <c r="L59" s="11" t="n">
        <f aca="false">L57-L58</f>
        <v>-50506.0689199979</v>
      </c>
      <c r="M59" s="11" t="n">
        <f aca="false">M57-M58</f>
        <v>-5163.44810090847</v>
      </c>
      <c r="N59" s="11" t="n">
        <f aca="false">N57-N58</f>
        <v>40709.512613364</v>
      </c>
      <c r="O59" s="11" t="n">
        <f aca="false">O57-O58</f>
        <v>87062.9821701837</v>
      </c>
      <c r="P59" s="11" t="n">
        <f aca="false">P57-P58</f>
        <v>133856.062433266</v>
      </c>
      <c r="Q59" s="11" t="n">
        <f aca="false">Q57-Q58</f>
        <v>181054.55756613</v>
      </c>
      <c r="R59" s="11" t="n">
        <f aca="false">R57-R58</f>
        <v>228629.43251862</v>
      </c>
      <c r="S59" s="11" t="n">
        <f aca="false">S57-S58</f>
        <v>276555.71291891</v>
      </c>
      <c r="T59" s="11" t="n">
        <f aca="false">T57-T58</f>
        <v>324811.67851387</v>
      </c>
      <c r="U59" s="11" t="n">
        <f aca="false">U57-U58</f>
        <v>373378.258097813</v>
      </c>
      <c r="V59" s="11" t="n">
        <f aca="false">V57-V58</f>
        <v>422238.566528427</v>
      </c>
      <c r="W59" s="11" t="n">
        <f aca="false">W57-W58</f>
        <v>471377.54431013</v>
      </c>
      <c r="X59" s="11" t="n">
        <f aca="false">X57-X58</f>
        <v>520781.672744349</v>
      </c>
      <c r="Y59" s="11" t="n">
        <f aca="false">Y57-Y58</f>
        <v>570438.745765099</v>
      </c>
      <c r="Z59" s="11" t="n">
        <f aca="false">Z57-Z58</f>
        <v>620337.684981285</v>
      </c>
      <c r="AA59" s="11" t="n">
        <f aca="false">AA57-AA58</f>
        <v>670468.388126192</v>
      </c>
      <c r="AB59" s="11" t="n">
        <f aca="false">AB57-AB58</f>
        <v>720821.603671539</v>
      </c>
      <c r="AC59" s="11" t="n">
        <f aca="false">AC57-AC58</f>
        <v>771388.826173371</v>
      </c>
      <c r="AD59" s="11" t="n">
        <f aca="false">AD57-AD58</f>
        <v>822162.208219673</v>
      </c>
      <c r="AE59" s="11" t="n">
        <f aca="false">AE57-AE58</f>
        <v>873134.485801312</v>
      </c>
      <c r="AF59" s="11" t="n">
        <f aca="false">AF57-AF58</f>
        <v>924298.914632788</v>
      </c>
      <c r="AG59" s="11" t="n">
        <f aca="false">AG57-AG58</f>
        <v>975649.215478111</v>
      </c>
      <c r="AH59" s="11" t="n">
        <f aca="false">AH57-AH58</f>
        <v>1027179.52693826</v>
      </c>
      <c r="AI59" s="11" t="n">
        <f aca="false">AI57-AI58</f>
        <v>1078884.36446448</v>
      </c>
      <c r="AJ59" s="11" t="n">
        <f aca="false">AJ57-AJ58</f>
        <v>1130758.58459986</v>
      </c>
      <c r="AK59" s="11" t="n">
        <f aca="false">AK57-AK58</f>
        <v>1182797.35363809</v>
      </c>
      <c r="AL59" s="11" t="n">
        <f aca="false">AL57-AL58</f>
        <v>1234996.12003506</v>
      </c>
      <c r="AM59" s="11" t="n">
        <f aca="false">SUM(C59:N59)</f>
        <v>-2687341.41678565</v>
      </c>
      <c r="AN59" s="11" t="n">
        <f aca="false">SUM(O59:Z59)</f>
        <v>4210522.89854808</v>
      </c>
      <c r="AO59" s="11" t="n">
        <f aca="false">SUM(AA59:AL59)</f>
        <v>11412539.5917787</v>
      </c>
      <c r="AP59" s="11" t="n">
        <f aca="false">SUM(C59:AL59)</f>
        <v>12935721.0735412</v>
      </c>
    </row>
    <row r="60" customFormat="false" ht="15" hidden="false" customHeight="false" outlineLevel="0" collapsed="false">
      <c r="A60" s="1" t="s">
        <v>287</v>
      </c>
      <c r="B60" s="1" t="s">
        <v>288</v>
      </c>
      <c r="C60" s="11" t="n">
        <f aca="false">0+C59</f>
        <v>-660000</v>
      </c>
      <c r="D60" s="11" t="n">
        <f aca="false">C60+D59</f>
        <v>-1037930.43151297</v>
      </c>
      <c r="E60" s="11" t="n">
        <f aca="false">D60+E59</f>
        <v>-1388310.39502412</v>
      </c>
      <c r="F60" s="11" t="n">
        <f aca="false">E60+F59</f>
        <v>-1705340.47705216</v>
      </c>
      <c r="G60" s="11" t="n">
        <f aca="false">F60+G59</f>
        <v>-1986822.01929662</v>
      </c>
      <c r="H60" s="11" t="n">
        <f aca="false">G60+H59</f>
        <v>-2231327.45681351</v>
      </c>
      <c r="I60" s="11" t="n">
        <f aca="false">H60+I59</f>
        <v>-2437790.96209543</v>
      </c>
      <c r="J60" s="11" t="n">
        <f aca="false">I60+J59</f>
        <v>-2577125.18272856</v>
      </c>
      <c r="K60" s="11" t="n">
        <f aca="false">J60+K59</f>
        <v>-2672381.41237811</v>
      </c>
      <c r="L60" s="11" t="n">
        <f aca="false">K60+L59</f>
        <v>-2722887.4812981</v>
      </c>
      <c r="M60" s="11" t="n">
        <f aca="false">L60+M59</f>
        <v>-2728050.92939901</v>
      </c>
      <c r="N60" s="11" t="n">
        <f aca="false">M60+N59</f>
        <v>-2687341.41678565</v>
      </c>
      <c r="O60" s="11" t="n">
        <f aca="false">N60+O59</f>
        <v>-2600278.43461546</v>
      </c>
      <c r="P60" s="11" t="n">
        <f aca="false">O60+P59</f>
        <v>-2466422.3721822</v>
      </c>
      <c r="Q60" s="11" t="n">
        <f aca="false">P60+Q59</f>
        <v>-2285367.81461607</v>
      </c>
      <c r="R60" s="11" t="n">
        <f aca="false">Q60+R59</f>
        <v>-2056738.38209745</v>
      </c>
      <c r="S60" s="11" t="n">
        <f aca="false">R60+S59</f>
        <v>-1780182.66917854</v>
      </c>
      <c r="T60" s="11" t="n">
        <f aca="false">S60+T59</f>
        <v>-1455370.99066467</v>
      </c>
      <c r="U60" s="11" t="n">
        <f aca="false">T60+U59</f>
        <v>-1081992.73256686</v>
      </c>
      <c r="V60" s="11" t="n">
        <f aca="false">U60+V59</f>
        <v>-659754.166038428</v>
      </c>
      <c r="W60" s="11" t="n">
        <f aca="false">V60+W59</f>
        <v>-188376.621728298</v>
      </c>
      <c r="X60" s="11" t="n">
        <f aca="false">W60+X59</f>
        <v>332405.051016051</v>
      </c>
      <c r="Y60" s="11" t="n">
        <f aca="false">X60+Y59</f>
        <v>902843.79678115</v>
      </c>
      <c r="Z60" s="11" t="n">
        <f aca="false">Y60+Z59</f>
        <v>1523181.48176244</v>
      </c>
      <c r="AA60" s="11" t="n">
        <f aca="false">Z60+AA59</f>
        <v>2193649.86988863</v>
      </c>
      <c r="AB60" s="11" t="n">
        <f aca="false">AA60+AB59</f>
        <v>2914471.47356017</v>
      </c>
      <c r="AC60" s="11" t="n">
        <f aca="false">AB60+AC59</f>
        <v>3685860.29973354</v>
      </c>
      <c r="AD60" s="11" t="n">
        <f aca="false">AC60+AD59</f>
        <v>4508022.50795321</v>
      </c>
      <c r="AE60" s="11" t="n">
        <f aca="false">AD60+AE59</f>
        <v>5381156.99375452</v>
      </c>
      <c r="AF60" s="11" t="n">
        <f aca="false">AE60+AF59</f>
        <v>6305455.90838731</v>
      </c>
      <c r="AG60" s="11" t="n">
        <f aca="false">AF60+AG59</f>
        <v>7281105.12386542</v>
      </c>
      <c r="AH60" s="11" t="n">
        <f aca="false">AG60+AH59</f>
        <v>8308284.65080369</v>
      </c>
      <c r="AI60" s="11" t="n">
        <f aca="false">AH60+AI59</f>
        <v>9387169.01526817</v>
      </c>
      <c r="AJ60" s="11" t="n">
        <f aca="false">AI60+AJ59</f>
        <v>10517927.599868</v>
      </c>
      <c r="AK60" s="11" t="n">
        <f aca="false">AJ60+AK59</f>
        <v>11700724.9535061</v>
      </c>
      <c r="AL60" s="11" t="n">
        <f aca="false">AK60+AL59</f>
        <v>12935721.0735412</v>
      </c>
      <c r="AM60" s="11" t="n">
        <f aca="false">N60</f>
        <v>-2687341.41678565</v>
      </c>
      <c r="AN60" s="11" t="n">
        <f aca="false">Z60</f>
        <v>1523181.48176244</v>
      </c>
      <c r="AO60" s="11" t="n">
        <f aca="false">AL60</f>
        <v>12935721.0735412</v>
      </c>
      <c r="AP60" s="1"/>
    </row>
    <row r="61" customFormat="false" ht="15" hidden="false" customHeight="false" outlineLevel="0" collapsed="false">
      <c r="A61" s="0" t="s">
        <v>289</v>
      </c>
      <c r="B61" s="0" t="s">
        <v>290</v>
      </c>
      <c r="C61" s="0" t="n">
        <f aca="false">IF(AND(C57&gt;0,COUNTIF(C57:AL57,"&lt;=0")=0),C$44,99)</f>
        <v>99</v>
      </c>
      <c r="D61" s="0" t="n">
        <f aca="false">IF(AND(D57&gt;0,COUNTIF(D57:AL57,"&lt;=0")=0),D$44,99)</f>
        <v>99</v>
      </c>
      <c r="E61" s="0" t="n">
        <f aca="false">IF(AND(E57&gt;0,COUNTIF(E57:AL57,"&lt;=0")=0),E$44,99)</f>
        <v>99</v>
      </c>
      <c r="F61" s="0" t="n">
        <f aca="false">IF(AND(F57&gt;0,COUNTIF(F57:AL57,"&lt;=0")=0),F$44,99)</f>
        <v>99</v>
      </c>
      <c r="G61" s="0" t="n">
        <f aca="false">IF(AND(G57&gt;0,COUNTIF(G57:AL57,"&lt;=0")=0),G$44,99)</f>
        <v>99</v>
      </c>
      <c r="H61" s="0" t="n">
        <f aca="false">IF(AND(H57&gt;0,COUNTIF(H57:AL57,"&lt;=0")=0),H$44,99)</f>
        <v>99</v>
      </c>
      <c r="I61" s="0" t="n">
        <f aca="false">IF(AND(I57&gt;0,COUNTIF(I57:AL57,"&lt;=0")=0),I$44,99)</f>
        <v>99</v>
      </c>
      <c r="J61" s="0" t="n">
        <f aca="false">IF(AND(J57&gt;0,COUNTIF(J57:AL57,"&lt;=0")=0),J$44,99)</f>
        <v>99</v>
      </c>
      <c r="K61" s="0" t="n">
        <f aca="false">IF(AND(K57&gt;0,COUNTIF(K57:AL57,"&lt;=0")=0),K$44,99)</f>
        <v>99</v>
      </c>
      <c r="L61" s="0" t="n">
        <f aca="false">IF(AND(L57&gt;0,COUNTIF(L57:AL57,"&lt;=0")=0),L$44,99)</f>
        <v>99</v>
      </c>
      <c r="M61" s="0" t="n">
        <f aca="false">IF(AND(M57&gt;0,COUNTIF(M57:AL57,"&lt;=0")=0),M$44,99)</f>
        <v>99</v>
      </c>
      <c r="N61" s="0" t="n">
        <f aca="false">IF(AND(N57&gt;0,COUNTIF(N57:AL57,"&lt;=0")=0),N$44,99)</f>
        <v>12</v>
      </c>
      <c r="O61" s="0" t="n">
        <f aca="false">IF(AND(O57&gt;0,COUNTIF(O57:AL57,"&lt;=0")=0),O$44,99)</f>
        <v>13</v>
      </c>
      <c r="P61" s="0" t="n">
        <f aca="false">IF(AND(P57&gt;0,COUNTIF(P57:AL57,"&lt;=0")=0),P$44,99)</f>
        <v>14</v>
      </c>
      <c r="Q61" s="0" t="n">
        <f aca="false">IF(AND(Q57&gt;0,COUNTIF(Q57:AL57,"&lt;=0")=0),Q$44,99)</f>
        <v>15</v>
      </c>
      <c r="R61" s="0" t="n">
        <f aca="false">IF(AND(R57&gt;0,COUNTIF(R57:AL57,"&lt;=0")=0),R$44,99)</f>
        <v>16</v>
      </c>
      <c r="S61" s="0" t="n">
        <f aca="false">IF(AND(S57&gt;0,COUNTIF(S57:AL57,"&lt;=0")=0),S$44,99)</f>
        <v>17</v>
      </c>
      <c r="T61" s="0" t="n">
        <f aca="false">IF(AND(T57&gt;0,COUNTIF(T57:AL57,"&lt;=0")=0),T$44,99)</f>
        <v>18</v>
      </c>
      <c r="U61" s="0" t="n">
        <f aca="false">IF(AND(U57&gt;0,COUNTIF(U57:AL57,"&lt;=0")=0),U$44,99)</f>
        <v>19</v>
      </c>
      <c r="V61" s="0" t="n">
        <f aca="false">IF(AND(V57&gt;0,COUNTIF(V57:AL57,"&lt;=0")=0),V$44,99)</f>
        <v>20</v>
      </c>
      <c r="W61" s="0" t="n">
        <f aca="false">IF(AND(W57&gt;0,COUNTIF(W57:AL57,"&lt;=0")=0),W$44,99)</f>
        <v>21</v>
      </c>
      <c r="X61" s="0" t="n">
        <f aca="false">IF(AND(X57&gt;0,COUNTIF(X57:AL57,"&lt;=0")=0),X$44,99)</f>
        <v>22</v>
      </c>
      <c r="Y61" s="0" t="n">
        <f aca="false">IF(AND(Y57&gt;0,COUNTIF(Y57:AL57,"&lt;=0")=0),Y$44,99)</f>
        <v>23</v>
      </c>
      <c r="Z61" s="0" t="n">
        <f aca="false">IF(AND(Z57&gt;0,COUNTIF(Z57:AL57,"&lt;=0")=0),Z$44,99)</f>
        <v>24</v>
      </c>
      <c r="AA61" s="0" t="n">
        <f aca="false">IF(AND(AA57&gt;0,COUNTIF(AA57:AL57,"&lt;=0")=0),AA$44,99)</f>
        <v>25</v>
      </c>
      <c r="AB61" s="0" t="n">
        <f aca="false">IF(AND(AB57&gt;0,COUNTIF(AB57:AL57,"&lt;=0")=0),AB$44,99)</f>
        <v>26</v>
      </c>
      <c r="AC61" s="0" t="n">
        <f aca="false">IF(AND(AC57&gt;0,COUNTIF(AC57:AL57,"&lt;=0")=0),AC$44,99)</f>
        <v>27</v>
      </c>
      <c r="AD61" s="0" t="n">
        <f aca="false">IF(AND(AD57&gt;0,COUNTIF(AD57:AL57,"&lt;=0")=0),AD$44,99)</f>
        <v>28</v>
      </c>
      <c r="AE61" s="0" t="n">
        <f aca="false">IF(AND(AE57&gt;0,COUNTIF(AE57:AL57,"&lt;=0")=0),AE$44,99)</f>
        <v>29</v>
      </c>
      <c r="AF61" s="0" t="n">
        <f aca="false">IF(AND(AF57&gt;0,COUNTIF(AF57:AL57,"&lt;=0")=0),AF$44,99)</f>
        <v>30</v>
      </c>
      <c r="AG61" s="0" t="n">
        <f aca="false">IF(AND(AG57&gt;0,COUNTIF(AG57:AL57,"&lt;=0")=0),AG$44,99)</f>
        <v>31</v>
      </c>
      <c r="AH61" s="0" t="n">
        <f aca="false">IF(AND(AH57&gt;0,COUNTIF(AH57:AL57,"&lt;=0")=0),AH$44,99)</f>
        <v>32</v>
      </c>
      <c r="AI61" s="0" t="n">
        <f aca="false">IF(AND(AI57&gt;0,COUNTIF(AI57:AL57,"&lt;=0")=0),AI$44,99)</f>
        <v>33</v>
      </c>
      <c r="AJ61" s="0" t="n">
        <f aca="false">IF(AND(AJ57&gt;0,COUNTIF(AJ57:AL57,"&lt;=0")=0),AJ$44,99)</f>
        <v>34</v>
      </c>
      <c r="AK61" s="0" t="n">
        <f aca="false">IF(AND(AK57&gt;0,COUNTIF(AK57:AL57,"&lt;=0")=0),AK$44,99)</f>
        <v>35</v>
      </c>
      <c r="AL61" s="0" t="n">
        <f aca="false">IF(AND(AL57&gt;0,COUNTIF(AL57:AL57,"&lt;=0")=0),AL$44,99)</f>
        <v>36</v>
      </c>
    </row>
    <row r="62" customFormat="false" ht="15" hidden="false" customHeight="false" outlineLevel="0" collapsed="false">
      <c r="A62" s="0" t="s">
        <v>291</v>
      </c>
      <c r="B62" s="0" t="s">
        <v>292</v>
      </c>
      <c r="C62" s="0" t="n">
        <f aca="false">IF(AND(C60&gt;=0,COUNTIF(C60:AL60,"&lt;0")=0),C$44,99)</f>
        <v>99</v>
      </c>
      <c r="D62" s="0" t="n">
        <f aca="false">IF(AND(D60&gt;=0,COUNTIF(D60:AL60,"&lt;0")=0),D$44,99)</f>
        <v>99</v>
      </c>
      <c r="E62" s="0" t="n">
        <f aca="false">IF(AND(E60&gt;=0,COUNTIF(E60:AL60,"&lt;0")=0),E$44,99)</f>
        <v>99</v>
      </c>
      <c r="F62" s="0" t="n">
        <f aca="false">IF(AND(F60&gt;=0,COUNTIF(F60:AL60,"&lt;0")=0),F$44,99)</f>
        <v>99</v>
      </c>
      <c r="G62" s="0" t="n">
        <f aca="false">IF(AND(G60&gt;=0,COUNTIF(G60:AL60,"&lt;0")=0),G$44,99)</f>
        <v>99</v>
      </c>
      <c r="H62" s="0" t="n">
        <f aca="false">IF(AND(H60&gt;=0,COUNTIF(H60:AL60,"&lt;0")=0),H$44,99)</f>
        <v>99</v>
      </c>
      <c r="I62" s="0" t="n">
        <f aca="false">IF(AND(I60&gt;=0,COUNTIF(I60:AL60,"&lt;0")=0),I$44,99)</f>
        <v>99</v>
      </c>
      <c r="J62" s="0" t="n">
        <f aca="false">IF(AND(J60&gt;=0,COUNTIF(J60:AL60,"&lt;0")=0),J$44,99)</f>
        <v>99</v>
      </c>
      <c r="K62" s="0" t="n">
        <f aca="false">IF(AND(K60&gt;=0,COUNTIF(K60:AL60,"&lt;0")=0),K$44,99)</f>
        <v>99</v>
      </c>
      <c r="L62" s="0" t="n">
        <f aca="false">IF(AND(L60&gt;=0,COUNTIF(L60:AL60,"&lt;0")=0),L$44,99)</f>
        <v>99</v>
      </c>
      <c r="M62" s="0" t="n">
        <f aca="false">IF(AND(M60&gt;=0,COUNTIF(M60:AL60,"&lt;0")=0),M$44,99)</f>
        <v>99</v>
      </c>
      <c r="N62" s="0" t="n">
        <f aca="false">IF(AND(N60&gt;=0,COUNTIF(N60:AL60,"&lt;0")=0),N$44,99)</f>
        <v>99</v>
      </c>
      <c r="O62" s="0" t="n">
        <f aca="false">IF(AND(O60&gt;=0,COUNTIF(O60:AL60,"&lt;0")=0),O$44,99)</f>
        <v>99</v>
      </c>
      <c r="P62" s="0" t="n">
        <f aca="false">IF(AND(P60&gt;=0,COUNTIF(P60:AL60,"&lt;0")=0),P$44,99)</f>
        <v>99</v>
      </c>
      <c r="Q62" s="0" t="n">
        <f aca="false">IF(AND(Q60&gt;=0,COUNTIF(Q60:AL60,"&lt;0")=0),Q$44,99)</f>
        <v>99</v>
      </c>
      <c r="R62" s="0" t="n">
        <f aca="false">IF(AND(R60&gt;=0,COUNTIF(R60:AL60,"&lt;0")=0),R$44,99)</f>
        <v>99</v>
      </c>
      <c r="S62" s="0" t="n">
        <f aca="false">IF(AND(S60&gt;=0,COUNTIF(S60:AL60,"&lt;0")=0),S$44,99)</f>
        <v>99</v>
      </c>
      <c r="T62" s="0" t="n">
        <f aca="false">IF(AND(T60&gt;=0,COUNTIF(T60:AL60,"&lt;0")=0),T$44,99)</f>
        <v>99</v>
      </c>
      <c r="U62" s="0" t="n">
        <f aca="false">IF(AND(U60&gt;=0,COUNTIF(U60:AL60,"&lt;0")=0),U$44,99)</f>
        <v>99</v>
      </c>
      <c r="V62" s="0" t="n">
        <f aca="false">IF(AND(V60&gt;=0,COUNTIF(V60:AL60,"&lt;0")=0),V$44,99)</f>
        <v>99</v>
      </c>
      <c r="W62" s="0" t="n">
        <f aca="false">IF(AND(W60&gt;=0,COUNTIF(W60:AL60,"&lt;0")=0),W$44,99)</f>
        <v>99</v>
      </c>
      <c r="X62" s="0" t="n">
        <f aca="false">IF(AND(X60&gt;=0,COUNTIF(X60:AL60,"&lt;0")=0),X$44,99)</f>
        <v>22</v>
      </c>
      <c r="Y62" s="0" t="n">
        <f aca="false">IF(AND(Y60&gt;=0,COUNTIF(Y60:AL60,"&lt;0")=0),Y$44,99)</f>
        <v>23</v>
      </c>
      <c r="Z62" s="0" t="n">
        <f aca="false">IF(AND(Z60&gt;=0,COUNTIF(Z60:AL60,"&lt;0")=0),Z$44,99)</f>
        <v>24</v>
      </c>
      <c r="AA62" s="0" t="n">
        <f aca="false">IF(AND(AA60&gt;=0,COUNTIF(AA60:AL60,"&lt;0")=0),AA$44,99)</f>
        <v>25</v>
      </c>
      <c r="AB62" s="0" t="n">
        <f aca="false">IF(AND(AB60&gt;=0,COUNTIF(AB60:AL60,"&lt;0")=0),AB$44,99)</f>
        <v>26</v>
      </c>
      <c r="AC62" s="0" t="n">
        <f aca="false">IF(AND(AC60&gt;=0,COUNTIF(AC60:AL60,"&lt;0")=0),AC$44,99)</f>
        <v>27</v>
      </c>
      <c r="AD62" s="0" t="n">
        <f aca="false">IF(AND(AD60&gt;=0,COUNTIF(AD60:AL60,"&lt;0")=0),AD$44,99)</f>
        <v>28</v>
      </c>
      <c r="AE62" s="0" t="n">
        <f aca="false">IF(AND(AE60&gt;=0,COUNTIF(AE60:AL60,"&lt;0")=0),AE$44,99)</f>
        <v>29</v>
      </c>
      <c r="AF62" s="0" t="n">
        <f aca="false">IF(AND(AF60&gt;=0,COUNTIF(AF60:AL60,"&lt;0")=0),AF$44,99)</f>
        <v>30</v>
      </c>
      <c r="AG62" s="0" t="n">
        <f aca="false">IF(AND(AG60&gt;=0,COUNTIF(AG60:AL60,"&lt;0")=0),AG$44,99)</f>
        <v>31</v>
      </c>
      <c r="AH62" s="0" t="n">
        <f aca="false">IF(AND(AH60&gt;=0,COUNTIF(AH60:AL60,"&lt;0")=0),AH$44,99)</f>
        <v>32</v>
      </c>
      <c r="AI62" s="0" t="n">
        <f aca="false">IF(AND(AI60&gt;=0,COUNTIF(AI60:AL60,"&lt;0")=0),AI$44,99)</f>
        <v>33</v>
      </c>
      <c r="AJ62" s="0" t="n">
        <f aca="false">IF(AND(AJ60&gt;=0,COUNTIF(AJ60:AL60,"&lt;0")=0),AJ$44,99)</f>
        <v>34</v>
      </c>
      <c r="AK62" s="0" t="n">
        <f aca="false">IF(AND(AK60&gt;=0,COUNTIF(AK60:AL60,"&lt;0")=0),AK$44,99)</f>
        <v>35</v>
      </c>
      <c r="AL62" s="0" t="n">
        <f aca="false">IF(AND(AL60&gt;=0,COUNTIF(AL60:AL60,"&lt;0")=0),AL$44,99)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42" min="3" style="0" width="11"/>
  </cols>
  <sheetData>
    <row r="1" customFormat="false" ht="16.15" hidden="false" customHeight="false" outlineLevel="0" collapsed="false">
      <c r="A1" s="8" t="s">
        <v>295</v>
      </c>
    </row>
    <row r="4" customFormat="false" ht="15" hidden="false" customHeight="false" outlineLevel="0" collapsed="false">
      <c r="A4" s="1" t="s">
        <v>251</v>
      </c>
      <c r="B4" s="1" t="s">
        <v>252</v>
      </c>
      <c r="C4" s="1" t="n">
        <v>1</v>
      </c>
      <c r="D4" s="1" t="n">
        <v>2</v>
      </c>
      <c r="E4" s="1" t="n">
        <v>3</v>
      </c>
      <c r="F4" s="1" t="n">
        <v>4</v>
      </c>
      <c r="G4" s="1" t="n">
        <v>5</v>
      </c>
      <c r="H4" s="1" t="n">
        <v>6</v>
      </c>
      <c r="I4" s="1" t="n">
        <v>7</v>
      </c>
      <c r="J4" s="1" t="n">
        <v>8</v>
      </c>
      <c r="K4" s="1" t="n">
        <v>9</v>
      </c>
      <c r="L4" s="1" t="n">
        <v>10</v>
      </c>
      <c r="M4" s="1" t="n">
        <v>11</v>
      </c>
      <c r="N4" s="1" t="n">
        <v>12</v>
      </c>
      <c r="O4" s="1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  <c r="AG4" s="1" t="n">
        <v>31</v>
      </c>
      <c r="AH4" s="1" t="n">
        <v>32</v>
      </c>
      <c r="AI4" s="1" t="n">
        <v>33</v>
      </c>
      <c r="AJ4" s="1" t="n">
        <v>34</v>
      </c>
      <c r="AK4" s="1" t="n">
        <v>35</v>
      </c>
      <c r="AL4" s="1" t="n">
        <v>36</v>
      </c>
      <c r="AM4" s="1" t="s">
        <v>253</v>
      </c>
      <c r="AN4" s="1" t="s">
        <v>254</v>
      </c>
      <c r="AO4" s="1" t="s">
        <v>255</v>
      </c>
      <c r="AP4" s="1" t="s">
        <v>256</v>
      </c>
    </row>
    <row r="5" customFormat="false" ht="15" hidden="false" customHeight="false" outlineLevel="0" collapsed="false">
      <c r="A5" s="0" t="s">
        <v>296</v>
      </c>
      <c r="B5" s="0" t="s">
        <v>297</v>
      </c>
      <c r="C5" s="10" t="n">
        <f aca="false">A_дропшиппинг!C14</f>
        <v>0</v>
      </c>
      <c r="D5" s="10" t="n">
        <f aca="false">A_дропшиппинг!D14</f>
        <v>0</v>
      </c>
      <c r="E5" s="10" t="n">
        <f aca="false">A_дропшиппинг!E14</f>
        <v>33.089138780437</v>
      </c>
      <c r="F5" s="10" t="n">
        <f aca="false">A_дропшиппинг!F14</f>
        <v>93.5902176610791</v>
      </c>
      <c r="G5" s="10" t="n">
        <f aca="false">A_дропшиппинг!G14</f>
        <v>171.936208639244</v>
      </c>
      <c r="H5" s="10" t="n">
        <f aca="false">A_дропшиппинг!H14</f>
        <v>264.713110243496</v>
      </c>
      <c r="I5" s="10" t="n">
        <f aca="false">A_дропшиппинг!I14</f>
        <v>369.947818149908</v>
      </c>
      <c r="J5" s="10" t="n">
        <f aca="false">A_дропшиппинг!J14</f>
        <v>486.309036241257</v>
      </c>
      <c r="K5" s="10" t="n">
        <f aca="false">A_дропшиппинг!K14</f>
        <v>612.819426172376</v>
      </c>
      <c r="L5" s="10" t="n">
        <f aca="false">A_дропшиппинг!L14</f>
        <v>748.721741288633</v>
      </c>
      <c r="M5" s="10" t="n">
        <f aca="false">A_дропшиппинг!M14</f>
        <v>893.406747071799</v>
      </c>
      <c r="N5" s="10" t="n">
        <f aca="false">A_дропшиппинг!N14</f>
        <v>1046.37044359587</v>
      </c>
      <c r="O5" s="10" t="n">
        <f aca="false">A_дропшиппинг!O14</f>
        <v>1207.18683767778</v>
      </c>
      <c r="P5" s="10" t="n">
        <f aca="false">A_дропшиппинг!P14</f>
        <v>1375.48966911395</v>
      </c>
      <c r="Q5" s="10" t="n">
        <f aca="false">A_дропшиппинг!Q14</f>
        <v>1550.95962493952</v>
      </c>
      <c r="R5" s="10" t="n">
        <f aca="false">A_дропшиппинг!R14</f>
        <v>1733.31508755734</v>
      </c>
      <c r="S5" s="10" t="n">
        <f aca="false">A_дропшиппинг!S14</f>
        <v>1922.30525155468</v>
      </c>
      <c r="T5" s="10" t="n">
        <f aca="false">A_дропшиппинг!T14</f>
        <v>2117.70488194797</v>
      </c>
      <c r="U5" s="10" t="n">
        <f aca="false">A_дропшиппинг!U14</f>
        <v>2319.31024229188</v>
      </c>
      <c r="V5" s="10" t="n">
        <f aca="false">A_дропшиппинг!V14</f>
        <v>2526.93587684914</v>
      </c>
      <c r="W5" s="10" t="n">
        <f aca="false">A_дропшиппинг!W14</f>
        <v>2740.41202938163</v>
      </c>
      <c r="X5" s="10" t="n">
        <f aca="false">A_дропшиппинг!X14</f>
        <v>2959.58254519927</v>
      </c>
      <c r="Y5" s="10" t="n">
        <f aca="false">A_дропшиппинг!Y14</f>
        <v>3184.30314598728</v>
      </c>
      <c r="Z5" s="10" t="n">
        <f aca="false">A_дропшиппинг!Z14</f>
        <v>3414.43999632442</v>
      </c>
      <c r="AA5" s="10" t="n">
        <f aca="false">A_дропшиппинг!AA14</f>
        <v>3649.86850137725</v>
      </c>
      <c r="AB5" s="10" t="n">
        <f aca="false">A_дропшиппинг!AB14</f>
        <v>3890.47228993006</v>
      </c>
      <c r="AC5" s="10" t="n">
        <f aca="false">A_дропшиппинг!AC14</f>
        <v>4136.14234755463</v>
      </c>
      <c r="AD5" s="10" t="n">
        <f aca="false">A_дропшиппинг!AD14</f>
        <v>4386.77627256513</v>
      </c>
      <c r="AE5" s="10" t="n">
        <f aca="false">A_дропшиппинг!AE14</f>
        <v>4642.27763325958</v>
      </c>
      <c r="AF5" s="10" t="n">
        <f aca="false">A_дропшиппинг!AF14</f>
        <v>4902.555409379</v>
      </c>
      <c r="AG5" s="10" t="n">
        <f aca="false">A_дропшиппинг!AG14</f>
        <v>5167.52350410517</v>
      </c>
      <c r="AH5" s="10" t="n">
        <f aca="false">A_дропшиппинг!AH14</f>
        <v>5437.1003155393</v>
      </c>
      <c r="AI5" s="10" t="n">
        <f aca="false">A_дропшиппинг!AI14</f>
        <v>5711.20835865207</v>
      </c>
      <c r="AJ5" s="10" t="n">
        <f aca="false">A_дропшиппинг!AJ14</f>
        <v>5989.77393030906</v>
      </c>
      <c r="AK5" s="10" t="n">
        <f aca="false">A_дропшиппинг!AK14</f>
        <v>6272.72681125897</v>
      </c>
      <c r="AL5" s="10" t="n">
        <f aca="false">A_дропшиппинг!AL14</f>
        <v>9041.6</v>
      </c>
      <c r="AM5" s="10" t="n">
        <f aca="false">SUM(C5:N5)</f>
        <v>4720.9038878441</v>
      </c>
      <c r="AN5" s="10" t="n">
        <f aca="false">SUM(O5:Z5)</f>
        <v>27051.9451888249</v>
      </c>
      <c r="AO5" s="10" t="n">
        <f aca="false">SUM(AA5:AL5)</f>
        <v>63228.0253739302</v>
      </c>
      <c r="AP5" s="10" t="n">
        <f aca="false">SUM(C5:AL5)</f>
        <v>95000.8744505992</v>
      </c>
    </row>
    <row r="6" customFormat="false" ht="15" hidden="false" customHeight="false" outlineLevel="0" collapsed="false">
      <c r="A6" s="0" t="s">
        <v>298</v>
      </c>
      <c r="B6" s="0" t="s">
        <v>299</v>
      </c>
      <c r="C6" s="10" t="n">
        <f aca="false">A_дропшиппинг!C6*(1+Допущения!$C$34)</f>
        <v>0</v>
      </c>
      <c r="D6" s="10" t="n">
        <f aca="false">A_дропшиппинг!D6*(1+Допущения!$C$34)</f>
        <v>0</v>
      </c>
      <c r="E6" s="10" t="n">
        <f aca="false">A_дропшиппинг!E6*(1+Допущения!$C$34)</f>
        <v>75.661140504048</v>
      </c>
      <c r="F6" s="10" t="n">
        <f aca="false">A_дропшиппинг!F6*(1+Допущения!$C$34)</f>
        <v>214.002022090882</v>
      </c>
      <c r="G6" s="10" t="n">
        <f aca="false">A_дропшиппинг!G6*(1+Допущения!$C$34)</f>
        <v>393.146818534856</v>
      </c>
      <c r="H6" s="10" t="n">
        <f aca="false">A_дропшиппинг!H6*(1+Допущения!$C$34)</f>
        <v>605.289124032384</v>
      </c>
      <c r="I6" s="10" t="n">
        <f aca="false">A_дропшиппинг!I6*(1+Допущения!$C$34)</f>
        <v>845.917267111071</v>
      </c>
      <c r="J6" s="10" t="n">
        <f aca="false">A_дропшиппинг!J6*(1+Допущения!$C$34)</f>
        <v>1111.98712555166</v>
      </c>
      <c r="K6" s="10" t="n">
        <f aca="false">A_дропшиппинг!K6*(1+Допущения!$C$34)</f>
        <v>1401.26393179659</v>
      </c>
      <c r="L6" s="10" t="n">
        <f aca="false">A_дропшиппинг!L6*(1+Допущения!$C$34)</f>
        <v>1712.01617672706</v>
      </c>
      <c r="M6" s="10" t="n">
        <f aca="false">A_дропшиппинг!M6*(1+Допущения!$C$34)</f>
        <v>2042.8507936093</v>
      </c>
      <c r="N6" s="10" t="n">
        <f aca="false">A_дропшиппинг!N6*(1+Допущения!$C$34)</f>
        <v>2392.61534358812</v>
      </c>
      <c r="O6" s="10" t="n">
        <f aca="false">A_дропшиппинг!O6*(1+Допущения!$C$34)</f>
        <v>2760.33575688518</v>
      </c>
      <c r="P6" s="10" t="n">
        <f aca="false">A_дропшиппинг!P6*(1+Допущения!$C$34)</f>
        <v>3145.17454827885</v>
      </c>
      <c r="Q6" s="10" t="n">
        <f aca="false">A_дропшиппинг!Q6*(1+Допущения!$C$34)</f>
        <v>3546.4015814166</v>
      </c>
      <c r="R6" s="10" t="n">
        <f aca="false">A_дропшиппинг!R6*(1+Допущения!$C$34)</f>
        <v>3963.37291362197</v>
      </c>
      <c r="S6" s="10" t="n">
        <f aca="false">A_дропшиппинг!S6*(1+Допущения!$C$34)</f>
        <v>4395.51505690856</v>
      </c>
      <c r="T6" s="10" t="n">
        <f aca="false">A_дропшиппинг!T6*(1+Допущения!$C$34)</f>
        <v>4842.31299225907</v>
      </c>
      <c r="U6" s="10" t="n">
        <f aca="false">A_дропшиппинг!U6*(1+Допущения!$C$34)</f>
        <v>5303.30085889911</v>
      </c>
      <c r="V6" s="10" t="n">
        <f aca="false">A_дропшиппинг!V6*(1+Допущения!$C$34)</f>
        <v>5778.05459645382</v>
      </c>
      <c r="W6" s="10" t="n">
        <f aca="false">A_дропшиппинг!W6*(1+Допущения!$C$34)</f>
        <v>6266.18604279337</v>
      </c>
      <c r="X6" s="10" t="n">
        <f aca="false">A_дропшиппинг!X6*(1+Допущения!$C$34)</f>
        <v>6767.33813688856</v>
      </c>
      <c r="Y6" s="10" t="n">
        <f aca="false">A_дропшиппинг!Y6*(1+Допущения!$C$34)</f>
        <v>7281.18097405628</v>
      </c>
      <c r="Z6" s="10" t="n">
        <f aca="false">A_дропшиппинг!Z6*(1+Допущения!$C$34)</f>
        <v>7807.40852818084</v>
      </c>
      <c r="AA6" s="10" t="n">
        <f aca="false">A_дропшиппинг!AA6*(1+Допущения!$C$34)</f>
        <v>8345.73590253945</v>
      </c>
      <c r="AB6" s="10" t="n">
        <f aca="false">A_дропшиппинг!AB6*(1+Допущения!$C$34)</f>
        <v>8895.89700441324</v>
      </c>
      <c r="AC6" s="10" t="n">
        <f aca="false">A_дропшиппинг!AC6*(1+Допущения!$C$34)</f>
        <v>9457.642563006</v>
      </c>
      <c r="AD6" s="10" t="n">
        <f aca="false">A_дропшиппинг!AD6*(1+Допущения!$C$34)</f>
        <v>10030.7384281215</v>
      </c>
      <c r="AE6" s="10" t="n">
        <f aca="false">A_дропшиппинг!AE6*(1+Допущения!$C$34)</f>
        <v>10614.9641004411</v>
      </c>
      <c r="AF6" s="10" t="n">
        <f aca="false">A_дропшиппинг!AF6*(1+Допущения!$C$34)</f>
        <v>11210.1114543727</v>
      </c>
      <c r="AG6" s="10" t="n">
        <f aca="false">A_дропшиппинг!AG6*(1+Допущения!$C$34)</f>
        <v>11815.9836221917</v>
      </c>
      <c r="AH6" s="10" t="n">
        <f aca="false">A_дропшиппинг!AH6*(1+Допущения!$C$34)</f>
        <v>12432.3940141905</v>
      </c>
      <c r="AI6" s="10" t="n">
        <f aca="false">A_дропшиппинг!AI6*(1+Допущения!$C$34)</f>
        <v>13059.1654542349</v>
      </c>
      <c r="AJ6" s="10" t="n">
        <f aca="false">A_дропшиппинг!AJ6*(1+Допущения!$C$34)</f>
        <v>13696.1294138165</v>
      </c>
      <c r="AK6" s="10" t="n">
        <f aca="false">A_дропшиппинг!AK6*(1+Допущения!$C$34)</f>
        <v>14343.1253306227</v>
      </c>
      <c r="AL6" s="10" t="n">
        <f aca="false">A_дропшиппинг!AL6*(1+Допущения!$C$34)</f>
        <v>15000</v>
      </c>
      <c r="AM6" s="10" t="n">
        <f aca="false">N6</f>
        <v>2392.61534358812</v>
      </c>
      <c r="AN6" s="10" t="n">
        <f aca="false">Z6</f>
        <v>7807.40852818084</v>
      </c>
      <c r="AO6" s="10" t="n">
        <f aca="false">AL6</f>
        <v>15000</v>
      </c>
    </row>
    <row r="7" customFormat="false" ht="15" hidden="false" customHeight="false" outlineLevel="0" collapsed="false">
      <c r="A7" s="0" t="s">
        <v>300</v>
      </c>
      <c r="B7" s="0" t="s">
        <v>301</v>
      </c>
      <c r="C7" s="10" t="n">
        <f aca="false">IF(C$4&gt;=Допущения!$C$30,C6*Допущения!$C$33*Допущения!$C$31*Допущения!$C$32/12,0)</f>
        <v>0</v>
      </c>
      <c r="D7" s="10" t="n">
        <f aca="false">IF(D$4&gt;=Допущения!$C$30,D6*Допущения!$C$33*Допущения!$C$31*Допущения!$C$32/12,0)</f>
        <v>0</v>
      </c>
      <c r="E7" s="10" t="n">
        <f aca="false">IF(E$4&gt;=Допущения!$C$30,E6*Допущения!$C$33*Допущения!$C$31*Допущения!$C$32/12,0)</f>
        <v>0</v>
      </c>
      <c r="F7" s="10" t="n">
        <f aca="false">IF(F$4&gt;=Допущения!$C$30,F6*Допущения!$C$33*Допущения!$C$31*Допущения!$C$32/12,0)</f>
        <v>0</v>
      </c>
      <c r="G7" s="10" t="n">
        <f aca="false">IF(G$4&gt;=Допущения!$C$30,G6*Допущения!$C$33*Допущения!$C$31*Допущения!$C$32/12,0)</f>
        <v>0</v>
      </c>
      <c r="H7" s="10" t="n">
        <f aca="false">IF(H$4&gt;=Допущения!$C$30,H6*Допущения!$C$33*Допущения!$C$31*Допущения!$C$32/12,0)</f>
        <v>0</v>
      </c>
      <c r="I7" s="10" t="n">
        <f aca="false">IF(I$4&gt;=Допущения!$C$30,I6*Допущения!$C$33*Допущения!$C$31*Допущения!$C$32/12,0)</f>
        <v>0</v>
      </c>
      <c r="J7" s="10" t="n">
        <f aca="false">IF(J$4&gt;=Допущения!$C$30,J6*Допущения!$C$33*Допущения!$C$31*Допущения!$C$32/12,0)</f>
        <v>0</v>
      </c>
      <c r="K7" s="10" t="n">
        <f aca="false">IF(K$4&gt;=Допущения!$C$30,K6*Допущения!$C$33*Допущения!$C$31*Допущения!$C$32/12,0)</f>
        <v>0</v>
      </c>
      <c r="L7" s="10" t="n">
        <f aca="false">IF(L$4&gt;=Допущения!$C$30,L6*Допущения!$C$33*Допущения!$C$31*Допущения!$C$32/12,0)</f>
        <v>0</v>
      </c>
      <c r="M7" s="10" t="n">
        <f aca="false">IF(M$4&gt;=Допущения!$C$30,M6*Допущения!$C$33*Допущения!$C$31*Допущения!$C$32/12,0)</f>
        <v>0</v>
      </c>
      <c r="N7" s="10" t="n">
        <f aca="false">IF(N$4&gt;=Допущения!$C$30,N6*Допущения!$C$33*Допущения!$C$31*Допущения!$C$32/12,0)</f>
        <v>3030.64610187828</v>
      </c>
      <c r="O7" s="10" t="n">
        <f aca="false">IF(O$4&gt;=Допущения!$C$30,O6*Допущения!$C$33*Допущения!$C$31*Допущения!$C$32/12,0)</f>
        <v>3496.42529205456</v>
      </c>
      <c r="P7" s="10" t="n">
        <f aca="false">IF(P$4&gt;=Допущения!$C$30,P6*Допущения!$C$33*Допущения!$C$31*Допущения!$C$32/12,0)</f>
        <v>3983.88776115321</v>
      </c>
      <c r="Q7" s="10" t="n">
        <f aca="false">IF(Q$4&gt;=Допущения!$C$30,Q6*Допущения!$C$33*Допущения!$C$31*Допущения!$C$32/12,0)</f>
        <v>4492.10866979435</v>
      </c>
      <c r="R7" s="10" t="n">
        <f aca="false">IF(R$4&gt;=Допущения!$C$30,R6*Допущения!$C$33*Допущения!$C$31*Допущения!$C$32/12,0)</f>
        <v>5020.2723572545</v>
      </c>
      <c r="S7" s="10" t="n">
        <f aca="false">IF(S$4&gt;=Допущения!$C$30,S6*Допущения!$C$33*Допущения!$C$31*Допущения!$C$32/12,0)</f>
        <v>5567.65240541751</v>
      </c>
      <c r="T7" s="10" t="n">
        <f aca="false">IF(T$4&gt;=Допущения!$C$30,T6*Допущения!$C$33*Допущения!$C$31*Допущения!$C$32/12,0)</f>
        <v>6133.59645686149</v>
      </c>
      <c r="U7" s="10" t="n">
        <f aca="false">IF(U$4&gt;=Допущения!$C$30,U6*Допущения!$C$33*Допущения!$C$31*Допущения!$C$32/12,0)</f>
        <v>6717.5144212722</v>
      </c>
      <c r="V7" s="10" t="n">
        <f aca="false">IF(V$4&gt;=Допущения!$C$30,V6*Допущения!$C$33*Допущения!$C$31*Допущения!$C$32/12,0)</f>
        <v>7318.86915550817</v>
      </c>
      <c r="W7" s="10" t="n">
        <f aca="false">IF(W$4&gt;=Допущения!$C$30,W6*Допущения!$C$33*Допущения!$C$31*Допущения!$C$32/12,0)</f>
        <v>7937.16898753827</v>
      </c>
      <c r="X7" s="10" t="n">
        <f aca="false">IF(X$4&gt;=Допущения!$C$30,X6*Допущения!$C$33*Допущения!$C$31*Допущения!$C$32/12,0)</f>
        <v>8571.96164005885</v>
      </c>
      <c r="Y7" s="10" t="n">
        <f aca="false">IF(Y$4&gt;=Допущения!$C$30,Y6*Допущения!$C$33*Допущения!$C$31*Допущения!$C$32/12,0)</f>
        <v>9222.82923380462</v>
      </c>
      <c r="Z7" s="10" t="n">
        <f aca="false">IF(Z$4&gt;=Допущения!$C$30,Z6*Допущения!$C$33*Допущения!$C$31*Допущения!$C$32/12,0)</f>
        <v>9889.38413569573</v>
      </c>
      <c r="AA7" s="10" t="n">
        <f aca="false">IF(AA$4&gt;=Допущения!$C$30,AA6*Допущения!$C$33*Допущения!$C$31*Допущения!$C$32/12,0)</f>
        <v>10571.26547655</v>
      </c>
      <c r="AB7" s="10" t="n">
        <f aca="false">IF(AB$4&gt;=Допущения!$C$30,AB6*Допущения!$C$33*Допущения!$C$31*Допущения!$C$32/12,0)</f>
        <v>11268.1362055901</v>
      </c>
      <c r="AC7" s="10" t="n">
        <f aca="false">IF(AC$4&gt;=Допущения!$C$30,AC6*Допущения!$C$33*Допущения!$C$31*Допущения!$C$32/12,0)</f>
        <v>11979.6805798076</v>
      </c>
      <c r="AD7" s="10" t="n">
        <f aca="false">IF(AD$4&gt;=Допущения!$C$30,AD6*Допущения!$C$33*Допущения!$C$31*Допущения!$C$32/12,0)</f>
        <v>12705.6020089539</v>
      </c>
      <c r="AE7" s="10" t="n">
        <f aca="false">IF(AE$4&gt;=Допущения!$C$30,AE6*Допущения!$C$33*Допущения!$C$31*Допущения!$C$32/12,0)</f>
        <v>13445.6211938921</v>
      </c>
      <c r="AF7" s="10" t="n">
        <f aca="false">IF(AF$4&gt;=Допущения!$C$30,AF6*Допущения!$C$33*Допущения!$C$31*Допущения!$C$32/12,0)</f>
        <v>14199.4745088721</v>
      </c>
      <c r="AG7" s="10" t="n">
        <f aca="false">IF(AG$4&gt;=Допущения!$C$30,AG6*Допущения!$C$33*Допущения!$C$31*Допущения!$C$32/12,0)</f>
        <v>14966.9125881095</v>
      </c>
      <c r="AH7" s="10" t="n">
        <f aca="false">IF(AH$4&gt;=Допущения!$C$30,AH6*Допущения!$C$33*Допущения!$C$31*Допущения!$C$32/12,0)</f>
        <v>15747.6990846413</v>
      </c>
      <c r="AI7" s="10" t="n">
        <f aca="false">IF(AI$4&gt;=Допущения!$C$30,AI6*Допущения!$C$33*Допущения!$C$31*Допущения!$C$32/12,0)</f>
        <v>16541.6095753642</v>
      </c>
      <c r="AJ7" s="10" t="n">
        <f aca="false">IF(AJ$4&gt;=Допущения!$C$30,AJ6*Допущения!$C$33*Допущения!$C$31*Допущения!$C$32/12,0)</f>
        <v>17348.4305908342</v>
      </c>
      <c r="AK7" s="10" t="n">
        <f aca="false">IF(AK$4&gt;=Допущения!$C$30,AK6*Допущения!$C$33*Допущения!$C$31*Допущения!$C$32/12,0)</f>
        <v>18167.958752122</v>
      </c>
      <c r="AL7" s="10" t="n">
        <f aca="false">IF(AL$4&gt;=Допущения!$C$30,AL6*Допущения!$C$33*Допущения!$C$31*Допущения!$C$32/12,0)</f>
        <v>19000</v>
      </c>
      <c r="AM7" s="10" t="n">
        <f aca="false">SUM(C7:N7)</f>
        <v>3030.64610187828</v>
      </c>
      <c r="AN7" s="10" t="n">
        <f aca="false">SUM(O7:Z7)</f>
        <v>78351.6705164135</v>
      </c>
      <c r="AO7" s="10" t="n">
        <f aca="false">SUM(AA7:AL7)</f>
        <v>175942.390564737</v>
      </c>
      <c r="AP7" s="10" t="n">
        <f aca="false">SUM(C7:AL7)</f>
        <v>257324.707183029</v>
      </c>
    </row>
    <row r="8" customFormat="false" ht="15" hidden="false" customHeight="false" outlineLevel="0" collapsed="false">
      <c r="A8" s="0" t="s">
        <v>302</v>
      </c>
      <c r="B8" s="0" t="s">
        <v>303</v>
      </c>
      <c r="C8" s="10" t="n">
        <f aca="false">IF(C$4&gt;=Допущения!$C$30,C6*Допущения!$C$36*Допущения!$C$35,0)</f>
        <v>0</v>
      </c>
      <c r="D8" s="10" t="n">
        <f aca="false">IF(D$4&gt;=Допущения!$C$30,D6*Допущения!$C$36*Допущения!$C$35,0)</f>
        <v>0</v>
      </c>
      <c r="E8" s="10" t="n">
        <f aca="false">IF(E$4&gt;=Допущения!$C$30,E6*Допущения!$C$36*Допущения!$C$35,0)</f>
        <v>0</v>
      </c>
      <c r="F8" s="10" t="n">
        <f aca="false">IF(F$4&gt;=Допущения!$C$30,F6*Допущения!$C$36*Допущения!$C$35,0)</f>
        <v>0</v>
      </c>
      <c r="G8" s="10" t="n">
        <f aca="false">IF(G$4&gt;=Допущения!$C$30,G6*Допущения!$C$36*Допущения!$C$35,0)</f>
        <v>0</v>
      </c>
      <c r="H8" s="10" t="n">
        <f aca="false">IF(H$4&gt;=Допущения!$C$30,H6*Допущения!$C$36*Допущения!$C$35,0)</f>
        <v>0</v>
      </c>
      <c r="I8" s="10" t="n">
        <f aca="false">IF(I$4&gt;=Допущения!$C$30,I6*Допущения!$C$36*Допущения!$C$35,0)</f>
        <v>0</v>
      </c>
      <c r="J8" s="10" t="n">
        <f aca="false">IF(J$4&gt;=Допущения!$C$30,J6*Допущения!$C$36*Допущения!$C$35,0)</f>
        <v>0</v>
      </c>
      <c r="K8" s="10" t="n">
        <f aca="false">IF(K$4&gt;=Допущения!$C$30,K6*Допущения!$C$36*Допущения!$C$35,0)</f>
        <v>0</v>
      </c>
      <c r="L8" s="10" t="n">
        <f aca="false">IF(L$4&gt;=Допущения!$C$30,L6*Допущения!$C$36*Допущения!$C$35,0)</f>
        <v>0</v>
      </c>
      <c r="M8" s="10" t="n">
        <f aca="false">IF(M$4&gt;=Допущения!$C$30,M6*Допущения!$C$36*Допущения!$C$35,0)</f>
        <v>0</v>
      </c>
      <c r="N8" s="10" t="n">
        <f aca="false">IF(N$4&gt;=Допущения!$C$30,N6*Допущения!$C$36*Допущения!$C$35,0)</f>
        <v>2081.57534892166</v>
      </c>
      <c r="O8" s="10" t="n">
        <f aca="false">IF(O$4&gt;=Допущения!$C$30,O6*Допущения!$C$36*Допущения!$C$35,0)</f>
        <v>2401.4921084901</v>
      </c>
      <c r="P8" s="10" t="n">
        <f aca="false">IF(P$4&gt;=Допущения!$C$30,P6*Допущения!$C$36*Допущения!$C$35,0)</f>
        <v>2736.3018570026</v>
      </c>
      <c r="Q8" s="10" t="n">
        <f aca="false">IF(Q$4&gt;=Допущения!$C$30,Q6*Допущения!$C$36*Допущения!$C$35,0)</f>
        <v>3085.36937583244</v>
      </c>
      <c r="R8" s="10" t="n">
        <f aca="false">IF(R$4&gt;=Допущения!$C$30,R6*Допущения!$C$36*Допущения!$C$35,0)</f>
        <v>3448.13443485112</v>
      </c>
      <c r="S8" s="10" t="n">
        <f aca="false">IF(S$4&gt;=Допущения!$C$30,S6*Допущения!$C$36*Допущения!$C$35,0)</f>
        <v>3824.09809951045</v>
      </c>
      <c r="T8" s="10" t="n">
        <f aca="false">IF(T$4&gt;=Допущения!$C$30,T6*Допущения!$C$36*Допущения!$C$35,0)</f>
        <v>4212.81230326539</v>
      </c>
      <c r="U8" s="10" t="n">
        <f aca="false">IF(U$4&gt;=Допущения!$C$30,U6*Допущения!$C$36*Допущения!$C$35,0)</f>
        <v>4613.87174724222</v>
      </c>
      <c r="V8" s="10" t="n">
        <f aca="false">IF(V$4&gt;=Допущения!$C$30,V6*Допущения!$C$36*Допущения!$C$35,0)</f>
        <v>5026.90749891482</v>
      </c>
      <c r="W8" s="10" t="n">
        <f aca="false">IF(W$4&gt;=Допущения!$C$30,W6*Допущения!$C$36*Допущения!$C$35,0)</f>
        <v>5451.58185723023</v>
      </c>
      <c r="X8" s="10" t="n">
        <f aca="false">IF(X$4&gt;=Допущения!$C$30,X6*Допущения!$C$36*Допущения!$C$35,0)</f>
        <v>5887.58417909305</v>
      </c>
      <c r="Y8" s="10" t="n">
        <f aca="false">IF(Y$4&gt;=Допущения!$C$30,Y6*Допущения!$C$36*Допущения!$C$35,0)</f>
        <v>6334.62744742896</v>
      </c>
      <c r="Z8" s="10" t="n">
        <f aca="false">IF(Z$4&gt;=Допущения!$C$30,Z6*Допущения!$C$36*Допущения!$C$35,0)</f>
        <v>6792.44541951733</v>
      </c>
      <c r="AA8" s="10" t="n">
        <f aca="false">IF(AA$4&gt;=Допущения!$C$30,AA6*Допущения!$C$36*Допущения!$C$35,0)</f>
        <v>7260.79023520932</v>
      </c>
      <c r="AB8" s="10" t="n">
        <f aca="false">IF(AB$4&gt;=Допущения!$C$30,AB6*Допущения!$C$36*Допущения!$C$35,0)</f>
        <v>7739.43039383952</v>
      </c>
      <c r="AC8" s="10" t="n">
        <f aca="false">IF(AC$4&gt;=Допущения!$C$30,AC6*Допущения!$C$36*Допущения!$C$35,0)</f>
        <v>8228.14902981522</v>
      </c>
      <c r="AD8" s="10" t="n">
        <f aca="false">IF(AD$4&gt;=Допущения!$C$30,AD6*Допущения!$C$36*Допущения!$C$35,0)</f>
        <v>8726.74243246569</v>
      </c>
      <c r="AE8" s="10" t="n">
        <f aca="false">IF(AE$4&gt;=Допущения!$C$30,AE6*Допущения!$C$36*Допущения!$C$35,0)</f>
        <v>9235.01876738377</v>
      </c>
      <c r="AF8" s="10" t="n">
        <f aca="false">IF(AF$4&gt;=Допущения!$C$30,AF6*Допущения!$C$36*Допущения!$C$35,0)</f>
        <v>9752.79696530427</v>
      </c>
      <c r="AG8" s="10" t="n">
        <f aca="false">IF(AG$4&gt;=Допущения!$C$30,AG6*Допущения!$C$36*Допущения!$C$35,0)</f>
        <v>10279.9057513068</v>
      </c>
      <c r="AH8" s="10" t="n">
        <f aca="false">IF(AH$4&gt;=Допущения!$C$30,AH6*Допущения!$C$36*Допущения!$C$35,0)</f>
        <v>10816.1827923457</v>
      </c>
      <c r="AI8" s="10" t="n">
        <f aca="false">IF(AI$4&gt;=Допущения!$C$30,AI6*Допущения!$C$36*Допущения!$C$35,0)</f>
        <v>11361.4739451844</v>
      </c>
      <c r="AJ8" s="10" t="n">
        <f aca="false">IF(AJ$4&gt;=Допущения!$C$30,AJ6*Допущения!$C$36*Допущения!$C$35,0)</f>
        <v>11915.6325900203</v>
      </c>
      <c r="AK8" s="10" t="n">
        <f aca="false">IF(AK$4&gt;=Допущения!$C$30,AK6*Допущения!$C$36*Допущения!$C$35,0)</f>
        <v>12478.5190376417</v>
      </c>
      <c r="AL8" s="10" t="n">
        <f aca="false">IF(AL$4&gt;=Допущения!$C$30,AL6*Допущения!$C$36*Допущения!$C$35,0)</f>
        <v>13050</v>
      </c>
      <c r="AM8" s="10" t="n">
        <f aca="false">SUM(C8:N8)</f>
        <v>2081.57534892166</v>
      </c>
      <c r="AN8" s="10" t="n">
        <f aca="false">SUM(O8:Z8)</f>
        <v>53815.2263283787</v>
      </c>
      <c r="AO8" s="10" t="n">
        <f aca="false">SUM(AA8:AL8)</f>
        <v>120844.641940517</v>
      </c>
      <c r="AP8" s="10" t="n">
        <f aca="false">SUM(C8:AL8)</f>
        <v>176741.443617817</v>
      </c>
    </row>
    <row r="9" customFormat="false" ht="15" hidden="false" customHeight="false" outlineLevel="0" collapsed="false">
      <c r="A9" s="0" t="s">
        <v>267</v>
      </c>
      <c r="B9" s="0" t="s">
        <v>304</v>
      </c>
      <c r="C9" s="10" t="n">
        <f aca="false">C7+C8</f>
        <v>0</v>
      </c>
      <c r="D9" s="10" t="n">
        <f aca="false">D7+D8</f>
        <v>0</v>
      </c>
      <c r="E9" s="10" t="n">
        <f aca="false">E7+E8</f>
        <v>0</v>
      </c>
      <c r="F9" s="10" t="n">
        <f aca="false">F7+F8</f>
        <v>0</v>
      </c>
      <c r="G9" s="10" t="n">
        <f aca="false">G7+G8</f>
        <v>0</v>
      </c>
      <c r="H9" s="10" t="n">
        <f aca="false">H7+H8</f>
        <v>0</v>
      </c>
      <c r="I9" s="10" t="n">
        <f aca="false">I7+I8</f>
        <v>0</v>
      </c>
      <c r="J9" s="10" t="n">
        <f aca="false">J7+J8</f>
        <v>0</v>
      </c>
      <c r="K9" s="10" t="n">
        <f aca="false">K7+K8</f>
        <v>0</v>
      </c>
      <c r="L9" s="10" t="n">
        <f aca="false">L7+L8</f>
        <v>0</v>
      </c>
      <c r="M9" s="10" t="n">
        <f aca="false">M7+M8</f>
        <v>0</v>
      </c>
      <c r="N9" s="10" t="n">
        <f aca="false">N7+N8</f>
        <v>5112.22145079995</v>
      </c>
      <c r="O9" s="10" t="n">
        <f aca="false">O7+O8</f>
        <v>5897.91740054466</v>
      </c>
      <c r="P9" s="10" t="n">
        <f aca="false">P7+P8</f>
        <v>6720.18961815581</v>
      </c>
      <c r="Q9" s="10" t="n">
        <f aca="false">Q7+Q8</f>
        <v>7577.47804562679</v>
      </c>
      <c r="R9" s="10" t="n">
        <f aca="false">R7+R8</f>
        <v>8468.40679210561</v>
      </c>
      <c r="S9" s="10" t="n">
        <f aca="false">S7+S8</f>
        <v>9391.75050492796</v>
      </c>
      <c r="T9" s="10" t="n">
        <f aca="false">T7+T8</f>
        <v>10346.4087601269</v>
      </c>
      <c r="U9" s="10" t="n">
        <f aca="false">U7+U8</f>
        <v>11331.3861685144</v>
      </c>
      <c r="V9" s="10" t="n">
        <f aca="false">V7+V8</f>
        <v>12345.776654423</v>
      </c>
      <c r="W9" s="10" t="n">
        <f aca="false">W7+W8</f>
        <v>13388.7508447685</v>
      </c>
      <c r="X9" s="10" t="n">
        <f aca="false">X7+X8</f>
        <v>14459.5458191519</v>
      </c>
      <c r="Y9" s="10" t="n">
        <f aca="false">Y7+Y8</f>
        <v>15557.4566812336</v>
      </c>
      <c r="Z9" s="10" t="n">
        <f aca="false">Z7+Z8</f>
        <v>16681.8295552131</v>
      </c>
      <c r="AA9" s="10" t="n">
        <f aca="false">AA7+AA8</f>
        <v>17832.0557117593</v>
      </c>
      <c r="AB9" s="10" t="n">
        <f aca="false">AB7+AB8</f>
        <v>19007.5665994296</v>
      </c>
      <c r="AC9" s="10" t="n">
        <f aca="false">AC7+AC8</f>
        <v>20207.8296096228</v>
      </c>
      <c r="AD9" s="10" t="n">
        <f aca="false">AD7+AD8</f>
        <v>21432.3444414196</v>
      </c>
      <c r="AE9" s="10" t="n">
        <f aca="false">AE7+AE8</f>
        <v>22680.6399612758</v>
      </c>
      <c r="AF9" s="10" t="n">
        <f aca="false">AF7+AF8</f>
        <v>23952.2714741764</v>
      </c>
      <c r="AG9" s="10" t="n">
        <f aca="false">AG7+AG8</f>
        <v>25246.8183394163</v>
      </c>
      <c r="AH9" s="10" t="n">
        <f aca="false">AH7+AH8</f>
        <v>26563.881876987</v>
      </c>
      <c r="AI9" s="10" t="n">
        <f aca="false">AI7+AI8</f>
        <v>27903.0835205486</v>
      </c>
      <c r="AJ9" s="10" t="n">
        <f aca="false">AJ7+AJ8</f>
        <v>29264.0631808545</v>
      </c>
      <c r="AK9" s="10" t="n">
        <f aca="false">AK7+AK8</f>
        <v>30646.4777897637</v>
      </c>
      <c r="AL9" s="10" t="n">
        <f aca="false">AL7+AL8</f>
        <v>32050</v>
      </c>
      <c r="AM9" s="10" t="n">
        <f aca="false">SUM(C9:N9)</f>
        <v>5112.22145079995</v>
      </c>
      <c r="AN9" s="10" t="n">
        <f aca="false">SUM(O9:Z9)</f>
        <v>132166.896844792</v>
      </c>
      <c r="AO9" s="10" t="n">
        <f aca="false">SUM(AA9:AL9)</f>
        <v>296787.032505254</v>
      </c>
      <c r="AP9" s="10" t="n">
        <f aca="false">SUM(C9:AL9)</f>
        <v>434066.150800846</v>
      </c>
    </row>
    <row r="10" customFormat="false" ht="15" hidden="false" customHeight="false" outlineLevel="0" collapsed="false">
      <c r="A10" s="0" t="s">
        <v>275</v>
      </c>
      <c r="B10" s="0" t="s">
        <v>305</v>
      </c>
      <c r="C10" s="10" t="n">
        <f aca="false">C5+C9*(1-Допущения!$C$37-Допущения!$C$14)-C7*Допущения!$C$38</f>
        <v>0</v>
      </c>
      <c r="D10" s="10" t="n">
        <f aca="false">D5+D9*(1-Допущения!$C$37-Допущения!$C$14)-D7*Допущения!$C$38</f>
        <v>0</v>
      </c>
      <c r="E10" s="10" t="n">
        <f aca="false">E5+E9*(1-Допущения!$C$37-Допущения!$C$14)-E7*Допущения!$C$38</f>
        <v>33.089138780437</v>
      </c>
      <c r="F10" s="10" t="n">
        <f aca="false">F5+F9*(1-Допущения!$C$37-Допущения!$C$14)-F7*Допущения!$C$38</f>
        <v>93.5902176610791</v>
      </c>
      <c r="G10" s="10" t="n">
        <f aca="false">G5+G9*(1-Допущения!$C$37-Допущения!$C$14)-G7*Допущения!$C$38</f>
        <v>171.936208639244</v>
      </c>
      <c r="H10" s="10" t="n">
        <f aca="false">H5+H9*(1-Допущения!$C$37-Допущения!$C$14)-H7*Допущения!$C$38</f>
        <v>264.713110243496</v>
      </c>
      <c r="I10" s="10" t="n">
        <f aca="false">I5+I9*(1-Допущения!$C$37-Допущения!$C$14)-I7*Допущения!$C$38</f>
        <v>369.947818149908</v>
      </c>
      <c r="J10" s="10" t="n">
        <f aca="false">J5+J9*(1-Допущения!$C$37-Допущения!$C$14)-J7*Допущения!$C$38</f>
        <v>486.309036241257</v>
      </c>
      <c r="K10" s="10" t="n">
        <f aca="false">K5+K9*(1-Допущения!$C$37-Допущения!$C$14)-K7*Допущения!$C$38</f>
        <v>612.819426172376</v>
      </c>
      <c r="L10" s="10" t="n">
        <f aca="false">L5+L9*(1-Допущения!$C$37-Допущения!$C$14)-L7*Допущения!$C$38</f>
        <v>748.721741288633</v>
      </c>
      <c r="M10" s="10" t="n">
        <f aca="false">M5+M9*(1-Допущения!$C$37-Допущения!$C$14)-M7*Допущения!$C$38</f>
        <v>893.406747071799</v>
      </c>
      <c r="N10" s="10" t="n">
        <f aca="false">N5+N9*(1-Допущения!$C$37-Допущения!$C$14)-N7*Допущения!$C$38</f>
        <v>4480.73050778226</v>
      </c>
      <c r="O10" s="10" t="n">
        <f aca="false">O5+O9*(1-Допущения!$C$37-Допущения!$C$14)-O7*Допущения!$C$38</f>
        <v>5169.37278311077</v>
      </c>
      <c r="P10" s="10" t="n">
        <f aca="false">P5+P9*(1-Допущения!$C$37-Допущения!$C$14)-P7*Допущения!$C$38</f>
        <v>5890.07321571341</v>
      </c>
      <c r="Q10" s="10" t="n">
        <f aca="false">Q5+Q9*(1-Допущения!$C$37-Допущения!$C$14)-Q7*Допущения!$C$38</f>
        <v>6641.46445490491</v>
      </c>
      <c r="R10" s="10" t="n">
        <f aca="false">R5+R9*(1-Допущения!$C$37-Допущения!$C$14)-R7*Допущения!$C$38</f>
        <v>7422.34056777032</v>
      </c>
      <c r="S10" s="10" t="n">
        <f aca="false">S5+S9*(1-Допущения!$C$37-Допущения!$C$14)-S7*Допущения!$C$38</f>
        <v>8231.62756424123</v>
      </c>
      <c r="T10" s="10" t="n">
        <f aca="false">T5+T9*(1-Допущения!$C$37-Допущения!$C$14)-T7*Допущения!$C$38</f>
        <v>9068.36095103664</v>
      </c>
      <c r="U10" s="10" t="n">
        <f aca="false">U5+U9*(1-Допущения!$C$37-Допущения!$C$14)-U7*Допущения!$C$38</f>
        <v>9931.66829515566</v>
      </c>
      <c r="V10" s="10" t="n">
        <f aca="false">V5+V9*(1-Допущения!$C$37-Допущения!$C$14)-V7*Допущения!$C$38</f>
        <v>10820.7554445989</v>
      </c>
      <c r="W10" s="10" t="n">
        <f aca="false">W5+W9*(1-Допущения!$C$37-Допущения!$C$14)-W7*Допущения!$C$38</f>
        <v>11734.8954752072</v>
      </c>
      <c r="X10" s="10" t="n">
        <f aca="false">X5+X9*(1-Допущения!$C$37-Допущения!$C$14)-X7*Допущения!$C$38</f>
        <v>12673.4197068891</v>
      </c>
      <c r="Y10" s="10" t="n">
        <f aca="false">Y5+Y9*(1-Допущения!$C$37-Допущения!$C$14)-Y7*Допущения!$C$38</f>
        <v>13635.7103161477</v>
      </c>
      <c r="Z10" s="10" t="n">
        <f aca="false">Z5+Z9*(1-Допущения!$C$37-Допущения!$C$14)-Z7*Допущения!$C$38</f>
        <v>14621.1941976752</v>
      </c>
      <c r="AA10" s="10" t="n">
        <f aca="false">AA5+AA9*(1-Допущения!$C$37-Допущения!$C$14)-AA7*Допущения!$C$38</f>
        <v>15629.3378158824</v>
      </c>
      <c r="AB10" s="10" t="n">
        <f aca="false">AB5+AB9*(1-Допущения!$C$37-Допущения!$C$14)-AB7*Допущения!$C$38</f>
        <v>16659.6428500648</v>
      </c>
      <c r="AC10" s="10" t="n">
        <f aca="false">AC5+AC9*(1-Допущения!$C$37-Допущения!$C$14)-AC7*Допущения!$C$38</f>
        <v>17711.6424824934</v>
      </c>
      <c r="AD10" s="10" t="n">
        <f aca="false">AD5+AD9*(1-Допущения!$C$37-Допущения!$C$14)-AD7*Допущения!$C$38</f>
        <v>18784.8982122907</v>
      </c>
      <c r="AE10" s="10" t="n">
        <f aca="false">AE5+AE9*(1-Допущения!$C$37-Допущения!$C$14)-AE7*Допущения!$C$38</f>
        <v>19878.9971030328</v>
      </c>
      <c r="AF10" s="10" t="n">
        <f aca="false">AF5+AF9*(1-Допущения!$C$37-Допущения!$C$14)-AF7*Допущения!$C$38</f>
        <v>20993.5493909856</v>
      </c>
      <c r="AG10" s="10" t="n">
        <f aca="false">AG5+AG9*(1-Допущения!$C$37-Допущения!$C$14)-AG7*Допущения!$C$38</f>
        <v>22128.1863953991</v>
      </c>
      <c r="AH10" s="10" t="n">
        <f aca="false">AH5+AH9*(1-Допущения!$C$37-Допущения!$C$14)-AH7*Допущения!$C$38</f>
        <v>23282.5586835083</v>
      </c>
      <c r="AI10" s="10" t="n">
        <f aca="false">AI5+AI9*(1-Допущения!$C$37-Допущения!$C$14)-AI7*Допущения!$C$38</f>
        <v>24456.3344516609</v>
      </c>
      <c r="AJ10" s="10" t="n">
        <f aca="false">AJ5+AJ9*(1-Допущения!$C$37-Допущения!$C$14)-AJ7*Допущения!$C$38</f>
        <v>25649.1980909012</v>
      </c>
      <c r="AK10" s="10" t="n">
        <f aca="false">AK5+AK9*(1-Допущения!$C$37-Допущения!$C$14)-AK7*Допущения!$C$38</f>
        <v>26860.8489108347</v>
      </c>
      <c r="AL10" s="10" t="n">
        <f aca="false">AL5+AL9*(1-Допущения!$C$37-Допущения!$C$14)-AL7*Допущения!$C$38</f>
        <v>30572.6</v>
      </c>
      <c r="AM10" s="10" t="n">
        <f aca="false">SUM(C10:N10)</f>
        <v>8155.26395203049</v>
      </c>
      <c r="AN10" s="10" t="n">
        <f aca="false">SUM(O10:Z10)</f>
        <v>115840.882972451</v>
      </c>
      <c r="AO10" s="10" t="n">
        <f aca="false">SUM(AA10:AL10)</f>
        <v>262607.794387054</v>
      </c>
      <c r="AP10" s="10" t="n">
        <f aca="false">SUM(C10:AL10)</f>
        <v>386603.941311536</v>
      </c>
    </row>
    <row r="11" customFormat="false" ht="15" hidden="false" customHeight="false" outlineLevel="0" collapsed="false">
      <c r="A11" s="0" t="s">
        <v>277</v>
      </c>
      <c r="B11" s="0" t="s">
        <v>278</v>
      </c>
      <c r="C11" s="10" t="n">
        <f aca="false">A_дропшиппинг!C15</f>
        <v>0</v>
      </c>
      <c r="D11" s="10" t="n">
        <f aca="false">A_дропшиппинг!D15</f>
        <v>0</v>
      </c>
      <c r="E11" s="10" t="n">
        <f aca="false">A_дропшиппинг!E15</f>
        <v>12105.7824806477</v>
      </c>
      <c r="F11" s="10" t="n">
        <f aca="false">A_дропшиппинг!F15</f>
        <v>22134.5410538935</v>
      </c>
      <c r="G11" s="10" t="n">
        <f aca="false">A_дропшиппинг!G15</f>
        <v>28663.1674310358</v>
      </c>
      <c r="H11" s="10" t="n">
        <f aca="false">A_дропшиппинг!H15</f>
        <v>33942.7688796045</v>
      </c>
      <c r="I11" s="10" t="n">
        <f aca="false">A_дропшиппинг!I15</f>
        <v>38500.5028925898</v>
      </c>
      <c r="J11" s="10" t="n">
        <f aca="false">A_дропшиппинг!J15</f>
        <v>42571.1773504935</v>
      </c>
      <c r="K11" s="10" t="n">
        <f aca="false">A_дропшиппинг!K15</f>
        <v>46284.2889991897</v>
      </c>
      <c r="L11" s="10" t="n">
        <f aca="false">A_дропшиппинг!L15</f>
        <v>49720.3591888746</v>
      </c>
      <c r="M11" s="10" t="n">
        <f aca="false">A_дропшиппинг!M15</f>
        <v>52933.5387011584</v>
      </c>
      <c r="N11" s="10" t="n">
        <f aca="false">A_дропшиппинг!N15</f>
        <v>55962.3279966117</v>
      </c>
      <c r="O11" s="10" t="n">
        <f aca="false">A_дропшиппинг!O15</f>
        <v>58835.2661275291</v>
      </c>
      <c r="P11" s="10" t="n">
        <f aca="false">A_дропшиппинг!P15</f>
        <v>61574.2066229875</v>
      </c>
      <c r="Q11" s="10" t="n">
        <f aca="false">A_дропшиппинг!Q15</f>
        <v>64196.3253020396</v>
      </c>
      <c r="R11" s="10" t="n">
        <f aca="false">A_дропшиппинг!R15</f>
        <v>66715.4131528602</v>
      </c>
      <c r="S11" s="10" t="n">
        <f aca="false">A_дропшиппинг!S15</f>
        <v>69142.7429258543</v>
      </c>
      <c r="T11" s="10" t="n">
        <f aca="false">A_дропшиппинг!T15</f>
        <v>71487.6696560819</v>
      </c>
      <c r="U11" s="10" t="n">
        <f aca="false">A_дропшиппинг!U15</f>
        <v>73758.0586624055</v>
      </c>
      <c r="V11" s="10" t="n">
        <f aca="false">A_дропшиппинг!V15</f>
        <v>75960.5980087533</v>
      </c>
      <c r="W11" s="10" t="n">
        <f aca="false">A_дропшиппинг!W15</f>
        <v>78101.0314143289</v>
      </c>
      <c r="X11" s="10" t="n">
        <f aca="false">A_дропшиппинг!X15</f>
        <v>80184.3350552308</v>
      </c>
      <c r="Y11" s="10" t="n">
        <f aca="false">A_дропшиппинг!Y15</f>
        <v>82214.853946834</v>
      </c>
      <c r="Z11" s="10" t="n">
        <f aca="false">A_дропшиппинг!Z15</f>
        <v>84196.4086599299</v>
      </c>
      <c r="AA11" s="10" t="n">
        <f aca="false">A_дропшиппинг!AA15</f>
        <v>86132.3798973774</v>
      </c>
      <c r="AB11" s="10" t="n">
        <f aca="false">A_дропшиппинг!AB15</f>
        <v>88025.776299807</v>
      </c>
      <c r="AC11" s="10" t="n">
        <f aca="false">A_дропшиппинг!AC15</f>
        <v>89879.2893748421</v>
      </c>
      <c r="AD11" s="10" t="n">
        <f aca="false">A_дропшиппинг!AD15</f>
        <v>91695.3384184768</v>
      </c>
      <c r="AE11" s="10" t="n">
        <f aca="false">A_дропшиппинг!AE15</f>
        <v>93476.1075711405</v>
      </c>
      <c r="AF11" s="10" t="n">
        <f aca="false">A_дропшиппинг!AF15</f>
        <v>95223.576629058</v>
      </c>
      <c r="AG11" s="10" t="n">
        <f aca="false">A_дропшиппинг!AG15</f>
        <v>96939.546851035</v>
      </c>
      <c r="AH11" s="10" t="n">
        <f aca="false">A_дропшиппинг!AH15</f>
        <v>98625.6627198042</v>
      </c>
      <c r="AI11" s="10" t="n">
        <f aca="false">A_дропшиппинг!AI15</f>
        <v>100283.430407113</v>
      </c>
      <c r="AJ11" s="10" t="n">
        <f aca="false">A_дропшиппинг!AJ15</f>
        <v>101914.233533044</v>
      </c>
      <c r="AK11" s="10" t="n">
        <f aca="false">A_дропшиппинг!AK15</f>
        <v>103519.346688992</v>
      </c>
      <c r="AL11" s="10" t="n">
        <f aca="false">A_дропшиппинг!AL15</f>
        <v>105099.947100376</v>
      </c>
      <c r="AM11" s="10" t="n">
        <f aca="false">SUM(C11:N11)</f>
        <v>382818.454974099</v>
      </c>
      <c r="AN11" s="10" t="n">
        <f aca="false">SUM(O11:Z11)</f>
        <v>866366.909534835</v>
      </c>
      <c r="AO11" s="10" t="n">
        <f aca="false">SUM(AA11:AL11)</f>
        <v>1150814.63549107</v>
      </c>
      <c r="AP11" s="10" t="n">
        <f aca="false">SUM(C11:AL11)</f>
        <v>2400000</v>
      </c>
    </row>
    <row r="12" customFormat="false" ht="15" hidden="false" customHeight="false" outlineLevel="0" collapsed="false">
      <c r="A12" s="0" t="s">
        <v>279</v>
      </c>
      <c r="B12" s="0" t="s">
        <v>280</v>
      </c>
      <c r="C12" s="10" t="n">
        <f aca="false">Допущения!$C$16+IF(C$4&gt;=Допущения!$C$30-1,Допущения!$C$39,0)</f>
        <v>480000</v>
      </c>
      <c r="D12" s="10" t="n">
        <f aca="false">Допущения!$C$16+IF(D$4&gt;=Допущения!$C$30-1,Допущения!$C$39,0)</f>
        <v>480000</v>
      </c>
      <c r="E12" s="10" t="n">
        <f aca="false">Допущения!$C$16+IF(E$4&gt;=Допущения!$C$30-1,Допущения!$C$39,0)</f>
        <v>480000</v>
      </c>
      <c r="F12" s="10" t="n">
        <f aca="false">Допущения!$C$16+IF(F$4&gt;=Допущения!$C$30-1,Допущения!$C$39,0)</f>
        <v>480000</v>
      </c>
      <c r="G12" s="10" t="n">
        <f aca="false">Допущения!$C$16+IF(G$4&gt;=Допущения!$C$30-1,Допущения!$C$39,0)</f>
        <v>480000</v>
      </c>
      <c r="H12" s="10" t="n">
        <f aca="false">Допущения!$C$16+IF(H$4&gt;=Допущения!$C$30-1,Допущения!$C$39,0)</f>
        <v>480000</v>
      </c>
      <c r="I12" s="10" t="n">
        <f aca="false">Допущения!$C$16+IF(I$4&gt;=Допущения!$C$30-1,Допущения!$C$39,0)</f>
        <v>480000</v>
      </c>
      <c r="J12" s="10" t="n">
        <f aca="false">Допущения!$C$16+IF(J$4&gt;=Допущения!$C$30-1,Допущения!$C$39,0)</f>
        <v>480000</v>
      </c>
      <c r="K12" s="10" t="n">
        <f aca="false">Допущения!$C$16+IF(K$4&gt;=Допущения!$C$30-1,Допущения!$C$39,0)</f>
        <v>480000</v>
      </c>
      <c r="L12" s="10" t="n">
        <f aca="false">Допущения!$C$16+IF(L$4&gt;=Допущения!$C$30-1,Допущения!$C$39,0)</f>
        <v>480000</v>
      </c>
      <c r="M12" s="10" t="n">
        <f aca="false">Допущения!$C$16+IF(M$4&gt;=Допущения!$C$30-1,Допущения!$C$39,0)</f>
        <v>600000</v>
      </c>
      <c r="N12" s="10" t="n">
        <f aca="false">Допущения!$C$16+IF(N$4&gt;=Допущения!$C$30-1,Допущения!$C$39,0)</f>
        <v>600000</v>
      </c>
      <c r="O12" s="10" t="n">
        <f aca="false">Допущения!$C$16+IF(O$4&gt;=Допущения!$C$30-1,Допущения!$C$39,0)</f>
        <v>600000</v>
      </c>
      <c r="P12" s="10" t="n">
        <f aca="false">Допущения!$C$16+IF(P$4&gt;=Допущения!$C$30-1,Допущения!$C$39,0)</f>
        <v>600000</v>
      </c>
      <c r="Q12" s="10" t="n">
        <f aca="false">Допущения!$C$16+IF(Q$4&gt;=Допущения!$C$30-1,Допущения!$C$39,0)</f>
        <v>600000</v>
      </c>
      <c r="R12" s="10" t="n">
        <f aca="false">Допущения!$C$16+IF(R$4&gt;=Допущения!$C$30-1,Допущения!$C$39,0)</f>
        <v>600000</v>
      </c>
      <c r="S12" s="10" t="n">
        <f aca="false">Допущения!$C$16+IF(S$4&gt;=Допущения!$C$30-1,Допущения!$C$39,0)</f>
        <v>600000</v>
      </c>
      <c r="T12" s="10" t="n">
        <f aca="false">Допущения!$C$16+IF(T$4&gt;=Допущения!$C$30-1,Допущения!$C$39,0)</f>
        <v>600000</v>
      </c>
      <c r="U12" s="10" t="n">
        <f aca="false">Допущения!$C$16+IF(U$4&gt;=Допущения!$C$30-1,Допущения!$C$39,0)</f>
        <v>600000</v>
      </c>
      <c r="V12" s="10" t="n">
        <f aca="false">Допущения!$C$16+IF(V$4&gt;=Допущения!$C$30-1,Допущения!$C$39,0)</f>
        <v>600000</v>
      </c>
      <c r="W12" s="10" t="n">
        <f aca="false">Допущения!$C$16+IF(W$4&gt;=Допущения!$C$30-1,Допущения!$C$39,0)</f>
        <v>600000</v>
      </c>
      <c r="X12" s="10" t="n">
        <f aca="false">Допущения!$C$16+IF(X$4&gt;=Допущения!$C$30-1,Допущения!$C$39,0)</f>
        <v>600000</v>
      </c>
      <c r="Y12" s="10" t="n">
        <f aca="false">Допущения!$C$16+IF(Y$4&gt;=Допущения!$C$30-1,Допущения!$C$39,0)</f>
        <v>600000</v>
      </c>
      <c r="Z12" s="10" t="n">
        <f aca="false">Допущения!$C$16+IF(Z$4&gt;=Допущения!$C$30-1,Допущения!$C$39,0)</f>
        <v>600000</v>
      </c>
      <c r="AA12" s="10" t="n">
        <f aca="false">Допущения!$C$16+IF(AA$4&gt;=Допущения!$C$30-1,Допущения!$C$39,0)</f>
        <v>600000</v>
      </c>
      <c r="AB12" s="10" t="n">
        <f aca="false">Допущения!$C$16+IF(AB$4&gt;=Допущения!$C$30-1,Допущения!$C$39,0)</f>
        <v>600000</v>
      </c>
      <c r="AC12" s="10" t="n">
        <f aca="false">Допущения!$C$16+IF(AC$4&gt;=Допущения!$C$30-1,Допущения!$C$39,0)</f>
        <v>600000</v>
      </c>
      <c r="AD12" s="10" t="n">
        <f aca="false">Допущения!$C$16+IF(AD$4&gt;=Допущения!$C$30-1,Допущения!$C$39,0)</f>
        <v>600000</v>
      </c>
      <c r="AE12" s="10" t="n">
        <f aca="false">Допущения!$C$16+IF(AE$4&gt;=Допущения!$C$30-1,Допущения!$C$39,0)</f>
        <v>600000</v>
      </c>
      <c r="AF12" s="10" t="n">
        <f aca="false">Допущения!$C$16+IF(AF$4&gt;=Допущения!$C$30-1,Допущения!$C$39,0)</f>
        <v>600000</v>
      </c>
      <c r="AG12" s="10" t="n">
        <f aca="false">Допущения!$C$16+IF(AG$4&gt;=Допущения!$C$30-1,Допущения!$C$39,0)</f>
        <v>600000</v>
      </c>
      <c r="AH12" s="10" t="n">
        <f aca="false">Допущения!$C$16+IF(AH$4&gt;=Допущения!$C$30-1,Допущения!$C$39,0)</f>
        <v>600000</v>
      </c>
      <c r="AI12" s="10" t="n">
        <f aca="false">Допущения!$C$16+IF(AI$4&gt;=Допущения!$C$30-1,Допущения!$C$39,0)</f>
        <v>600000</v>
      </c>
      <c r="AJ12" s="10" t="n">
        <f aca="false">Допущения!$C$16+IF(AJ$4&gt;=Допущения!$C$30-1,Допущения!$C$39,0)</f>
        <v>600000</v>
      </c>
      <c r="AK12" s="10" t="n">
        <f aca="false">Допущения!$C$16+IF(AK$4&gt;=Допущения!$C$30-1,Допущения!$C$39,0)</f>
        <v>600000</v>
      </c>
      <c r="AL12" s="10" t="n">
        <f aca="false">Допущения!$C$16+IF(AL$4&gt;=Допущения!$C$30-1,Допущения!$C$39,0)</f>
        <v>600000</v>
      </c>
      <c r="AM12" s="10" t="n">
        <f aca="false">SUM(C12:N12)</f>
        <v>6000000</v>
      </c>
      <c r="AN12" s="10" t="n">
        <f aca="false">SUM(O12:Z12)</f>
        <v>7200000</v>
      </c>
      <c r="AO12" s="10" t="n">
        <f aca="false">SUM(AA12:AL12)</f>
        <v>7200000</v>
      </c>
      <c r="AP12" s="10" t="n">
        <f aca="false">SUM(C12:AL12)</f>
        <v>20400000</v>
      </c>
    </row>
    <row r="13" customFormat="false" ht="15" hidden="false" customHeight="false" outlineLevel="0" collapsed="false">
      <c r="A13" s="1" t="s">
        <v>281</v>
      </c>
      <c r="B13" s="1" t="s">
        <v>282</v>
      </c>
      <c r="C13" s="11" t="n">
        <f aca="false">C10-C12-C11</f>
        <v>-480000</v>
      </c>
      <c r="D13" s="11" t="n">
        <f aca="false">D10-D12-D11</f>
        <v>-480000</v>
      </c>
      <c r="E13" s="11" t="n">
        <f aca="false">E10-E12-E11</f>
        <v>-492072.693341867</v>
      </c>
      <c r="F13" s="11" t="n">
        <f aca="false">F10-F12-F11</f>
        <v>-502040.950836232</v>
      </c>
      <c r="G13" s="11" t="n">
        <f aca="false">G10-G12-G11</f>
        <v>-508491.231222397</v>
      </c>
      <c r="H13" s="11" t="n">
        <f aca="false">H10-H12-H11</f>
        <v>-513678.055769361</v>
      </c>
      <c r="I13" s="11" t="n">
        <f aca="false">I10-I12-I11</f>
        <v>-518130.55507444</v>
      </c>
      <c r="J13" s="11" t="n">
        <f aca="false">J10-J12-J11</f>
        <v>-522084.868314252</v>
      </c>
      <c r="K13" s="11" t="n">
        <f aca="false">K10-K12-K11</f>
        <v>-525671.469573017</v>
      </c>
      <c r="L13" s="11" t="n">
        <f aca="false">L10-L12-L11</f>
        <v>-528971.637447586</v>
      </c>
      <c r="M13" s="11" t="n">
        <f aca="false">M10-M12-M11</f>
        <v>-652040.131954087</v>
      </c>
      <c r="N13" s="11" t="n">
        <f aca="false">N10-N12-N11</f>
        <v>-651481.597488829</v>
      </c>
      <c r="O13" s="11" t="n">
        <f aca="false">O10-O12-O11</f>
        <v>-653665.893344418</v>
      </c>
      <c r="P13" s="11" t="n">
        <f aca="false">P10-P12-P11</f>
        <v>-655684.133407274</v>
      </c>
      <c r="Q13" s="11" t="n">
        <f aca="false">Q10-Q12-Q11</f>
        <v>-657554.860847135</v>
      </c>
      <c r="R13" s="11" t="n">
        <f aca="false">R10-R12-R11</f>
        <v>-659293.07258509</v>
      </c>
      <c r="S13" s="11" t="n">
        <f aca="false">S10-S12-S11</f>
        <v>-660911.115361613</v>
      </c>
      <c r="T13" s="11" t="n">
        <f aca="false">T10-T12-T11</f>
        <v>-662419.308705045</v>
      </c>
      <c r="U13" s="11" t="n">
        <f aca="false">U10-U12-U11</f>
        <v>-663826.39036725</v>
      </c>
      <c r="V13" s="11" t="n">
        <f aca="false">V10-V12-V11</f>
        <v>-665139.842564154</v>
      </c>
      <c r="W13" s="11" t="n">
        <f aca="false">W10-W12-W11</f>
        <v>-666366.135939122</v>
      </c>
      <c r="X13" s="11" t="n">
        <f aca="false">X10-X12-X11</f>
        <v>-667510.915348342</v>
      </c>
      <c r="Y13" s="11" t="n">
        <f aca="false">Y10-Y12-Y11</f>
        <v>-668579.143630686</v>
      </c>
      <c r="Z13" s="11" t="n">
        <f aca="false">Z10-Z12-Z11</f>
        <v>-669575.214462255</v>
      </c>
      <c r="AA13" s="11" t="n">
        <f aca="false">AA10-AA12-AA11</f>
        <v>-670503.042081495</v>
      </c>
      <c r="AB13" s="11" t="n">
        <f aca="false">AB10-AB12-AB11</f>
        <v>-671366.133449742</v>
      </c>
      <c r="AC13" s="11" t="n">
        <f aca="false">AC10-AC12-AC11</f>
        <v>-672167.646892349</v>
      </c>
      <c r="AD13" s="11" t="n">
        <f aca="false">AD10-AD12-AD11</f>
        <v>-672910.440206186</v>
      </c>
      <c r="AE13" s="11" t="n">
        <f aca="false">AE10-AE12-AE11</f>
        <v>-673597.110468108</v>
      </c>
      <c r="AF13" s="11" t="n">
        <f aca="false">AF10-AF12-AF11</f>
        <v>-674230.027238072</v>
      </c>
      <c r="AG13" s="11" t="n">
        <f aca="false">AG10-AG12-AG11</f>
        <v>-674811.360455636</v>
      </c>
      <c r="AH13" s="11" t="n">
        <f aca="false">AH10-AH12-AH11</f>
        <v>-675343.104036296</v>
      </c>
      <c r="AI13" s="11" t="n">
        <f aca="false">AI10-AI12-AI11</f>
        <v>-675827.095955452</v>
      </c>
      <c r="AJ13" s="11" t="n">
        <f aca="false">AJ10-AJ12-AJ11</f>
        <v>-676265.035442143</v>
      </c>
      <c r="AK13" s="11" t="n">
        <f aca="false">AK10-AK12-AK11</f>
        <v>-676658.497778157</v>
      </c>
      <c r="AL13" s="11" t="n">
        <f aca="false">AL10-AL12-AL11</f>
        <v>-674527.347100376</v>
      </c>
      <c r="AM13" s="11" t="n">
        <f aca="false">SUM(C13:N13)</f>
        <v>-6374663.19102207</v>
      </c>
      <c r="AN13" s="11" t="n">
        <f aca="false">SUM(O13:Z13)</f>
        <v>-7950526.02656238</v>
      </c>
      <c r="AO13" s="11" t="n">
        <f aca="false">SUM(AA13:AL13)</f>
        <v>-8088206.84110401</v>
      </c>
      <c r="AP13" s="11" t="n">
        <f aca="false">SUM(C13:AL13)</f>
        <v>-22413396.0586885</v>
      </c>
    </row>
    <row r="14" customFormat="false" ht="15" hidden="false" customHeight="false" outlineLevel="0" collapsed="false">
      <c r="A14" s="0" t="s">
        <v>283</v>
      </c>
      <c r="B14" s="0" t="s">
        <v>284</v>
      </c>
      <c r="C14" s="10" t="n">
        <f aca="false">IF(C$4=1,Допущения!$C$18,0)+IF(AND(C$4&gt;=Допущения!$C$30-3,C$4&lt;Допущения!$C$30),Допущения!$C$40/3,0)</f>
        <v>600000</v>
      </c>
      <c r="D14" s="10" t="n">
        <f aca="false">IF(D$4=1,Допущения!$C$18,0)+IF(AND(D$4&gt;=Допущения!$C$30-3,D$4&lt;Допущения!$C$30),Допущения!$C$40/3,0)</f>
        <v>0</v>
      </c>
      <c r="E14" s="10" t="n">
        <f aca="false">IF(E$4=1,Допущения!$C$18,0)+IF(AND(E$4&gt;=Допущения!$C$30-3,E$4&lt;Допущения!$C$30),Допущения!$C$40/3,0)</f>
        <v>0</v>
      </c>
      <c r="F14" s="10" t="n">
        <f aca="false">IF(F$4=1,Допущения!$C$18,0)+IF(AND(F$4&gt;=Допущения!$C$30-3,F$4&lt;Допущения!$C$30),Допущения!$C$40/3,0)</f>
        <v>0</v>
      </c>
      <c r="G14" s="10" t="n">
        <f aca="false">IF(G$4=1,Допущения!$C$18,0)+IF(AND(G$4&gt;=Допущения!$C$30-3,G$4&lt;Допущения!$C$30),Допущения!$C$40/3,0)</f>
        <v>0</v>
      </c>
      <c r="H14" s="10" t="n">
        <f aca="false">IF(H$4=1,Допущения!$C$18,0)+IF(AND(H$4&gt;=Допущения!$C$30-3,H$4&lt;Допущения!$C$30),Допущения!$C$40/3,0)</f>
        <v>0</v>
      </c>
      <c r="I14" s="10" t="n">
        <f aca="false">IF(I$4=1,Допущения!$C$18,0)+IF(AND(I$4&gt;=Допущения!$C$30-3,I$4&lt;Допущения!$C$30),Допущения!$C$40/3,0)</f>
        <v>0</v>
      </c>
      <c r="J14" s="10" t="n">
        <f aca="false">IF(J$4=1,Допущения!$C$18,0)+IF(AND(J$4&gt;=Допущения!$C$30-3,J$4&lt;Допущения!$C$30),Допущения!$C$40/3,0)</f>
        <v>0</v>
      </c>
      <c r="K14" s="10" t="n">
        <f aca="false">IF(K$4=1,Допущения!$C$18,0)+IF(AND(K$4&gt;=Допущения!$C$30-3,K$4&lt;Допущения!$C$30),Допущения!$C$40/3,0)</f>
        <v>400000</v>
      </c>
      <c r="L14" s="10" t="n">
        <f aca="false">IF(L$4=1,Допущения!$C$18,0)+IF(AND(L$4&gt;=Допущения!$C$30-3,L$4&lt;Допущения!$C$30),Допущения!$C$40/3,0)</f>
        <v>400000</v>
      </c>
      <c r="M14" s="10" t="n">
        <f aca="false">IF(M$4=1,Допущения!$C$18,0)+IF(AND(M$4&gt;=Допущения!$C$30-3,M$4&lt;Допущения!$C$30),Допущения!$C$40/3,0)</f>
        <v>400000</v>
      </c>
      <c r="N14" s="10" t="n">
        <f aca="false">IF(N$4=1,Допущения!$C$18,0)+IF(AND(N$4&gt;=Допущения!$C$30-3,N$4&lt;Допущения!$C$30),Допущения!$C$40/3,0)</f>
        <v>0</v>
      </c>
      <c r="O14" s="10" t="n">
        <f aca="false">IF(O$4=1,Допущения!$C$18,0)+IF(AND(O$4&gt;=Допущения!$C$30-3,O$4&lt;Допущения!$C$30),Допущения!$C$40/3,0)</f>
        <v>0</v>
      </c>
      <c r="P14" s="10" t="n">
        <f aca="false">IF(P$4=1,Допущения!$C$18,0)+IF(AND(P$4&gt;=Допущения!$C$30-3,P$4&lt;Допущения!$C$30),Допущения!$C$40/3,0)</f>
        <v>0</v>
      </c>
      <c r="Q14" s="10" t="n">
        <f aca="false">IF(Q$4=1,Допущения!$C$18,0)+IF(AND(Q$4&gt;=Допущения!$C$30-3,Q$4&lt;Допущения!$C$30),Допущения!$C$40/3,0)</f>
        <v>0</v>
      </c>
      <c r="R14" s="10" t="n">
        <f aca="false">IF(R$4=1,Допущения!$C$18,0)+IF(AND(R$4&gt;=Допущения!$C$30-3,R$4&lt;Допущения!$C$30),Допущения!$C$40/3,0)</f>
        <v>0</v>
      </c>
      <c r="S14" s="10" t="n">
        <f aca="false">IF(S$4=1,Допущения!$C$18,0)+IF(AND(S$4&gt;=Допущения!$C$30-3,S$4&lt;Допущения!$C$30),Допущения!$C$40/3,0)</f>
        <v>0</v>
      </c>
      <c r="T14" s="10" t="n">
        <f aca="false">IF(T$4=1,Допущения!$C$18,0)+IF(AND(T$4&gt;=Допущения!$C$30-3,T$4&lt;Допущения!$C$30),Допущения!$C$40/3,0)</f>
        <v>0</v>
      </c>
      <c r="U14" s="10" t="n">
        <f aca="false">IF(U$4=1,Допущения!$C$18,0)+IF(AND(U$4&gt;=Допущения!$C$30-3,U$4&lt;Допущения!$C$30),Допущения!$C$40/3,0)</f>
        <v>0</v>
      </c>
      <c r="V14" s="10" t="n">
        <f aca="false">IF(V$4=1,Допущения!$C$18,0)+IF(AND(V$4&gt;=Допущения!$C$30-3,V$4&lt;Допущения!$C$30),Допущения!$C$40/3,0)</f>
        <v>0</v>
      </c>
      <c r="W14" s="10" t="n">
        <f aca="false">IF(W$4=1,Допущения!$C$18,0)+IF(AND(W$4&gt;=Допущения!$C$30-3,W$4&lt;Допущения!$C$30),Допущения!$C$40/3,0)</f>
        <v>0</v>
      </c>
      <c r="X14" s="10" t="n">
        <f aca="false">IF(X$4=1,Допущения!$C$18,0)+IF(AND(X$4&gt;=Допущения!$C$30-3,X$4&lt;Допущения!$C$30),Допущения!$C$40/3,0)</f>
        <v>0</v>
      </c>
      <c r="Y14" s="10" t="n">
        <f aca="false">IF(Y$4=1,Допущения!$C$18,0)+IF(AND(Y$4&gt;=Допущения!$C$30-3,Y$4&lt;Допущения!$C$30),Допущения!$C$40/3,0)</f>
        <v>0</v>
      </c>
      <c r="Z14" s="10" t="n">
        <f aca="false">IF(Z$4=1,Допущения!$C$18,0)+IF(AND(Z$4&gt;=Допущения!$C$30-3,Z$4&lt;Допущения!$C$30),Допущения!$C$40/3,0)</f>
        <v>0</v>
      </c>
      <c r="AA14" s="10" t="n">
        <f aca="false">IF(AA$4=1,Допущения!$C$18,0)+IF(AND(AA$4&gt;=Допущения!$C$30-3,AA$4&lt;Допущения!$C$30),Допущения!$C$40/3,0)</f>
        <v>0</v>
      </c>
      <c r="AB14" s="10" t="n">
        <f aca="false">IF(AB$4=1,Допущения!$C$18,0)+IF(AND(AB$4&gt;=Допущения!$C$30-3,AB$4&lt;Допущения!$C$30),Допущения!$C$40/3,0)</f>
        <v>0</v>
      </c>
      <c r="AC14" s="10" t="n">
        <f aca="false">IF(AC$4=1,Допущения!$C$18,0)+IF(AND(AC$4&gt;=Допущения!$C$30-3,AC$4&lt;Допущения!$C$30),Допущения!$C$40/3,0)</f>
        <v>0</v>
      </c>
      <c r="AD14" s="10" t="n">
        <f aca="false">IF(AD$4=1,Допущения!$C$18,0)+IF(AND(AD$4&gt;=Допущения!$C$30-3,AD$4&lt;Допущения!$C$30),Допущения!$C$40/3,0)</f>
        <v>0</v>
      </c>
      <c r="AE14" s="10" t="n">
        <f aca="false">IF(AE$4=1,Допущения!$C$18,0)+IF(AND(AE$4&gt;=Допущения!$C$30-3,AE$4&lt;Допущения!$C$30),Допущения!$C$40/3,0)</f>
        <v>0</v>
      </c>
      <c r="AF14" s="10" t="n">
        <f aca="false">IF(AF$4=1,Допущения!$C$18,0)+IF(AND(AF$4&gt;=Допущения!$C$30-3,AF$4&lt;Допущения!$C$30),Допущения!$C$40/3,0)</f>
        <v>0</v>
      </c>
      <c r="AG14" s="10" t="n">
        <f aca="false">IF(AG$4=1,Допущения!$C$18,0)+IF(AND(AG$4&gt;=Допущения!$C$30-3,AG$4&lt;Допущения!$C$30),Допущения!$C$40/3,0)</f>
        <v>0</v>
      </c>
      <c r="AH14" s="10" t="n">
        <f aca="false">IF(AH$4=1,Допущения!$C$18,0)+IF(AND(AH$4&gt;=Допущения!$C$30-3,AH$4&lt;Допущения!$C$30),Допущения!$C$40/3,0)</f>
        <v>0</v>
      </c>
      <c r="AI14" s="10" t="n">
        <f aca="false">IF(AI$4=1,Допущения!$C$18,0)+IF(AND(AI$4&gt;=Допущения!$C$30-3,AI$4&lt;Допущения!$C$30),Допущения!$C$40/3,0)</f>
        <v>0</v>
      </c>
      <c r="AJ14" s="10" t="n">
        <f aca="false">IF(AJ$4=1,Допущения!$C$18,0)+IF(AND(AJ$4&gt;=Допущения!$C$30-3,AJ$4&lt;Допущения!$C$30),Допущения!$C$40/3,0)</f>
        <v>0</v>
      </c>
      <c r="AK14" s="10" t="n">
        <f aca="false">IF(AK$4=1,Допущения!$C$18,0)+IF(AND(AK$4&gt;=Допущения!$C$30-3,AK$4&lt;Допущения!$C$30),Допущения!$C$40/3,0)</f>
        <v>0</v>
      </c>
      <c r="AL14" s="10" t="n">
        <f aca="false">IF(AL$4=1,Допущения!$C$18,0)+IF(AND(AL$4&gt;=Допущения!$C$30-3,AL$4&lt;Допущения!$C$30),Допущения!$C$40/3,0)</f>
        <v>0</v>
      </c>
      <c r="AM14" s="10" t="n">
        <f aca="false">SUM(C14:N14)</f>
        <v>1800000</v>
      </c>
      <c r="AN14" s="10" t="n">
        <f aca="false">SUM(O14:Z14)</f>
        <v>0</v>
      </c>
      <c r="AO14" s="10" t="n">
        <f aca="false">SUM(AA14:AL14)</f>
        <v>0</v>
      </c>
      <c r="AP14" s="10" t="n">
        <f aca="false">SUM(C14:AL14)</f>
        <v>1800000</v>
      </c>
    </row>
    <row r="15" customFormat="false" ht="15" hidden="false" customHeight="false" outlineLevel="0" collapsed="false">
      <c r="A15" s="1" t="s">
        <v>285</v>
      </c>
      <c r="B15" s="1" t="s">
        <v>286</v>
      </c>
      <c r="C15" s="11" t="n">
        <f aca="false">C13-C14</f>
        <v>-1080000</v>
      </c>
      <c r="D15" s="11" t="n">
        <f aca="false">D13-D14</f>
        <v>-480000</v>
      </c>
      <c r="E15" s="11" t="n">
        <f aca="false">E13-E14</f>
        <v>-492072.693341867</v>
      </c>
      <c r="F15" s="11" t="n">
        <f aca="false">F13-F14</f>
        <v>-502040.950836232</v>
      </c>
      <c r="G15" s="11" t="n">
        <f aca="false">G13-G14</f>
        <v>-508491.231222397</v>
      </c>
      <c r="H15" s="11" t="n">
        <f aca="false">H13-H14</f>
        <v>-513678.055769361</v>
      </c>
      <c r="I15" s="11" t="n">
        <f aca="false">I13-I14</f>
        <v>-518130.55507444</v>
      </c>
      <c r="J15" s="11" t="n">
        <f aca="false">J13-J14</f>
        <v>-522084.868314252</v>
      </c>
      <c r="K15" s="11" t="n">
        <f aca="false">K13-K14</f>
        <v>-925671.469573017</v>
      </c>
      <c r="L15" s="11" t="n">
        <f aca="false">L13-L14</f>
        <v>-928971.637447586</v>
      </c>
      <c r="M15" s="11" t="n">
        <f aca="false">M13-M14</f>
        <v>-1052040.13195409</v>
      </c>
      <c r="N15" s="11" t="n">
        <f aca="false">N13-N14</f>
        <v>-651481.597488829</v>
      </c>
      <c r="O15" s="11" t="n">
        <f aca="false">O13-O14</f>
        <v>-653665.893344418</v>
      </c>
      <c r="P15" s="11" t="n">
        <f aca="false">P13-P14</f>
        <v>-655684.133407274</v>
      </c>
      <c r="Q15" s="11" t="n">
        <f aca="false">Q13-Q14</f>
        <v>-657554.860847135</v>
      </c>
      <c r="R15" s="11" t="n">
        <f aca="false">R13-R14</f>
        <v>-659293.07258509</v>
      </c>
      <c r="S15" s="11" t="n">
        <f aca="false">S13-S14</f>
        <v>-660911.115361613</v>
      </c>
      <c r="T15" s="11" t="n">
        <f aca="false">T13-T14</f>
        <v>-662419.308705045</v>
      </c>
      <c r="U15" s="11" t="n">
        <f aca="false">U13-U14</f>
        <v>-663826.39036725</v>
      </c>
      <c r="V15" s="11" t="n">
        <f aca="false">V13-V14</f>
        <v>-665139.842564154</v>
      </c>
      <c r="W15" s="11" t="n">
        <f aca="false">W13-W14</f>
        <v>-666366.135939122</v>
      </c>
      <c r="X15" s="11" t="n">
        <f aca="false">X13-X14</f>
        <v>-667510.915348342</v>
      </c>
      <c r="Y15" s="11" t="n">
        <f aca="false">Y13-Y14</f>
        <v>-668579.143630686</v>
      </c>
      <c r="Z15" s="11" t="n">
        <f aca="false">Z13-Z14</f>
        <v>-669575.214462255</v>
      </c>
      <c r="AA15" s="11" t="n">
        <f aca="false">AA13-AA14</f>
        <v>-670503.042081495</v>
      </c>
      <c r="AB15" s="11" t="n">
        <f aca="false">AB13-AB14</f>
        <v>-671366.133449742</v>
      </c>
      <c r="AC15" s="11" t="n">
        <f aca="false">AC13-AC14</f>
        <v>-672167.646892349</v>
      </c>
      <c r="AD15" s="11" t="n">
        <f aca="false">AD13-AD14</f>
        <v>-672910.440206186</v>
      </c>
      <c r="AE15" s="11" t="n">
        <f aca="false">AE13-AE14</f>
        <v>-673597.110468108</v>
      </c>
      <c r="AF15" s="11" t="n">
        <f aca="false">AF13-AF14</f>
        <v>-674230.027238072</v>
      </c>
      <c r="AG15" s="11" t="n">
        <f aca="false">AG13-AG14</f>
        <v>-674811.360455636</v>
      </c>
      <c r="AH15" s="11" t="n">
        <f aca="false">AH13-AH14</f>
        <v>-675343.104036296</v>
      </c>
      <c r="AI15" s="11" t="n">
        <f aca="false">AI13-AI14</f>
        <v>-675827.095955452</v>
      </c>
      <c r="AJ15" s="11" t="n">
        <f aca="false">AJ13-AJ14</f>
        <v>-676265.035442143</v>
      </c>
      <c r="AK15" s="11" t="n">
        <f aca="false">AK13-AK14</f>
        <v>-676658.497778157</v>
      </c>
      <c r="AL15" s="11" t="n">
        <f aca="false">AL13-AL14</f>
        <v>-674527.347100376</v>
      </c>
      <c r="AM15" s="11" t="n">
        <f aca="false">SUM(C15:N15)</f>
        <v>-8174663.19102207</v>
      </c>
      <c r="AN15" s="11" t="n">
        <f aca="false">SUM(O15:Z15)</f>
        <v>-7950526.02656238</v>
      </c>
      <c r="AO15" s="11" t="n">
        <f aca="false">SUM(AA15:AL15)</f>
        <v>-8088206.84110401</v>
      </c>
      <c r="AP15" s="11" t="n">
        <f aca="false">SUM(C15:AL15)</f>
        <v>-24213396.0586885</v>
      </c>
    </row>
    <row r="16" customFormat="false" ht="15" hidden="false" customHeight="false" outlineLevel="0" collapsed="false">
      <c r="A16" s="1" t="s">
        <v>287</v>
      </c>
      <c r="B16" s="1" t="s">
        <v>288</v>
      </c>
      <c r="C16" s="11" t="n">
        <f aca="false">0+C15</f>
        <v>-1080000</v>
      </c>
      <c r="D16" s="11" t="n">
        <f aca="false">C16+D15</f>
        <v>-1560000</v>
      </c>
      <c r="E16" s="11" t="n">
        <f aca="false">D16+E15</f>
        <v>-2052072.69334187</v>
      </c>
      <c r="F16" s="11" t="n">
        <f aca="false">E16+F15</f>
        <v>-2554113.6441781</v>
      </c>
      <c r="G16" s="11" t="n">
        <f aca="false">F16+G15</f>
        <v>-3062604.8754005</v>
      </c>
      <c r="H16" s="11" t="n">
        <f aca="false">G16+H15</f>
        <v>-3576282.93116986</v>
      </c>
      <c r="I16" s="11" t="n">
        <f aca="false">H16+I15</f>
        <v>-4094413.4862443</v>
      </c>
      <c r="J16" s="11" t="n">
        <f aca="false">I16+J15</f>
        <v>-4616498.35455855</v>
      </c>
      <c r="K16" s="11" t="n">
        <f aca="false">J16+K15</f>
        <v>-5542169.82413157</v>
      </c>
      <c r="L16" s="11" t="n">
        <f aca="false">K16+L15</f>
        <v>-6471141.46157915</v>
      </c>
      <c r="M16" s="11" t="n">
        <f aca="false">L16+M15</f>
        <v>-7523181.59353324</v>
      </c>
      <c r="N16" s="11" t="n">
        <f aca="false">M16+N15</f>
        <v>-8174663.19102207</v>
      </c>
      <c r="O16" s="11" t="n">
        <f aca="false">N16+O15</f>
        <v>-8828329.08436649</v>
      </c>
      <c r="P16" s="11" t="n">
        <f aca="false">O16+P15</f>
        <v>-9484013.21777376</v>
      </c>
      <c r="Q16" s="11" t="n">
        <f aca="false">P16+Q15</f>
        <v>-10141568.0786209</v>
      </c>
      <c r="R16" s="11" t="n">
        <f aca="false">Q16+R15</f>
        <v>-10800861.151206</v>
      </c>
      <c r="S16" s="11" t="n">
        <f aca="false">R16+S15</f>
        <v>-11461772.2665676</v>
      </c>
      <c r="T16" s="11" t="n">
        <f aca="false">S16+T15</f>
        <v>-12124191.5752726</v>
      </c>
      <c r="U16" s="11" t="n">
        <f aca="false">T16+U15</f>
        <v>-12788017.9656399</v>
      </c>
      <c r="V16" s="11" t="n">
        <f aca="false">U16+V15</f>
        <v>-13453157.808204</v>
      </c>
      <c r="W16" s="11" t="n">
        <f aca="false">V16+W15</f>
        <v>-14119523.9441432</v>
      </c>
      <c r="X16" s="11" t="n">
        <f aca="false">W16+X15</f>
        <v>-14787034.8594915</v>
      </c>
      <c r="Y16" s="11" t="n">
        <f aca="false">X16+Y15</f>
        <v>-15455614.0031222</v>
      </c>
      <c r="Z16" s="11" t="n">
        <f aca="false">Y16+Z15</f>
        <v>-16125189.2175845</v>
      </c>
      <c r="AA16" s="11" t="n">
        <f aca="false">Z16+AA15</f>
        <v>-16795692.2596659</v>
      </c>
      <c r="AB16" s="11" t="n">
        <f aca="false">AA16+AB15</f>
        <v>-17467058.3931157</v>
      </c>
      <c r="AC16" s="11" t="n">
        <f aca="false">AB16+AC15</f>
        <v>-18139226.040008</v>
      </c>
      <c r="AD16" s="11" t="n">
        <f aca="false">AC16+AD15</f>
        <v>-18812136.4802142</v>
      </c>
      <c r="AE16" s="11" t="n">
        <f aca="false">AD16+AE15</f>
        <v>-19485733.5906823</v>
      </c>
      <c r="AF16" s="11" t="n">
        <f aca="false">AE16+AF15</f>
        <v>-20159963.6179204</v>
      </c>
      <c r="AG16" s="11" t="n">
        <f aca="false">AF16+AG15</f>
        <v>-20834774.978376</v>
      </c>
      <c r="AH16" s="11" t="n">
        <f aca="false">AG16+AH15</f>
        <v>-21510118.0824123</v>
      </c>
      <c r="AI16" s="11" t="n">
        <f aca="false">AH16+AI15</f>
        <v>-22185945.1783678</v>
      </c>
      <c r="AJ16" s="11" t="n">
        <f aca="false">AI16+AJ15</f>
        <v>-22862210.2138099</v>
      </c>
      <c r="AK16" s="11" t="n">
        <f aca="false">AJ16+AK15</f>
        <v>-23538868.7115881</v>
      </c>
      <c r="AL16" s="11" t="n">
        <f aca="false">AK16+AL15</f>
        <v>-24213396.0586885</v>
      </c>
      <c r="AM16" s="11" t="n">
        <f aca="false">N16</f>
        <v>-8174663.19102207</v>
      </c>
      <c r="AN16" s="11" t="n">
        <f aca="false">Z16</f>
        <v>-16125189.2175845</v>
      </c>
      <c r="AO16" s="11" t="n">
        <f aca="false">AL16</f>
        <v>-24213396.0586885</v>
      </c>
      <c r="AP16" s="1"/>
    </row>
    <row r="17" customFormat="false" ht="15" hidden="false" customHeight="false" outlineLevel="0" collapsed="false">
      <c r="A17" s="0" t="s">
        <v>289</v>
      </c>
      <c r="B17" s="0" t="s">
        <v>290</v>
      </c>
      <c r="C17" s="0" t="n">
        <f aca="false">IF(AND(C13&gt;0,COUNTIF(C13:AL13,"&lt;=0")=0),C$4,99)</f>
        <v>99</v>
      </c>
      <c r="D17" s="0" t="n">
        <f aca="false">IF(AND(D13&gt;0,COUNTIF(D13:AL13,"&lt;=0")=0),D$4,99)</f>
        <v>99</v>
      </c>
      <c r="E17" s="0" t="n">
        <f aca="false">IF(AND(E13&gt;0,COUNTIF(E13:AL13,"&lt;=0")=0),E$4,99)</f>
        <v>99</v>
      </c>
      <c r="F17" s="0" t="n">
        <f aca="false">IF(AND(F13&gt;0,COUNTIF(F13:AL13,"&lt;=0")=0),F$4,99)</f>
        <v>99</v>
      </c>
      <c r="G17" s="0" t="n">
        <f aca="false">IF(AND(G13&gt;0,COUNTIF(G13:AL13,"&lt;=0")=0),G$4,99)</f>
        <v>99</v>
      </c>
      <c r="H17" s="0" t="n">
        <f aca="false">IF(AND(H13&gt;0,COUNTIF(H13:AL13,"&lt;=0")=0),H$4,99)</f>
        <v>99</v>
      </c>
      <c r="I17" s="0" t="n">
        <f aca="false">IF(AND(I13&gt;0,COUNTIF(I13:AL13,"&lt;=0")=0),I$4,99)</f>
        <v>99</v>
      </c>
      <c r="J17" s="0" t="n">
        <f aca="false">IF(AND(J13&gt;0,COUNTIF(J13:AL13,"&lt;=0")=0),J$4,99)</f>
        <v>99</v>
      </c>
      <c r="K17" s="0" t="n">
        <f aca="false">IF(AND(K13&gt;0,COUNTIF(K13:AL13,"&lt;=0")=0),K$4,99)</f>
        <v>99</v>
      </c>
      <c r="L17" s="0" t="n">
        <f aca="false">IF(AND(L13&gt;0,COUNTIF(L13:AL13,"&lt;=0")=0),L$4,99)</f>
        <v>99</v>
      </c>
      <c r="M17" s="0" t="n">
        <f aca="false">IF(AND(M13&gt;0,COUNTIF(M13:AL13,"&lt;=0")=0),M$4,99)</f>
        <v>99</v>
      </c>
      <c r="N17" s="0" t="n">
        <f aca="false">IF(AND(N13&gt;0,COUNTIF(N13:AL13,"&lt;=0")=0),N$4,99)</f>
        <v>99</v>
      </c>
      <c r="O17" s="0" t="n">
        <f aca="false">IF(AND(O13&gt;0,COUNTIF(O13:AL13,"&lt;=0")=0),O$4,99)</f>
        <v>99</v>
      </c>
      <c r="P17" s="0" t="n">
        <f aca="false">IF(AND(P13&gt;0,COUNTIF(P13:AL13,"&lt;=0")=0),P$4,99)</f>
        <v>99</v>
      </c>
      <c r="Q17" s="0" t="n">
        <f aca="false">IF(AND(Q13&gt;0,COUNTIF(Q13:AL13,"&lt;=0")=0),Q$4,99)</f>
        <v>99</v>
      </c>
      <c r="R17" s="0" t="n">
        <f aca="false">IF(AND(R13&gt;0,COUNTIF(R13:AL13,"&lt;=0")=0),R$4,99)</f>
        <v>99</v>
      </c>
      <c r="S17" s="0" t="n">
        <f aca="false">IF(AND(S13&gt;0,COUNTIF(S13:AL13,"&lt;=0")=0),S$4,99)</f>
        <v>99</v>
      </c>
      <c r="T17" s="0" t="n">
        <f aca="false">IF(AND(T13&gt;0,COUNTIF(T13:AL13,"&lt;=0")=0),T$4,99)</f>
        <v>99</v>
      </c>
      <c r="U17" s="0" t="n">
        <f aca="false">IF(AND(U13&gt;0,COUNTIF(U13:AL13,"&lt;=0")=0),U$4,99)</f>
        <v>99</v>
      </c>
      <c r="V17" s="0" t="n">
        <f aca="false">IF(AND(V13&gt;0,COUNTIF(V13:AL13,"&lt;=0")=0),V$4,99)</f>
        <v>99</v>
      </c>
      <c r="W17" s="0" t="n">
        <f aca="false">IF(AND(W13&gt;0,COUNTIF(W13:AL13,"&lt;=0")=0),W$4,99)</f>
        <v>99</v>
      </c>
      <c r="X17" s="0" t="n">
        <f aca="false">IF(AND(X13&gt;0,COUNTIF(X13:AL13,"&lt;=0")=0),X$4,99)</f>
        <v>99</v>
      </c>
      <c r="Y17" s="0" t="n">
        <f aca="false">IF(AND(Y13&gt;0,COUNTIF(Y13:AL13,"&lt;=0")=0),Y$4,99)</f>
        <v>99</v>
      </c>
      <c r="Z17" s="0" t="n">
        <f aca="false">IF(AND(Z13&gt;0,COUNTIF(Z13:AL13,"&lt;=0")=0),Z$4,99)</f>
        <v>99</v>
      </c>
      <c r="AA17" s="0" t="n">
        <f aca="false">IF(AND(AA13&gt;0,COUNTIF(AA13:AL13,"&lt;=0")=0),AA$4,99)</f>
        <v>99</v>
      </c>
      <c r="AB17" s="0" t="n">
        <f aca="false">IF(AND(AB13&gt;0,COUNTIF(AB13:AL13,"&lt;=0")=0),AB$4,99)</f>
        <v>99</v>
      </c>
      <c r="AC17" s="0" t="n">
        <f aca="false">IF(AND(AC13&gt;0,COUNTIF(AC13:AL13,"&lt;=0")=0),AC$4,99)</f>
        <v>99</v>
      </c>
      <c r="AD17" s="0" t="n">
        <f aca="false">IF(AND(AD13&gt;0,COUNTIF(AD13:AL13,"&lt;=0")=0),AD$4,99)</f>
        <v>99</v>
      </c>
      <c r="AE17" s="0" t="n">
        <f aca="false">IF(AND(AE13&gt;0,COUNTIF(AE13:AL13,"&lt;=0")=0),AE$4,99)</f>
        <v>99</v>
      </c>
      <c r="AF17" s="0" t="n">
        <f aca="false">IF(AND(AF13&gt;0,COUNTIF(AF13:AL13,"&lt;=0")=0),AF$4,99)</f>
        <v>99</v>
      </c>
      <c r="AG17" s="0" t="n">
        <f aca="false">IF(AND(AG13&gt;0,COUNTIF(AG13:AL13,"&lt;=0")=0),AG$4,99)</f>
        <v>99</v>
      </c>
      <c r="AH17" s="0" t="n">
        <f aca="false">IF(AND(AH13&gt;0,COUNTIF(AH13:AL13,"&lt;=0")=0),AH$4,99)</f>
        <v>99</v>
      </c>
      <c r="AI17" s="0" t="n">
        <f aca="false">IF(AND(AI13&gt;0,COUNTIF(AI13:AL13,"&lt;=0")=0),AI$4,99)</f>
        <v>99</v>
      </c>
      <c r="AJ17" s="0" t="n">
        <f aca="false">IF(AND(AJ13&gt;0,COUNTIF(AJ13:AL13,"&lt;=0")=0),AJ$4,99)</f>
        <v>99</v>
      </c>
      <c r="AK17" s="0" t="n">
        <f aca="false">IF(AND(AK13&gt;0,COUNTIF(AK13:AL13,"&lt;=0")=0),AK$4,99)</f>
        <v>99</v>
      </c>
      <c r="AL17" s="0" t="n">
        <f aca="false">IF(AND(AL13&gt;0,COUNTIF(AL13:AL13,"&lt;=0")=0),AL$4,99)</f>
        <v>99</v>
      </c>
    </row>
    <row r="18" customFormat="false" ht="15" hidden="false" customHeight="false" outlineLevel="0" collapsed="false">
      <c r="A18" s="0" t="s">
        <v>291</v>
      </c>
      <c r="B18" s="0" t="s">
        <v>292</v>
      </c>
      <c r="C18" s="0" t="n">
        <f aca="false">IF(AND(C16&gt;=0,COUNTIF(C16:AL16,"&lt;0")=0),C$4,99)</f>
        <v>99</v>
      </c>
      <c r="D18" s="0" t="n">
        <f aca="false">IF(AND(D16&gt;=0,COUNTIF(D16:AL16,"&lt;0")=0),D$4,99)</f>
        <v>99</v>
      </c>
      <c r="E18" s="0" t="n">
        <f aca="false">IF(AND(E16&gt;=0,COUNTIF(E16:AL16,"&lt;0")=0),E$4,99)</f>
        <v>99</v>
      </c>
      <c r="F18" s="0" t="n">
        <f aca="false">IF(AND(F16&gt;=0,COUNTIF(F16:AL16,"&lt;0")=0),F$4,99)</f>
        <v>99</v>
      </c>
      <c r="G18" s="0" t="n">
        <f aca="false">IF(AND(G16&gt;=0,COUNTIF(G16:AL16,"&lt;0")=0),G$4,99)</f>
        <v>99</v>
      </c>
      <c r="H18" s="0" t="n">
        <f aca="false">IF(AND(H16&gt;=0,COUNTIF(H16:AL16,"&lt;0")=0),H$4,99)</f>
        <v>99</v>
      </c>
      <c r="I18" s="0" t="n">
        <f aca="false">IF(AND(I16&gt;=0,COUNTIF(I16:AL16,"&lt;0")=0),I$4,99)</f>
        <v>99</v>
      </c>
      <c r="J18" s="0" t="n">
        <f aca="false">IF(AND(J16&gt;=0,COUNTIF(J16:AL16,"&lt;0")=0),J$4,99)</f>
        <v>99</v>
      </c>
      <c r="K18" s="0" t="n">
        <f aca="false">IF(AND(K16&gt;=0,COUNTIF(K16:AL16,"&lt;0")=0),K$4,99)</f>
        <v>99</v>
      </c>
      <c r="L18" s="0" t="n">
        <f aca="false">IF(AND(L16&gt;=0,COUNTIF(L16:AL16,"&lt;0")=0),L$4,99)</f>
        <v>99</v>
      </c>
      <c r="M18" s="0" t="n">
        <f aca="false">IF(AND(M16&gt;=0,COUNTIF(M16:AL16,"&lt;0")=0),M$4,99)</f>
        <v>99</v>
      </c>
      <c r="N18" s="0" t="n">
        <f aca="false">IF(AND(N16&gt;=0,COUNTIF(N16:AL16,"&lt;0")=0),N$4,99)</f>
        <v>99</v>
      </c>
      <c r="O18" s="0" t="n">
        <f aca="false">IF(AND(O16&gt;=0,COUNTIF(O16:AL16,"&lt;0")=0),O$4,99)</f>
        <v>99</v>
      </c>
      <c r="P18" s="0" t="n">
        <f aca="false">IF(AND(P16&gt;=0,COUNTIF(P16:AL16,"&lt;0")=0),P$4,99)</f>
        <v>99</v>
      </c>
      <c r="Q18" s="0" t="n">
        <f aca="false">IF(AND(Q16&gt;=0,COUNTIF(Q16:AL16,"&lt;0")=0),Q$4,99)</f>
        <v>99</v>
      </c>
      <c r="R18" s="0" t="n">
        <f aca="false">IF(AND(R16&gt;=0,COUNTIF(R16:AL16,"&lt;0")=0),R$4,99)</f>
        <v>99</v>
      </c>
      <c r="S18" s="0" t="n">
        <f aca="false">IF(AND(S16&gt;=0,COUNTIF(S16:AL16,"&lt;0")=0),S$4,99)</f>
        <v>99</v>
      </c>
      <c r="T18" s="0" t="n">
        <f aca="false">IF(AND(T16&gt;=0,COUNTIF(T16:AL16,"&lt;0")=0),T$4,99)</f>
        <v>99</v>
      </c>
      <c r="U18" s="0" t="n">
        <f aca="false">IF(AND(U16&gt;=0,COUNTIF(U16:AL16,"&lt;0")=0),U$4,99)</f>
        <v>99</v>
      </c>
      <c r="V18" s="0" t="n">
        <f aca="false">IF(AND(V16&gt;=0,COUNTIF(V16:AL16,"&lt;0")=0),V$4,99)</f>
        <v>99</v>
      </c>
      <c r="W18" s="0" t="n">
        <f aca="false">IF(AND(W16&gt;=0,COUNTIF(W16:AL16,"&lt;0")=0),W$4,99)</f>
        <v>99</v>
      </c>
      <c r="X18" s="0" t="n">
        <f aca="false">IF(AND(X16&gt;=0,COUNTIF(X16:AL16,"&lt;0")=0),X$4,99)</f>
        <v>99</v>
      </c>
      <c r="Y18" s="0" t="n">
        <f aca="false">IF(AND(Y16&gt;=0,COUNTIF(Y16:AL16,"&lt;0")=0),Y$4,99)</f>
        <v>99</v>
      </c>
      <c r="Z18" s="0" t="n">
        <f aca="false">IF(AND(Z16&gt;=0,COUNTIF(Z16:AL16,"&lt;0")=0),Z$4,99)</f>
        <v>99</v>
      </c>
      <c r="AA18" s="0" t="n">
        <f aca="false">IF(AND(AA16&gt;=0,COUNTIF(AA16:AL16,"&lt;0")=0),AA$4,99)</f>
        <v>99</v>
      </c>
      <c r="AB18" s="0" t="n">
        <f aca="false">IF(AND(AB16&gt;=0,COUNTIF(AB16:AL16,"&lt;0")=0),AB$4,99)</f>
        <v>99</v>
      </c>
      <c r="AC18" s="0" t="n">
        <f aca="false">IF(AND(AC16&gt;=0,COUNTIF(AC16:AL16,"&lt;0")=0),AC$4,99)</f>
        <v>99</v>
      </c>
      <c r="AD18" s="0" t="n">
        <f aca="false">IF(AND(AD16&gt;=0,COUNTIF(AD16:AL16,"&lt;0")=0),AD$4,99)</f>
        <v>99</v>
      </c>
      <c r="AE18" s="0" t="n">
        <f aca="false">IF(AND(AE16&gt;=0,COUNTIF(AE16:AL16,"&lt;0")=0),AE$4,99)</f>
        <v>99</v>
      </c>
      <c r="AF18" s="0" t="n">
        <f aca="false">IF(AND(AF16&gt;=0,COUNTIF(AF16:AL16,"&lt;0")=0),AF$4,99)</f>
        <v>99</v>
      </c>
      <c r="AG18" s="0" t="n">
        <f aca="false">IF(AND(AG16&gt;=0,COUNTIF(AG16:AL16,"&lt;0")=0),AG$4,99)</f>
        <v>99</v>
      </c>
      <c r="AH18" s="0" t="n">
        <f aca="false">IF(AND(AH16&gt;=0,COUNTIF(AH16:AL16,"&lt;0")=0),AH$4,99)</f>
        <v>99</v>
      </c>
      <c r="AI18" s="0" t="n">
        <f aca="false">IF(AND(AI16&gt;=0,COUNTIF(AI16:AL16,"&lt;0")=0),AI$4,99)</f>
        <v>99</v>
      </c>
      <c r="AJ18" s="0" t="n">
        <f aca="false">IF(AND(AJ16&gt;=0,COUNTIF(AJ16:AL16,"&lt;0")=0),AJ$4,99)</f>
        <v>99</v>
      </c>
      <c r="AK18" s="0" t="n">
        <f aca="false">IF(AND(AK16&gt;=0,COUNTIF(AK16:AL16,"&lt;0")=0),AK$4,99)</f>
        <v>99</v>
      </c>
      <c r="AL18" s="0" t="n">
        <f aca="false">IF(AND(AL16&gt;=0,COUNTIF(AL16:AL16,"&lt;0")=0),AL$4,99)</f>
        <v>99</v>
      </c>
    </row>
    <row r="20" customFormat="false" ht="15" hidden="false" customHeight="false" outlineLevel="0" collapsed="false">
      <c r="A20" s="1" t="s">
        <v>293</v>
      </c>
      <c r="B20" s="1" t="s">
        <v>252</v>
      </c>
      <c r="C20" s="1" t="n">
        <v>1</v>
      </c>
      <c r="D20" s="1" t="n">
        <v>2</v>
      </c>
      <c r="E20" s="1" t="n">
        <v>3</v>
      </c>
      <c r="F20" s="1" t="n">
        <v>4</v>
      </c>
      <c r="G20" s="1" t="n">
        <v>5</v>
      </c>
      <c r="H20" s="1" t="n">
        <v>6</v>
      </c>
      <c r="I20" s="1" t="n">
        <v>7</v>
      </c>
      <c r="J20" s="1" t="n">
        <v>8</v>
      </c>
      <c r="K20" s="1" t="n">
        <v>9</v>
      </c>
      <c r="L20" s="1" t="n">
        <v>10</v>
      </c>
      <c r="M20" s="1" t="n">
        <v>11</v>
      </c>
      <c r="N20" s="1" t="n">
        <v>12</v>
      </c>
      <c r="O20" s="1" t="n">
        <v>13</v>
      </c>
      <c r="P20" s="1" t="n">
        <v>14</v>
      </c>
      <c r="Q20" s="1" t="n">
        <v>15</v>
      </c>
      <c r="R20" s="1" t="n">
        <v>16</v>
      </c>
      <c r="S20" s="1" t="n">
        <v>17</v>
      </c>
      <c r="T20" s="1" t="n">
        <v>18</v>
      </c>
      <c r="U20" s="1" t="n">
        <v>19</v>
      </c>
      <c r="V20" s="1" t="n">
        <v>20</v>
      </c>
      <c r="W20" s="1" t="n">
        <v>21</v>
      </c>
      <c r="X20" s="1" t="n">
        <v>22</v>
      </c>
      <c r="Y20" s="1" t="n">
        <v>23</v>
      </c>
      <c r="Z20" s="1" t="n">
        <v>24</v>
      </c>
      <c r="AA20" s="1" t="n">
        <v>25</v>
      </c>
      <c r="AB20" s="1" t="n">
        <v>26</v>
      </c>
      <c r="AC20" s="1" t="n">
        <v>27</v>
      </c>
      <c r="AD20" s="1" t="n">
        <v>28</v>
      </c>
      <c r="AE20" s="1" t="n">
        <v>29</v>
      </c>
      <c r="AF20" s="1" t="n">
        <v>30</v>
      </c>
      <c r="AG20" s="1" t="n">
        <v>31</v>
      </c>
      <c r="AH20" s="1" t="n">
        <v>32</v>
      </c>
      <c r="AI20" s="1" t="n">
        <v>33</v>
      </c>
      <c r="AJ20" s="1" t="n">
        <v>34</v>
      </c>
      <c r="AK20" s="1" t="n">
        <v>35</v>
      </c>
      <c r="AL20" s="1" t="n">
        <v>36</v>
      </c>
      <c r="AM20" s="1" t="s">
        <v>253</v>
      </c>
      <c r="AN20" s="1" t="s">
        <v>254</v>
      </c>
      <c r="AO20" s="1" t="s">
        <v>255</v>
      </c>
      <c r="AP20" s="1" t="s">
        <v>256</v>
      </c>
    </row>
    <row r="21" customFormat="false" ht="15" hidden="false" customHeight="false" outlineLevel="0" collapsed="false">
      <c r="A21" s="0" t="s">
        <v>296</v>
      </c>
      <c r="B21" s="0" t="s">
        <v>297</v>
      </c>
      <c r="C21" s="10" t="n">
        <f aca="false">A_дропшиппинг!C34</f>
        <v>0</v>
      </c>
      <c r="D21" s="10" t="n">
        <f aca="false">A_дропшиппинг!D34</f>
        <v>0</v>
      </c>
      <c r="E21" s="10" t="n">
        <f aca="false">A_дропшиппинг!E34</f>
        <v>998.46074262196</v>
      </c>
      <c r="F21" s="10" t="n">
        <f aca="false">A_дропшиппинг!F34</f>
        <v>2458.49873044648</v>
      </c>
      <c r="G21" s="10" t="n">
        <f aca="false">A_дропшиппинг!G34</f>
        <v>4164.74701058146</v>
      </c>
      <c r="H21" s="10" t="n">
        <f aca="false">A_дропшиппинг!H34</f>
        <v>6053.53395440952</v>
      </c>
      <c r="I21" s="10" t="n">
        <f aca="false">A_дропшиппинг!I34</f>
        <v>8090.80994534517</v>
      </c>
      <c r="J21" s="10" t="n">
        <f aca="false">A_дропшиппинг!J34</f>
        <v>10254.8100301446</v>
      </c>
      <c r="K21" s="10" t="n">
        <f aca="false">A_дропшиппинг!K34</f>
        <v>12530.2127814074</v>
      </c>
      <c r="L21" s="10" t="n">
        <f aca="false">A_дропшиппинг!L34</f>
        <v>14905.5490179301</v>
      </c>
      <c r="M21" s="10" t="n">
        <f aca="false">A_дропшиппинг!M34</f>
        <v>17371.8574218541</v>
      </c>
      <c r="N21" s="10" t="n">
        <f aca="false">A_дропшиппинг!N34</f>
        <v>19921.9109272944</v>
      </c>
      <c r="O21" s="10" t="n">
        <f aca="false">A_дропшиппинг!O34</f>
        <v>22549.737191146</v>
      </c>
      <c r="P21" s="10" t="n">
        <f aca="false">A_дропшиппинг!P34</f>
        <v>25250.3041570519</v>
      </c>
      <c r="Q21" s="10" t="n">
        <f aca="false">A_дропшиппинг!Q34</f>
        <v>28019.3045673439</v>
      </c>
      <c r="R21" s="10" t="n">
        <f aca="false">A_дропшиппинг!R34</f>
        <v>30853.0029277055</v>
      </c>
      <c r="S21" s="10" t="n">
        <f aca="false">A_дропшиппинг!S34</f>
        <v>33748.1235812765</v>
      </c>
      <c r="T21" s="10" t="n">
        <f aca="false">A_дропшиппинг!T34</f>
        <v>36701.7668025268</v>
      </c>
      <c r="U21" s="10" t="n">
        <f aca="false">A_дропшиппинг!U34</f>
        <v>50400.586094863</v>
      </c>
      <c r="V21" s="10" t="n">
        <f aca="false">A_дропшиппинг!V34</f>
        <v>54288.3004211823</v>
      </c>
      <c r="W21" s="10" t="n">
        <f aca="false">A_дропшиппинг!W34</f>
        <v>58241.3817971354</v>
      </c>
      <c r="X21" s="10" t="n">
        <f aca="false">A_дропшиппинг!X34</f>
        <v>62257.4005255428</v>
      </c>
      <c r="Y21" s="10" t="n">
        <f aca="false">A_дропшиппинг!Y34</f>
        <v>66334.1352807868</v>
      </c>
      <c r="Z21" s="10" t="n">
        <f aca="false">A_дропшиппинг!Z34</f>
        <v>70469.5460781065</v>
      </c>
      <c r="AA21" s="10" t="n">
        <f aca="false">A_дропшиппинг!AA34</f>
        <v>74661.7518296829</v>
      </c>
      <c r="AB21" s="10" t="n">
        <f aca="false">A_дропшиппинг!AB34</f>
        <v>78909.0115418389</v>
      </c>
      <c r="AC21" s="10" t="n">
        <f aca="false">A_дропшиппинг!AC34</f>
        <v>83209.7084342749</v>
      </c>
      <c r="AD21" s="10" t="n">
        <f aca="false">A_дропшиппинг!AD34</f>
        <v>87562.3364275936</v>
      </c>
      <c r="AE21" s="10" t="n">
        <f aca="false">A_дропшиппинг!AE34</f>
        <v>91965.4885677351</v>
      </c>
      <c r="AF21" s="10" t="n">
        <f aca="false">A_дропшиппинг!AF34</f>
        <v>96417.8470477067</v>
      </c>
      <c r="AG21" s="10" t="n">
        <f aca="false">A_дропшиппинг!AG34</f>
        <v>100918.174556629</v>
      </c>
      <c r="AH21" s="10" t="n">
        <f aca="false">A_дропшиппинг!AH34</f>
        <v>105465.306739548</v>
      </c>
      <c r="AI21" s="10" t="n">
        <f aca="false">A_дропшиппинг!AI34</f>
        <v>110058.145592894</v>
      </c>
      <c r="AJ21" s="10" t="n">
        <f aca="false">A_дропшиппинг!AJ34</f>
        <v>114695.653652855</v>
      </c>
      <c r="AK21" s="10" t="n">
        <f aca="false">A_дропшиппинг!AK34</f>
        <v>119376.848859518</v>
      </c>
      <c r="AL21" s="10" t="n">
        <f aca="false">A_дропшиппинг!AL34</f>
        <v>124100.8</v>
      </c>
      <c r="AM21" s="10" t="n">
        <f aca="false">SUM(C21:N21)</f>
        <v>96750.3905620351</v>
      </c>
      <c r="AN21" s="10" t="n">
        <f aca="false">SUM(O21:Z21)</f>
        <v>539113.589424667</v>
      </c>
      <c r="AO21" s="10" t="n">
        <f aca="false">SUM(AA21:AL21)</f>
        <v>1187341.07325028</v>
      </c>
      <c r="AP21" s="10" t="n">
        <f aca="false">SUM(C21:AL21)</f>
        <v>1823205.05323698</v>
      </c>
    </row>
    <row r="22" customFormat="false" ht="15" hidden="false" customHeight="false" outlineLevel="0" collapsed="false">
      <c r="A22" s="0" t="s">
        <v>298</v>
      </c>
      <c r="B22" s="0" t="s">
        <v>299</v>
      </c>
      <c r="C22" s="10" t="n">
        <f aca="false">A_дропшиппинг!C26*(1+Допущения!$D$34)</f>
        <v>0</v>
      </c>
      <c r="D22" s="10" t="n">
        <f aca="false">A_дропшиппинг!D26*(1+Допущения!$D$34)</f>
        <v>0</v>
      </c>
      <c r="E22" s="10" t="n">
        <f aca="false">A_дропшиппинг!E26*(1+Допущения!$D$34)</f>
        <v>459.504661630793</v>
      </c>
      <c r="F22" s="10" t="n">
        <f aca="false">A_дропшиппинг!F26*(1+Допущения!$D$34)</f>
        <v>1131.43319414539</v>
      </c>
      <c r="G22" s="10" t="n">
        <f aca="false">A_дропшиппинг!G26*(1+Допущения!$D$34)</f>
        <v>1916.67091572339</v>
      </c>
      <c r="H22" s="10" t="n">
        <f aca="false">A_дропшиппинг!H26*(1+Допущения!$D$34)</f>
        <v>2785.91531209019</v>
      </c>
      <c r="I22" s="10" t="n">
        <f aca="false">A_дропшиппинг!I26*(1+Допущения!$D$34)</f>
        <v>3723.4963054151</v>
      </c>
      <c r="J22" s="10" t="n">
        <f aca="false">A_дропшиппинг!J26*(1+Допущения!$D$34)</f>
        <v>4719.39738022708</v>
      </c>
      <c r="K22" s="10" t="n">
        <f aca="false">A_дропшиппинг!K26*(1+Допущения!$D$34)</f>
        <v>5766.56741572304</v>
      </c>
      <c r="L22" s="10" t="n">
        <f aca="false">A_дропшиппинг!L26*(1+Допущения!$D$34)</f>
        <v>6859.72814506379</v>
      </c>
      <c r="M22" s="10" t="n">
        <f aca="false">A_дропшиппинг!M26*(1+Допущения!$D$34)</f>
        <v>7994.75545284384</v>
      </c>
      <c r="N22" s="10" t="n">
        <f aca="false">A_дропшиппинг!N26*(1+Допущения!$D$34)</f>
        <v>9168.32334904447</v>
      </c>
      <c r="O22" s="10" t="n">
        <f aca="false">A_дропшиппинг!O26*(1+Допущения!$D$34)</f>
        <v>10377.6832834418</v>
      </c>
      <c r="P22" s="10" t="n">
        <f aca="false">A_дропшиппинг!P26*(1+Допущения!$D$34)</f>
        <v>11620.5194380424</v>
      </c>
      <c r="Q22" s="10" t="n">
        <f aca="false">A_дропшиппинг!Q26*(1+Допущения!$D$34)</f>
        <v>12894.8495566663</v>
      </c>
      <c r="R22" s="10" t="n">
        <f aca="false">A_дропшиппинг!R26*(1+Допущения!$D$34)</f>
        <v>14198.9545160885</v>
      </c>
      <c r="S22" s="10" t="n">
        <f aca="false">A_дропшиппинг!S26*(1+Допущения!$D$34)</f>
        <v>15531.3268162814</v>
      </c>
      <c r="T22" s="10" t="n">
        <f aca="false">A_дропшиппинг!T26*(1+Допущения!$D$34)</f>
        <v>16890.6319657203</v>
      </c>
      <c r="U22" s="10" t="n">
        <f aca="false">A_дропшиппинг!U26*(1+Допущения!$D$34)</f>
        <v>18275.6789180153</v>
      </c>
      <c r="V22" s="10" t="n">
        <f aca="false">A_дропшиппинг!V26*(1+Допущения!$D$34)</f>
        <v>19685.397023655</v>
      </c>
      <c r="W22" s="10" t="n">
        <f aca="false">A_дропшиппинг!W26*(1+Допущения!$D$34)</f>
        <v>21118.8177745115</v>
      </c>
      <c r="X22" s="10" t="n">
        <f aca="false">A_дропшиппинг!X26*(1+Допущения!$D$34)</f>
        <v>22575.0601418317</v>
      </c>
      <c r="Y22" s="10" t="n">
        <f aca="false">A_дропшиппинг!Y26*(1+Допущения!$D$34)</f>
        <v>24053.3186541538</v>
      </c>
      <c r="Z22" s="10" t="n">
        <f aca="false">A_дропшиппинг!Z26*(1+Допущения!$D$34)</f>
        <v>25552.8535957447</v>
      </c>
      <c r="AA22" s="10" t="n">
        <f aca="false">A_дропшиппинг!AA26*(1+Допущения!$D$34)</f>
        <v>27072.9828682469</v>
      </c>
      <c r="AB22" s="10" t="n">
        <f aca="false">A_дропшиппинг!AB26*(1+Допущения!$D$34)</f>
        <v>28613.0751726238</v>
      </c>
      <c r="AC22" s="10" t="n">
        <f aca="false">A_дропшиппинг!AC26*(1+Допущения!$D$34)</f>
        <v>30172.5442506605</v>
      </c>
      <c r="AD22" s="10" t="n">
        <f aca="false">A_дропшиппинг!AD26*(1+Допущения!$D$34)</f>
        <v>31750.8439852258</v>
      </c>
      <c r="AE22" s="10" t="n">
        <f aca="false">A_дропшиппинг!AE26*(1+Допущения!$D$34)</f>
        <v>33347.4642028744</v>
      </c>
      <c r="AF22" s="10" t="n">
        <f aca="false">A_дропшиппинг!AF26*(1+Допущения!$D$34)</f>
        <v>34961.9270556419</v>
      </c>
      <c r="AG22" s="10" t="n">
        <f aca="false">A_дропшиппинг!AG26*(1+Допущения!$D$34)</f>
        <v>36593.7838841352</v>
      </c>
      <c r="AH22" s="10" t="n">
        <f aca="false">A_дропшиппинг!AH26*(1+Допущения!$D$34)</f>
        <v>38242.6124833978</v>
      </c>
      <c r="AI22" s="10" t="n">
        <f aca="false">A_дропшиппинг!AI26*(1+Допущения!$D$34)</f>
        <v>39908.0147080458</v>
      </c>
      <c r="AJ22" s="10" t="n">
        <f aca="false">A_дропшиппинг!AJ26*(1+Допущения!$D$34)</f>
        <v>41589.6143649233</v>
      </c>
      <c r="AK22" s="10" t="n">
        <f aca="false">A_дропшиппинг!AK26*(1+Допущения!$D$34)</f>
        <v>43287.0553507979</v>
      </c>
      <c r="AL22" s="10" t="n">
        <f aca="false">A_дропшиппинг!AL26*(1+Допущения!$D$34)</f>
        <v>45000</v>
      </c>
      <c r="AM22" s="10" t="n">
        <f aca="false">N22</f>
        <v>9168.32334904447</v>
      </c>
      <c r="AN22" s="10" t="n">
        <f aca="false">Z22</f>
        <v>25552.8535957447</v>
      </c>
      <c r="AO22" s="10" t="n">
        <f aca="false">AL22</f>
        <v>45000</v>
      </c>
    </row>
    <row r="23" customFormat="false" ht="15" hidden="false" customHeight="false" outlineLevel="0" collapsed="false">
      <c r="A23" s="0" t="s">
        <v>300</v>
      </c>
      <c r="B23" s="0" t="s">
        <v>301</v>
      </c>
      <c r="C23" s="10" t="n">
        <f aca="false">IF(C$20&gt;=Допущения!$D$30,C22*Допущения!$D$33*Допущения!$D$31*Допущения!$D$32/12,0)</f>
        <v>0</v>
      </c>
      <c r="D23" s="10" t="n">
        <f aca="false">IF(D$20&gt;=Допущения!$D$30,D22*Допущения!$D$33*Допущения!$D$31*Допущения!$D$32/12,0)</f>
        <v>0</v>
      </c>
      <c r="E23" s="10" t="n">
        <f aca="false">IF(E$20&gt;=Допущения!$D$30,E22*Допущения!$D$33*Допущения!$D$31*Допущения!$D$32/12,0)</f>
        <v>0</v>
      </c>
      <c r="F23" s="10" t="n">
        <f aca="false">IF(F$20&gt;=Допущения!$D$30,F22*Допущения!$D$33*Допущения!$D$31*Допущения!$D$32/12,0)</f>
        <v>0</v>
      </c>
      <c r="G23" s="10" t="n">
        <f aca="false">IF(G$20&gt;=Допущения!$D$30,G22*Допущения!$D$33*Допущения!$D$31*Допущения!$D$32/12,0)</f>
        <v>0</v>
      </c>
      <c r="H23" s="10" t="n">
        <f aca="false">IF(H$20&gt;=Допущения!$D$30,H22*Допущения!$D$33*Допущения!$D$31*Допущения!$D$32/12,0)</f>
        <v>0</v>
      </c>
      <c r="I23" s="10" t="n">
        <f aca="false">IF(I$20&gt;=Допущения!$D$30,I22*Допущения!$D$33*Допущения!$D$31*Допущения!$D$32/12,0)</f>
        <v>0</v>
      </c>
      <c r="J23" s="10" t="n">
        <f aca="false">IF(J$20&gt;=Допущения!$D$30,J22*Допущения!$D$33*Допущения!$D$31*Допущения!$D$32/12,0)</f>
        <v>0</v>
      </c>
      <c r="K23" s="10" t="n">
        <f aca="false">IF(K$20&gt;=Допущения!$D$30,K22*Допущения!$D$33*Допущения!$D$31*Допущения!$D$32/12,0)</f>
        <v>41807.6137639921</v>
      </c>
      <c r="L23" s="10" t="n">
        <f aca="false">IF(L$20&gt;=Допущения!$D$30,L22*Допущения!$D$33*Допущения!$D$31*Допущения!$D$32/12,0)</f>
        <v>49733.0290517125</v>
      </c>
      <c r="M23" s="10" t="n">
        <f aca="false">IF(M$20&gt;=Допущения!$D$30,M22*Допущения!$D$33*Допущения!$D$31*Допущения!$D$32/12,0)</f>
        <v>57961.9770331178</v>
      </c>
      <c r="N23" s="10" t="n">
        <f aca="false">IF(N$20&gt;=Допущения!$D$30,N22*Допущения!$D$33*Допущения!$D$31*Допущения!$D$32/12,0)</f>
        <v>66470.3442805724</v>
      </c>
      <c r="O23" s="10" t="n">
        <f aca="false">IF(O$20&gt;=Допущения!$D$30,O22*Допущения!$D$33*Допущения!$D$31*Допущения!$D$32/12,0)</f>
        <v>75238.2038049532</v>
      </c>
      <c r="P23" s="10" t="n">
        <f aca="false">IF(P$20&gt;=Допущения!$D$30,P22*Допущения!$D$33*Допущения!$D$31*Допущения!$D$32/12,0)</f>
        <v>84248.7659258074</v>
      </c>
      <c r="Q23" s="10" t="n">
        <f aca="false">IF(Q$20&gt;=Допущения!$D$30,Q22*Допущения!$D$33*Допущения!$D$31*Допущения!$D$32/12,0)</f>
        <v>93487.6592858308</v>
      </c>
      <c r="R23" s="10" t="n">
        <f aca="false">IF(R$20&gt;=Допущения!$D$30,R22*Допущения!$D$33*Допущения!$D$31*Допущения!$D$32/12,0)</f>
        <v>102942.420241642</v>
      </c>
      <c r="S23" s="10" t="n">
        <f aca="false">IF(S$20&gt;=Допущения!$D$30,S22*Допущения!$D$33*Допущения!$D$31*Допущения!$D$32/12,0)</f>
        <v>112602.11941804</v>
      </c>
      <c r="T23" s="10" t="n">
        <f aca="false">IF(T$20&gt;=Допущения!$D$30,T22*Допущения!$D$33*Допущения!$D$31*Допущения!$D$32/12,0)</f>
        <v>122457.081751472</v>
      </c>
      <c r="U23" s="10" t="n">
        <f aca="false">IF(U$20&gt;=Допущения!$D$30,U22*Допущения!$D$33*Допущения!$D$31*Допущения!$D$32/12,0)</f>
        <v>132498.672155611</v>
      </c>
      <c r="V23" s="10" t="n">
        <f aca="false">IF(V$20&gt;=Допущения!$D$30,V22*Допущения!$D$33*Допущения!$D$31*Допущения!$D$32/12,0)</f>
        <v>142719.128421499</v>
      </c>
      <c r="W23" s="10" t="n">
        <f aca="false">IF(W$20&gt;=Допущения!$D$30,W22*Допущения!$D$33*Допущения!$D$31*Допущения!$D$32/12,0)</f>
        <v>153111.428865208</v>
      </c>
      <c r="X23" s="10" t="n">
        <f aca="false">IF(X$20&gt;=Допущения!$D$30,X22*Допущения!$D$33*Допущения!$D$31*Допущения!$D$32/12,0)</f>
        <v>163669.18602828</v>
      </c>
      <c r="Y23" s="10" t="n">
        <f aca="false">IF(Y$20&gt;=Допущения!$D$30,Y22*Допущения!$D$33*Допущения!$D$31*Допущения!$D$32/12,0)</f>
        <v>174386.560242615</v>
      </c>
      <c r="Z23" s="10" t="n">
        <f aca="false">IF(Z$20&gt;=Допущения!$D$30,Z22*Допущения!$D$33*Допущения!$D$31*Допущения!$D$32/12,0)</f>
        <v>185258.188569149</v>
      </c>
      <c r="AA23" s="10" t="n">
        <f aca="false">IF(AA$20&gt;=Допущения!$D$30,AA22*Допущения!$D$33*Допущения!$D$31*Допущения!$D$32/12,0)</f>
        <v>196279.12579479</v>
      </c>
      <c r="AB23" s="10" t="n">
        <f aca="false">IF(AB$20&gt;=Допущения!$D$30,AB22*Допущения!$D$33*Допущения!$D$31*Допущения!$D$32/12,0)</f>
        <v>207444.795001523</v>
      </c>
      <c r="AC23" s="10" t="n">
        <f aca="false">IF(AC$20&gt;=Допущения!$D$30,AC22*Допущения!$D$33*Допущения!$D$31*Допущения!$D$32/12,0)</f>
        <v>218750.945817289</v>
      </c>
      <c r="AD23" s="10" t="n">
        <f aca="false">IF(AD$20&gt;=Допущения!$D$30,AD22*Допущения!$D$33*Допущения!$D$31*Допущения!$D$32/12,0)</f>
        <v>230193.618892887</v>
      </c>
      <c r="AE23" s="10" t="n">
        <f aca="false">IF(AE$20&gt;=Допущения!$D$30,AE22*Допущения!$D$33*Допущения!$D$31*Допущения!$D$32/12,0)</f>
        <v>241769.11547084</v>
      </c>
      <c r="AF23" s="10" t="n">
        <f aca="false">IF(AF$20&gt;=Допущения!$D$30,AF22*Допущения!$D$33*Допущения!$D$31*Допущения!$D$32/12,0)</f>
        <v>253473.971153404</v>
      </c>
      <c r="AG23" s="10" t="n">
        <f aca="false">IF(AG$20&gt;=Допущения!$D$30,AG22*Допущения!$D$33*Допущения!$D$31*Допущения!$D$32/12,0)</f>
        <v>265304.93315998</v>
      </c>
      <c r="AH23" s="10" t="n">
        <f aca="false">IF(AH$20&gt;=Допущения!$D$30,AH22*Допущения!$D$33*Допущения!$D$31*Допущения!$D$32/12,0)</f>
        <v>277258.940504634</v>
      </c>
      <c r="AI23" s="10" t="n">
        <f aca="false">IF(AI$20&gt;=Допущения!$D$30,AI22*Допущения!$D$33*Допущения!$D$31*Допущения!$D$32/12,0)</f>
        <v>289333.106633332</v>
      </c>
      <c r="AJ23" s="10" t="n">
        <f aca="false">IF(AJ$20&gt;=Допущения!$D$30,AJ22*Допущения!$D$33*Допущения!$D$31*Допущения!$D$32/12,0)</f>
        <v>301524.704145694</v>
      </c>
      <c r="AK23" s="10" t="n">
        <f aca="false">IF(AK$20&gt;=Допущения!$D$30,AK22*Допущения!$D$33*Допущения!$D$31*Допущения!$D$32/12,0)</f>
        <v>313831.151293285</v>
      </c>
      <c r="AL23" s="10" t="n">
        <f aca="false">IF(AL$20&gt;=Допущения!$D$30,AL22*Допущения!$D$33*Допущения!$D$31*Допущения!$D$32/12,0)</f>
        <v>326250</v>
      </c>
      <c r="AM23" s="10" t="n">
        <f aca="false">SUM(C23:N23)</f>
        <v>215972.964129395</v>
      </c>
      <c r="AN23" s="10" t="n">
        <f aca="false">SUM(O23:Z23)</f>
        <v>1542619.41471011</v>
      </c>
      <c r="AO23" s="10" t="n">
        <f aca="false">SUM(AA23:AL23)</f>
        <v>3121414.40786766</v>
      </c>
      <c r="AP23" s="10" t="n">
        <f aca="false">SUM(C23:AL23)</f>
        <v>4880006.78670716</v>
      </c>
    </row>
    <row r="24" customFormat="false" ht="15" hidden="false" customHeight="false" outlineLevel="0" collapsed="false">
      <c r="A24" s="0" t="s">
        <v>302</v>
      </c>
      <c r="B24" s="0" t="s">
        <v>303</v>
      </c>
      <c r="C24" s="10" t="n">
        <f aca="false">IF(C$20&gt;=Допущения!$D$30,C22*Допущения!$D$36*Допущения!$D$35,0)</f>
        <v>0</v>
      </c>
      <c r="D24" s="10" t="n">
        <f aca="false">IF(D$20&gt;=Допущения!$D$30,D22*Допущения!$D$36*Допущения!$D$35,0)</f>
        <v>0</v>
      </c>
      <c r="E24" s="10" t="n">
        <f aca="false">IF(E$20&gt;=Допущения!$D$30,E22*Допущения!$D$36*Допущения!$D$35,0)</f>
        <v>0</v>
      </c>
      <c r="F24" s="10" t="n">
        <f aca="false">IF(F$20&gt;=Допущения!$D$30,F22*Допущения!$D$36*Допущения!$D$35,0)</f>
        <v>0</v>
      </c>
      <c r="G24" s="10" t="n">
        <f aca="false">IF(G$20&gt;=Допущения!$D$30,G22*Допущения!$D$36*Допущения!$D$35,0)</f>
        <v>0</v>
      </c>
      <c r="H24" s="10" t="n">
        <f aca="false">IF(H$20&gt;=Допущения!$D$30,H22*Допущения!$D$36*Допущения!$D$35,0)</f>
        <v>0</v>
      </c>
      <c r="I24" s="10" t="n">
        <f aca="false">IF(I$20&gt;=Допущения!$D$30,I22*Допущения!$D$36*Допущения!$D$35,0)</f>
        <v>0</v>
      </c>
      <c r="J24" s="10" t="n">
        <f aca="false">IF(J$20&gt;=Допущения!$D$30,J22*Допущения!$D$36*Допущения!$D$35,0)</f>
        <v>0</v>
      </c>
      <c r="K24" s="10" t="n">
        <f aca="false">IF(K$20&gt;=Допущения!$D$30,K22*Допущения!$D$36*Допущения!$D$35,0)</f>
        <v>17991.6903370559</v>
      </c>
      <c r="L24" s="10" t="n">
        <f aca="false">IF(L$20&gt;=Допущения!$D$30,L22*Допущения!$D$36*Допущения!$D$35,0)</f>
        <v>21402.351812599</v>
      </c>
      <c r="M24" s="10" t="n">
        <f aca="false">IF(M$20&gt;=Допущения!$D$30,M22*Допущения!$D$36*Допущения!$D$35,0)</f>
        <v>24943.6370128728</v>
      </c>
      <c r="N24" s="10" t="n">
        <f aca="false">IF(N$20&gt;=Допущения!$D$30,N22*Допущения!$D$36*Допущения!$D$35,0)</f>
        <v>28605.1688490187</v>
      </c>
      <c r="O24" s="10" t="n">
        <f aca="false">IF(O$20&gt;=Допущения!$D$30,O22*Допущения!$D$36*Допущения!$D$35,0)</f>
        <v>32378.3718443385</v>
      </c>
      <c r="P24" s="10" t="n">
        <f aca="false">IF(P$20&gt;=Допущения!$D$30,P22*Допущения!$D$36*Допущения!$D$35,0)</f>
        <v>36256.0206466923</v>
      </c>
      <c r="Q24" s="10" t="n">
        <f aca="false">IF(Q$20&gt;=Допущения!$D$30,Q22*Допущения!$D$36*Допущения!$D$35,0)</f>
        <v>40231.9306167989</v>
      </c>
      <c r="R24" s="10" t="n">
        <f aca="false">IF(R$20&gt;=Допущения!$D$30,R22*Допущения!$D$36*Допущения!$D$35,0)</f>
        <v>44300.7380901962</v>
      </c>
      <c r="S24" s="10" t="n">
        <f aca="false">IF(S$20&gt;=Допущения!$D$30,S22*Допущения!$D$36*Допущения!$D$35,0)</f>
        <v>48457.7396667978</v>
      </c>
      <c r="T24" s="10" t="n">
        <f aca="false">IF(T$20&gt;=Допущения!$D$30,T22*Допущения!$D$36*Допущения!$D$35,0)</f>
        <v>52698.7717330475</v>
      </c>
      <c r="U24" s="10" t="n">
        <f aca="false">IF(U$20&gt;=Допущения!$D$30,U22*Допущения!$D$36*Допущения!$D$35,0)</f>
        <v>57020.1182242077</v>
      </c>
      <c r="V24" s="10" t="n">
        <f aca="false">IF(V$20&gt;=Допущения!$D$30,V22*Допущения!$D$36*Допущения!$D$35,0)</f>
        <v>61418.4387138036</v>
      </c>
      <c r="W24" s="10" t="n">
        <f aca="false">IF(W$20&gt;=Допущения!$D$30,W22*Допущения!$D$36*Допущения!$D$35,0)</f>
        <v>65890.7114564758</v>
      </c>
      <c r="X24" s="10" t="n">
        <f aca="false">IF(X$20&gt;=Допущения!$D$30,X22*Допущения!$D$36*Допущения!$D$35,0)</f>
        <v>70434.1876425149</v>
      </c>
      <c r="Y24" s="10" t="n">
        <f aca="false">IF(Y$20&gt;=Допущения!$D$30,Y22*Допущения!$D$36*Допущения!$D$35,0)</f>
        <v>75046.3542009598</v>
      </c>
      <c r="Z24" s="10" t="n">
        <f aca="false">IF(Z$20&gt;=Допущения!$D$30,Z22*Допущения!$D$36*Допущения!$D$35,0)</f>
        <v>79724.9032187234</v>
      </c>
      <c r="AA24" s="10" t="n">
        <f aca="false">IF(AA$20&gt;=Допущения!$D$30,AA22*Допущения!$D$36*Допущения!$D$35,0)</f>
        <v>84467.7065489302</v>
      </c>
      <c r="AB24" s="10" t="n">
        <f aca="false">IF(AB$20&gt;=Допущения!$D$30,AB22*Допущения!$D$36*Допущения!$D$35,0)</f>
        <v>89272.7945385863</v>
      </c>
      <c r="AC24" s="10" t="n">
        <f aca="false">IF(AC$20&gt;=Допущения!$D$30,AC22*Допущения!$D$36*Допущения!$D$35,0)</f>
        <v>94138.3380620609</v>
      </c>
      <c r="AD24" s="10" t="n">
        <f aca="false">IF(AD$20&gt;=Допущения!$D$30,AD22*Допущения!$D$36*Допущения!$D$35,0)</f>
        <v>99062.6332339045</v>
      </c>
      <c r="AE24" s="10" t="n">
        <f aca="false">IF(AE$20&gt;=Допущения!$D$30,AE22*Допущения!$D$36*Допущения!$D$35,0)</f>
        <v>104044.088312968</v>
      </c>
      <c r="AF24" s="10" t="n">
        <f aca="false">IF(AF$20&gt;=Допущения!$D$30,AF22*Допущения!$D$36*Допущения!$D$35,0)</f>
        <v>109081.212413603</v>
      </c>
      <c r="AG24" s="10" t="n">
        <f aca="false">IF(AG$20&gt;=Допущения!$D$30,AG22*Допущения!$D$36*Допущения!$D$35,0)</f>
        <v>114172.605718502</v>
      </c>
      <c r="AH24" s="10" t="n">
        <f aca="false">IF(AH$20&gt;=Допущения!$D$30,AH22*Допущения!$D$36*Допущения!$D$35,0)</f>
        <v>119316.950948201</v>
      </c>
      <c r="AI24" s="10" t="n">
        <f aca="false">IF(AI$20&gt;=Допущения!$D$30,AI22*Допущения!$D$36*Допущения!$D$35,0)</f>
        <v>124513.005889103</v>
      </c>
      <c r="AJ24" s="10" t="n">
        <f aca="false">IF(AJ$20&gt;=Допущения!$D$30,AJ22*Допущения!$D$36*Допущения!$D$35,0)</f>
        <v>129759.596818561</v>
      </c>
      <c r="AK24" s="10" t="n">
        <f aca="false">IF(AK$20&gt;=Допущения!$D$30,AK22*Допущения!$D$36*Допущения!$D$35,0)</f>
        <v>135055.612694489</v>
      </c>
      <c r="AL24" s="10" t="n">
        <f aca="false">IF(AL$20&gt;=Допущения!$D$30,AL22*Допущения!$D$36*Допущения!$D$35,0)</f>
        <v>140400</v>
      </c>
      <c r="AM24" s="10" t="n">
        <f aca="false">SUM(C24:N24)</f>
        <v>92942.8480115465</v>
      </c>
      <c r="AN24" s="10" t="n">
        <f aca="false">SUM(O24:Z24)</f>
        <v>663858.286054556</v>
      </c>
      <c r="AO24" s="10" t="n">
        <f aca="false">SUM(AA24:AL24)</f>
        <v>1343284.54517891</v>
      </c>
      <c r="AP24" s="10" t="n">
        <f aca="false">SUM(C24:AL24)</f>
        <v>2100085.67924501</v>
      </c>
    </row>
    <row r="25" customFormat="false" ht="15" hidden="false" customHeight="false" outlineLevel="0" collapsed="false">
      <c r="A25" s="0" t="s">
        <v>267</v>
      </c>
      <c r="B25" s="0" t="s">
        <v>304</v>
      </c>
      <c r="C25" s="10" t="n">
        <f aca="false">C23+C24</f>
        <v>0</v>
      </c>
      <c r="D25" s="10" t="n">
        <f aca="false">D23+D24</f>
        <v>0</v>
      </c>
      <c r="E25" s="10" t="n">
        <f aca="false">E23+E24</f>
        <v>0</v>
      </c>
      <c r="F25" s="10" t="n">
        <f aca="false">F23+F24</f>
        <v>0</v>
      </c>
      <c r="G25" s="10" t="n">
        <f aca="false">G23+G24</f>
        <v>0</v>
      </c>
      <c r="H25" s="10" t="n">
        <f aca="false">H23+H24</f>
        <v>0</v>
      </c>
      <c r="I25" s="10" t="n">
        <f aca="false">I23+I24</f>
        <v>0</v>
      </c>
      <c r="J25" s="10" t="n">
        <f aca="false">J23+J24</f>
        <v>0</v>
      </c>
      <c r="K25" s="10" t="n">
        <f aca="false">K23+K24</f>
        <v>59799.304101048</v>
      </c>
      <c r="L25" s="10" t="n">
        <f aca="false">L23+L24</f>
        <v>71135.3808643115</v>
      </c>
      <c r="M25" s="10" t="n">
        <f aca="false">M23+M24</f>
        <v>82905.6140459906</v>
      </c>
      <c r="N25" s="10" t="n">
        <f aca="false">N23+N24</f>
        <v>95075.5131295912</v>
      </c>
      <c r="O25" s="10" t="n">
        <f aca="false">O23+O24</f>
        <v>107616.575649292</v>
      </c>
      <c r="P25" s="10" t="n">
        <f aca="false">P23+P24</f>
        <v>120504.7865725</v>
      </c>
      <c r="Q25" s="10" t="n">
        <f aca="false">Q23+Q24</f>
        <v>133719.58990263</v>
      </c>
      <c r="R25" s="10" t="n">
        <f aca="false">R23+R24</f>
        <v>147243.158331838</v>
      </c>
      <c r="S25" s="10" t="n">
        <f aca="false">S23+S24</f>
        <v>161059.859084838</v>
      </c>
      <c r="T25" s="10" t="n">
        <f aca="false">T23+T24</f>
        <v>175155.85348452</v>
      </c>
      <c r="U25" s="10" t="n">
        <f aca="false">U23+U24</f>
        <v>189518.790379819</v>
      </c>
      <c r="V25" s="10" t="n">
        <f aca="false">V23+V24</f>
        <v>204137.567135302</v>
      </c>
      <c r="W25" s="10" t="n">
        <f aca="false">W23+W24</f>
        <v>219002.140321684</v>
      </c>
      <c r="X25" s="10" t="n">
        <f aca="false">X23+X24</f>
        <v>234103.373670795</v>
      </c>
      <c r="Y25" s="10" t="n">
        <f aca="false">Y23+Y24</f>
        <v>249432.914443575</v>
      </c>
      <c r="Z25" s="10" t="n">
        <f aca="false">Z23+Z24</f>
        <v>264983.091787872</v>
      </c>
      <c r="AA25" s="10" t="n">
        <f aca="false">AA23+AA24</f>
        <v>280746.83234372</v>
      </c>
      <c r="AB25" s="10" t="n">
        <f aca="false">AB23+AB24</f>
        <v>296717.589540109</v>
      </c>
      <c r="AC25" s="10" t="n">
        <f aca="false">AC23+AC24</f>
        <v>312889.28387935</v>
      </c>
      <c r="AD25" s="10" t="n">
        <f aca="false">AD23+AD24</f>
        <v>329256.252126792</v>
      </c>
      <c r="AE25" s="10" t="n">
        <f aca="false">AE23+AE24</f>
        <v>345813.203783808</v>
      </c>
      <c r="AF25" s="10" t="n">
        <f aca="false">AF23+AF24</f>
        <v>362555.183567006</v>
      </c>
      <c r="AG25" s="10" t="n">
        <f aca="false">AG23+AG24</f>
        <v>379477.538878482</v>
      </c>
      <c r="AH25" s="10" t="n">
        <f aca="false">AH23+AH24</f>
        <v>396575.891452835</v>
      </c>
      <c r="AI25" s="10" t="n">
        <f aca="false">AI23+AI24</f>
        <v>413846.112522435</v>
      </c>
      <c r="AJ25" s="10" t="n">
        <f aca="false">AJ23+AJ24</f>
        <v>431284.300964255</v>
      </c>
      <c r="AK25" s="10" t="n">
        <f aca="false">AK23+AK24</f>
        <v>448886.763987774</v>
      </c>
      <c r="AL25" s="10" t="n">
        <f aca="false">AL23+AL24</f>
        <v>466650</v>
      </c>
      <c r="AM25" s="10" t="n">
        <f aca="false">SUM(C25:N25)</f>
        <v>308915.812140941</v>
      </c>
      <c r="AN25" s="10" t="n">
        <f aca="false">SUM(O25:Z25)</f>
        <v>2206477.70076466</v>
      </c>
      <c r="AO25" s="10" t="n">
        <f aca="false">SUM(AA25:AL25)</f>
        <v>4464698.95304656</v>
      </c>
      <c r="AP25" s="10" t="n">
        <f aca="false">SUM(C25:AL25)</f>
        <v>6980092.46595217</v>
      </c>
    </row>
    <row r="26" customFormat="false" ht="15" hidden="false" customHeight="false" outlineLevel="0" collapsed="false">
      <c r="A26" s="0" t="s">
        <v>275</v>
      </c>
      <c r="B26" s="0" t="s">
        <v>305</v>
      </c>
      <c r="C26" s="10" t="n">
        <f aca="false">C21+C25*(1-Допущения!$D$37-Допущения!$D$14)-C23*Допущения!$D$38</f>
        <v>0</v>
      </c>
      <c r="D26" s="10" t="n">
        <f aca="false">D21+D25*(1-Допущения!$D$37-Допущения!$D$14)-D23*Допущения!$D$38</f>
        <v>0</v>
      </c>
      <c r="E26" s="10" t="n">
        <f aca="false">E21+E25*(1-Допущения!$D$37-Допущения!$D$14)-E23*Допущения!$D$38</f>
        <v>998.46074262196</v>
      </c>
      <c r="F26" s="10" t="n">
        <f aca="false">F21+F25*(1-Допущения!$D$37-Допущения!$D$14)-F23*Допущения!$D$38</f>
        <v>2458.49873044648</v>
      </c>
      <c r="G26" s="10" t="n">
        <f aca="false">G21+G25*(1-Допущения!$D$37-Допущения!$D$14)-G23*Допущения!$D$38</f>
        <v>4164.74701058146</v>
      </c>
      <c r="H26" s="10" t="n">
        <f aca="false">H21+H25*(1-Допущения!$D$37-Допущения!$D$14)-H23*Допущения!$D$38</f>
        <v>6053.53395440952</v>
      </c>
      <c r="I26" s="10" t="n">
        <f aca="false">I21+I25*(1-Допущения!$D$37-Допущения!$D$14)-I23*Допущения!$D$38</f>
        <v>8090.80994534517</v>
      </c>
      <c r="J26" s="10" t="n">
        <f aca="false">J21+J25*(1-Допущения!$D$37-Допущения!$D$14)-J23*Допущения!$D$38</f>
        <v>10254.8100301446</v>
      </c>
      <c r="K26" s="10" t="n">
        <f aca="false">K21+K25*(1-Допущения!$D$37-Допущения!$D$14)-K23*Допущения!$D$38</f>
        <v>54400.1054734892</v>
      </c>
      <c r="L26" s="10" t="n">
        <f aca="false">L21+L25*(1-Допущения!$D$37-Допущения!$D$14)-L23*Допущения!$D$38</f>
        <v>64712.6631336092</v>
      </c>
      <c r="M26" s="10" t="n">
        <f aca="false">M21+M25*(1-Допущения!$D$37-Допущения!$D$14)-M23*Допущения!$D$38</f>
        <v>75420.1778138626</v>
      </c>
      <c r="N26" s="10" t="n">
        <f aca="false">N21+N25*(1-Допущения!$D$37-Допущения!$D$14)-N23*Допущения!$D$38</f>
        <v>86491.2731000365</v>
      </c>
      <c r="O26" s="10" t="n">
        <f aca="false">O21+O25*(1-Допущения!$D$37-Допущения!$D$14)-O23*Допущения!$D$38</f>
        <v>97900.0199755604</v>
      </c>
      <c r="P26" s="10" t="n">
        <f aca="false">P21+P25*(1-Допущения!$D$37-Допущения!$D$14)-P23*Допущения!$D$38</f>
        <v>109624.57169279</v>
      </c>
      <c r="Q26" s="10" t="n">
        <f aca="false">Q21+Q25*(1-Допущения!$D$37-Допущения!$D$14)-Q23*Допущения!$D$38</f>
        <v>121646.228228387</v>
      </c>
      <c r="R26" s="10" t="n">
        <f aca="false">R21+R25*(1-Допущения!$D$37-Допущения!$D$14)-R23*Допущения!$D$38</f>
        <v>133948.771878121</v>
      </c>
      <c r="S26" s="10" t="n">
        <f aca="false">S21+S25*(1-Допущения!$D$37-Допущения!$D$14)-S23*Допущения!$D$38</f>
        <v>146517.981328932</v>
      </c>
      <c r="T26" s="10" t="n">
        <f aca="false">T21+T25*(1-Допущения!$D$37-Допущения!$D$14)-T23*Допущения!$D$38</f>
        <v>159341.267379229</v>
      </c>
      <c r="U26" s="10" t="n">
        <f aca="false">U21+U25*(1-Допущения!$D$37-Допущения!$D$14)-U23*Допущения!$D$38</f>
        <v>183096.635582788</v>
      </c>
      <c r="V26" s="10" t="n">
        <f aca="false">V21+V25*(1-Допущения!$D$37-Допущения!$D$14)-V23*Допущения!$D$38</f>
        <v>197220.031130537</v>
      </c>
      <c r="W26" s="10" t="n">
        <f aca="false">W21+W25*(1-Допущения!$D$37-Допущения!$D$14)-W23*Допущения!$D$38</f>
        <v>211580.893894308</v>
      </c>
      <c r="X26" s="10" t="n">
        <f aca="false">X21+X25*(1-Допущения!$D$37-Допущения!$D$14)-X23*Допущения!$D$38</f>
        <v>226170.397203354</v>
      </c>
      <c r="Y26" s="10" t="n">
        <f aca="false">Y21+Y25*(1-Допущения!$D$37-Допущения!$D$14)-Y23*Допущения!$D$38</f>
        <v>240980.471364867</v>
      </c>
      <c r="Z26" s="10" t="n">
        <f aca="false">Z21+Z25*(1-Допущения!$D$37-Допущения!$D$14)-Z23*Допущения!$D$38</f>
        <v>256003.705466089</v>
      </c>
      <c r="AA26" s="10" t="n">
        <f aca="false">AA21+AA25*(1-Допущения!$D$37-Допущения!$D$14)-AA23*Допущения!$D$38</f>
        <v>271233.26583945</v>
      </c>
      <c r="AB26" s="10" t="n">
        <f aca="false">AB21+AB25*(1-Допущения!$D$37-Допущения!$D$14)-AB23*Допущения!$D$38</f>
        <v>286662.827755226</v>
      </c>
      <c r="AC26" s="10" t="n">
        <f aca="false">AC21+AC25*(1-Допущения!$D$37-Допущения!$D$14)-AC23*Допущения!$D$38</f>
        <v>302286.517729471</v>
      </c>
      <c r="AD26" s="10" t="n">
        <f aca="false">AD21+AD25*(1-Допущения!$D$37-Допущения!$D$14)-AD23*Допущения!$D$38</f>
        <v>318098.864435521</v>
      </c>
      <c r="AE26" s="10" t="n">
        <f aca="false">AE21+AE25*(1-Допущения!$D$37-Допущения!$D$14)-AE23*Допущения!$D$38</f>
        <v>334094.756651966</v>
      </c>
      <c r="AF26" s="10" t="n">
        <f aca="false">AF21+AF25*(1-Допущения!$D$37-Допущения!$D$14)-AF23*Допущения!$D$38</f>
        <v>350269.407013311</v>
      </c>
      <c r="AG26" s="10" t="n">
        <f aca="false">AG21+AG25*(1-Допущения!$D$37-Допущения!$D$14)-AG23*Допущения!$D$38</f>
        <v>366618.320582557</v>
      </c>
      <c r="AH26" s="10" t="n">
        <f aca="false">AH21+AH25*(1-Допущения!$D$37-Допущения!$D$14)-AH23*Допущения!$D$38</f>
        <v>383137.267459002</v>
      </c>
      <c r="AI26" s="10" t="n">
        <f aca="false">AI21+AI25*(1-Допущения!$D$37-Допущения!$D$14)-AI23*Допущения!$D$38</f>
        <v>399822.258785073</v>
      </c>
      <c r="AJ26" s="10" t="n">
        <f aca="false">AJ21+AJ25*(1-Допущения!$D$37-Допущения!$D$14)-AJ23*Допущения!$D$38</f>
        <v>416669.52563369</v>
      </c>
      <c r="AK26" s="10" t="n">
        <f aca="false">AK21+AK25*(1-Допущения!$D$37-Допущения!$D$14)-AK23*Допущения!$D$38</f>
        <v>433675.500350591</v>
      </c>
      <c r="AL26" s="10" t="n">
        <f aca="false">AL21+AL25*(1-Допущения!$D$37-Допущения!$D$14)-AL23*Допущения!$D$38</f>
        <v>450836.8</v>
      </c>
      <c r="AM26" s="10" t="n">
        <f aca="false">SUM(C26:N26)</f>
        <v>313045.079934547</v>
      </c>
      <c r="AN26" s="10" t="n">
        <f aca="false">SUM(O26:Z26)</f>
        <v>2084030.97512496</v>
      </c>
      <c r="AO26" s="10" t="n">
        <f aca="false">SUM(AA26:AL26)</f>
        <v>4313405.31223586</v>
      </c>
      <c r="AP26" s="10" t="n">
        <f aca="false">SUM(C26:AL26)</f>
        <v>6710481.36729537</v>
      </c>
    </row>
    <row r="27" customFormat="false" ht="15" hidden="false" customHeight="false" outlineLevel="0" collapsed="false">
      <c r="A27" s="0" t="s">
        <v>277</v>
      </c>
      <c r="B27" s="0" t="s">
        <v>278</v>
      </c>
      <c r="C27" s="10" t="n">
        <f aca="false">A_дропшиппинг!C35</f>
        <v>0</v>
      </c>
      <c r="D27" s="10" t="n">
        <f aca="false">A_дропшиппинг!D35</f>
        <v>0</v>
      </c>
      <c r="E27" s="10" t="n">
        <f aca="false">A_дропшиппинг!E35</f>
        <v>27570.2796978476</v>
      </c>
      <c r="F27" s="10" t="n">
        <f aca="false">A_дропшиппинг!F35</f>
        <v>40315.711950876</v>
      </c>
      <c r="G27" s="10" t="n">
        <f aca="false">A_дропшиппинг!G35</f>
        <v>47114.2632946799</v>
      </c>
      <c r="H27" s="10" t="n">
        <f aca="false">A_дропшиппинг!H35</f>
        <v>52154.6637820079</v>
      </c>
      <c r="I27" s="10" t="n">
        <f aca="false">A_дропшиппинг!I35</f>
        <v>56254.8595994946</v>
      </c>
      <c r="J27" s="10" t="n">
        <f aca="false">A_дропшиппинг!J35</f>
        <v>59754.0644887186</v>
      </c>
      <c r="K27" s="10" t="n">
        <f aca="false">A_дропшиппинг!K35</f>
        <v>62830.2021297581</v>
      </c>
      <c r="L27" s="10" t="n">
        <f aca="false">A_дропшиппинг!L35</f>
        <v>65589.6437604447</v>
      </c>
      <c r="M27" s="10" t="n">
        <f aca="false">A_дропшиппинг!M35</f>
        <v>68101.638466803</v>
      </c>
      <c r="N27" s="10" t="n">
        <f aca="false">A_дропшиппинг!N35</f>
        <v>70414.0737720378</v>
      </c>
      <c r="O27" s="10" t="n">
        <f aca="false">A_дропшиппинг!O35</f>
        <v>72561.5960638415</v>
      </c>
      <c r="P27" s="10" t="n">
        <f aca="false">A_дропшиппинг!P35</f>
        <v>74570.169276034</v>
      </c>
      <c r="Q27" s="10" t="n">
        <f aca="false">A_дропшиппинг!Q35</f>
        <v>76459.8071174354</v>
      </c>
      <c r="R27" s="10" t="n">
        <f aca="false">A_дропшиппинг!R35</f>
        <v>78246.2975653317</v>
      </c>
      <c r="S27" s="10" t="n">
        <f aca="false">A_дропшиппинг!S35</f>
        <v>79942.3380115706</v>
      </c>
      <c r="T27" s="10" t="n">
        <f aca="false">A_дропшиппинг!T35</f>
        <v>81558.308966339</v>
      </c>
      <c r="U27" s="10" t="n">
        <f aca="false">A_дропшиппинг!U35</f>
        <v>83102.8171376975</v>
      </c>
      <c r="V27" s="10" t="n">
        <f aca="false">A_дропшиппинг!V35</f>
        <v>84583.0863383821</v>
      </c>
      <c r="W27" s="10" t="n">
        <f aca="false">A_дропшиппинг!W35</f>
        <v>86005.245051389</v>
      </c>
      <c r="X27" s="10" t="n">
        <f aca="false">A_дропшиппинг!X35</f>
        <v>87374.5420392132</v>
      </c>
      <c r="Y27" s="10" t="n">
        <f aca="false">A_дропшиппинг!Y35</f>
        <v>88695.5107393239</v>
      </c>
      <c r="Z27" s="10" t="n">
        <f aca="false">A_дропшиппинг!Z35</f>
        <v>89972.0964954541</v>
      </c>
      <c r="AA27" s="10" t="n">
        <f aca="false">A_дропшиппинг!AA35</f>
        <v>91207.7563501314</v>
      </c>
      <c r="AB27" s="10" t="n">
        <f aca="false">A_дропшиппинг!AB35</f>
        <v>92405.5382626165</v>
      </c>
      <c r="AC27" s="10" t="n">
        <f aca="false">A_дропшиппинг!AC35</f>
        <v>93568.1446822043</v>
      </c>
      <c r="AD27" s="10" t="n">
        <f aca="false">A_дропшиппинг!AD35</f>
        <v>94697.9840739164</v>
      </c>
      <c r="AE27" s="10" t="n">
        <f aca="false">A_дропшиппинг!AE35</f>
        <v>95797.2130589162</v>
      </c>
      <c r="AF27" s="10" t="n">
        <f aca="false">A_дропшиппинг!AF35</f>
        <v>96867.7711660484</v>
      </c>
      <c r="AG27" s="10" t="n">
        <f aca="false">A_дропшиппинг!AG35</f>
        <v>97911.4097095979</v>
      </c>
      <c r="AH27" s="10" t="n">
        <f aca="false">A_дропшиппинг!AH35</f>
        <v>98929.715955754</v>
      </c>
      <c r="AI27" s="10" t="n">
        <f aca="false">A_дропшиппинг!AI35</f>
        <v>99924.1334788828</v>
      </c>
      <c r="AJ27" s="10" t="n">
        <f aca="false">A_дропшиппинг!AJ35</f>
        <v>100895.979412651</v>
      </c>
      <c r="AK27" s="10" t="n">
        <f aca="false">A_дропшиппинг!AK35</f>
        <v>101846.459152475</v>
      </c>
      <c r="AL27" s="10" t="n">
        <f aca="false">A_дропшиппинг!AL35</f>
        <v>102776.678952127</v>
      </c>
      <c r="AM27" s="10" t="n">
        <f aca="false">SUM(C27:N27)</f>
        <v>550099.400942668</v>
      </c>
      <c r="AN27" s="10" t="n">
        <f aca="false">SUM(O27:Z27)</f>
        <v>983071.814802012</v>
      </c>
      <c r="AO27" s="10" t="n">
        <f aca="false">SUM(AA27:AL27)</f>
        <v>1166828.78425532</v>
      </c>
      <c r="AP27" s="10" t="n">
        <f aca="false">SUM(C27:AL27)</f>
        <v>2700000</v>
      </c>
    </row>
    <row r="28" customFormat="false" ht="15" hidden="false" customHeight="false" outlineLevel="0" collapsed="false">
      <c r="A28" s="0" t="s">
        <v>279</v>
      </c>
      <c r="B28" s="0" t="s">
        <v>280</v>
      </c>
      <c r="C28" s="10" t="n">
        <f aca="false">Допущения!$D$16+IF(C$20&gt;=Допущения!$D$30-1,Допущения!$D$39,0)</f>
        <v>420000</v>
      </c>
      <c r="D28" s="10" t="n">
        <f aca="false">Допущения!$D$16+IF(D$20&gt;=Допущения!$D$30-1,Допущения!$D$39,0)</f>
        <v>420000</v>
      </c>
      <c r="E28" s="10" t="n">
        <f aca="false">Допущения!$D$16+IF(E$20&gt;=Допущения!$D$30-1,Допущения!$D$39,0)</f>
        <v>420000</v>
      </c>
      <c r="F28" s="10" t="n">
        <f aca="false">Допущения!$D$16+IF(F$20&gt;=Допущения!$D$30-1,Допущения!$D$39,0)</f>
        <v>420000</v>
      </c>
      <c r="G28" s="10" t="n">
        <f aca="false">Допущения!$D$16+IF(G$20&gt;=Допущения!$D$30-1,Допущения!$D$39,0)</f>
        <v>420000</v>
      </c>
      <c r="H28" s="10" t="n">
        <f aca="false">Допущения!$D$16+IF(H$20&gt;=Допущения!$D$30-1,Допущения!$D$39,0)</f>
        <v>420000</v>
      </c>
      <c r="I28" s="10" t="n">
        <f aca="false">Допущения!$D$16+IF(I$20&gt;=Допущения!$D$30-1,Допущения!$D$39,0)</f>
        <v>420000</v>
      </c>
      <c r="J28" s="10" t="n">
        <f aca="false">Допущения!$D$16+IF(J$20&gt;=Допущения!$D$30-1,Допущения!$D$39,0)</f>
        <v>520000</v>
      </c>
      <c r="K28" s="10" t="n">
        <f aca="false">Допущения!$D$16+IF(K$20&gt;=Допущения!$D$30-1,Допущения!$D$39,0)</f>
        <v>520000</v>
      </c>
      <c r="L28" s="10" t="n">
        <f aca="false">Допущения!$D$16+IF(L$20&gt;=Допущения!$D$30-1,Допущения!$D$39,0)</f>
        <v>520000</v>
      </c>
      <c r="M28" s="10" t="n">
        <f aca="false">Допущения!$D$16+IF(M$20&gt;=Допущения!$D$30-1,Допущения!$D$39,0)</f>
        <v>520000</v>
      </c>
      <c r="N28" s="10" t="n">
        <f aca="false">Допущения!$D$16+IF(N$20&gt;=Допущения!$D$30-1,Допущения!$D$39,0)</f>
        <v>520000</v>
      </c>
      <c r="O28" s="10" t="n">
        <f aca="false">Допущения!$D$16+IF(O$20&gt;=Допущения!$D$30-1,Допущения!$D$39,0)</f>
        <v>520000</v>
      </c>
      <c r="P28" s="10" t="n">
        <f aca="false">Допущения!$D$16+IF(P$20&gt;=Допущения!$D$30-1,Допущения!$D$39,0)</f>
        <v>520000</v>
      </c>
      <c r="Q28" s="10" t="n">
        <f aca="false">Допущения!$D$16+IF(Q$20&gt;=Допущения!$D$30-1,Допущения!$D$39,0)</f>
        <v>520000</v>
      </c>
      <c r="R28" s="10" t="n">
        <f aca="false">Допущения!$D$16+IF(R$20&gt;=Допущения!$D$30-1,Допущения!$D$39,0)</f>
        <v>520000</v>
      </c>
      <c r="S28" s="10" t="n">
        <f aca="false">Допущения!$D$16+IF(S$20&gt;=Допущения!$D$30-1,Допущения!$D$39,0)</f>
        <v>520000</v>
      </c>
      <c r="T28" s="10" t="n">
        <f aca="false">Допущения!$D$16+IF(T$20&gt;=Допущения!$D$30-1,Допущения!$D$39,0)</f>
        <v>520000</v>
      </c>
      <c r="U28" s="10" t="n">
        <f aca="false">Допущения!$D$16+IF(U$20&gt;=Допущения!$D$30-1,Допущения!$D$39,0)</f>
        <v>520000</v>
      </c>
      <c r="V28" s="10" t="n">
        <f aca="false">Допущения!$D$16+IF(V$20&gt;=Допущения!$D$30-1,Допущения!$D$39,0)</f>
        <v>520000</v>
      </c>
      <c r="W28" s="10" t="n">
        <f aca="false">Допущения!$D$16+IF(W$20&gt;=Допущения!$D$30-1,Допущения!$D$39,0)</f>
        <v>520000</v>
      </c>
      <c r="X28" s="10" t="n">
        <f aca="false">Допущения!$D$16+IF(X$20&gt;=Допущения!$D$30-1,Допущения!$D$39,0)</f>
        <v>520000</v>
      </c>
      <c r="Y28" s="10" t="n">
        <f aca="false">Допущения!$D$16+IF(Y$20&gt;=Допущения!$D$30-1,Допущения!$D$39,0)</f>
        <v>520000</v>
      </c>
      <c r="Z28" s="10" t="n">
        <f aca="false">Допущения!$D$16+IF(Z$20&gt;=Допущения!$D$30-1,Допущения!$D$39,0)</f>
        <v>520000</v>
      </c>
      <c r="AA28" s="10" t="n">
        <f aca="false">Допущения!$D$16+IF(AA$20&gt;=Допущения!$D$30-1,Допущения!$D$39,0)</f>
        <v>520000</v>
      </c>
      <c r="AB28" s="10" t="n">
        <f aca="false">Допущения!$D$16+IF(AB$20&gt;=Допущения!$D$30-1,Допущения!$D$39,0)</f>
        <v>520000</v>
      </c>
      <c r="AC28" s="10" t="n">
        <f aca="false">Допущения!$D$16+IF(AC$20&gt;=Допущения!$D$30-1,Допущения!$D$39,0)</f>
        <v>520000</v>
      </c>
      <c r="AD28" s="10" t="n">
        <f aca="false">Допущения!$D$16+IF(AD$20&gt;=Допущения!$D$30-1,Допущения!$D$39,0)</f>
        <v>520000</v>
      </c>
      <c r="AE28" s="10" t="n">
        <f aca="false">Допущения!$D$16+IF(AE$20&gt;=Допущения!$D$30-1,Допущения!$D$39,0)</f>
        <v>520000</v>
      </c>
      <c r="AF28" s="10" t="n">
        <f aca="false">Допущения!$D$16+IF(AF$20&gt;=Допущения!$D$30-1,Допущения!$D$39,0)</f>
        <v>520000</v>
      </c>
      <c r="AG28" s="10" t="n">
        <f aca="false">Допущения!$D$16+IF(AG$20&gt;=Допущения!$D$30-1,Допущения!$D$39,0)</f>
        <v>520000</v>
      </c>
      <c r="AH28" s="10" t="n">
        <f aca="false">Допущения!$D$16+IF(AH$20&gt;=Допущения!$D$30-1,Допущения!$D$39,0)</f>
        <v>520000</v>
      </c>
      <c r="AI28" s="10" t="n">
        <f aca="false">Допущения!$D$16+IF(AI$20&gt;=Допущения!$D$30-1,Допущения!$D$39,0)</f>
        <v>520000</v>
      </c>
      <c r="AJ28" s="10" t="n">
        <f aca="false">Допущения!$D$16+IF(AJ$20&gt;=Допущения!$D$30-1,Допущения!$D$39,0)</f>
        <v>520000</v>
      </c>
      <c r="AK28" s="10" t="n">
        <f aca="false">Допущения!$D$16+IF(AK$20&gt;=Допущения!$D$30-1,Допущения!$D$39,0)</f>
        <v>520000</v>
      </c>
      <c r="AL28" s="10" t="n">
        <f aca="false">Допущения!$D$16+IF(AL$20&gt;=Допущения!$D$30-1,Допущения!$D$39,0)</f>
        <v>520000</v>
      </c>
      <c r="AM28" s="10" t="n">
        <f aca="false">SUM(C28:N28)</f>
        <v>5540000</v>
      </c>
      <c r="AN28" s="10" t="n">
        <f aca="false">SUM(O28:Z28)</f>
        <v>6240000</v>
      </c>
      <c r="AO28" s="10" t="n">
        <f aca="false">SUM(AA28:AL28)</f>
        <v>6240000</v>
      </c>
      <c r="AP28" s="10" t="n">
        <f aca="false">SUM(C28:AL28)</f>
        <v>18020000</v>
      </c>
    </row>
    <row r="29" customFormat="false" ht="15" hidden="false" customHeight="false" outlineLevel="0" collapsed="false">
      <c r="A29" s="1" t="s">
        <v>281</v>
      </c>
      <c r="B29" s="1" t="s">
        <v>282</v>
      </c>
      <c r="C29" s="11" t="n">
        <f aca="false">C26-C28-C27</f>
        <v>-420000</v>
      </c>
      <c r="D29" s="11" t="n">
        <f aca="false">D26-D28-D27</f>
        <v>-420000</v>
      </c>
      <c r="E29" s="11" t="n">
        <f aca="false">E26-E28-E27</f>
        <v>-446571.818955226</v>
      </c>
      <c r="F29" s="11" t="n">
        <f aca="false">F26-F28-F27</f>
        <v>-457857.21322043</v>
      </c>
      <c r="G29" s="11" t="n">
        <f aca="false">G26-G28-G27</f>
        <v>-462949.516284098</v>
      </c>
      <c r="H29" s="11" t="n">
        <f aca="false">H26-H28-H27</f>
        <v>-466101.129827598</v>
      </c>
      <c r="I29" s="11" t="n">
        <f aca="false">I26-I28-I27</f>
        <v>-468164.049654149</v>
      </c>
      <c r="J29" s="11" t="n">
        <f aca="false">J26-J28-J27</f>
        <v>-569499.254458574</v>
      </c>
      <c r="K29" s="11" t="n">
        <f aca="false">K26-K28-K27</f>
        <v>-528430.096656269</v>
      </c>
      <c r="L29" s="11" t="n">
        <f aca="false">L26-L28-L27</f>
        <v>-520876.980626835</v>
      </c>
      <c r="M29" s="11" t="n">
        <f aca="false">M26-M28-M27</f>
        <v>-512681.46065294</v>
      </c>
      <c r="N29" s="11" t="n">
        <f aca="false">N26-N28-N27</f>
        <v>-503922.800672001</v>
      </c>
      <c r="O29" s="11" t="n">
        <f aca="false">O26-O28-O27</f>
        <v>-494661.576088281</v>
      </c>
      <c r="P29" s="11" t="n">
        <f aca="false">P26-P28-P27</f>
        <v>-484945.597583244</v>
      </c>
      <c r="Q29" s="11" t="n">
        <f aca="false">Q26-Q28-Q27</f>
        <v>-474813.578889049</v>
      </c>
      <c r="R29" s="11" t="n">
        <f aca="false">R26-R28-R27</f>
        <v>-464297.525687211</v>
      </c>
      <c r="S29" s="11" t="n">
        <f aca="false">S26-S28-S27</f>
        <v>-453424.356682638</v>
      </c>
      <c r="T29" s="11" t="n">
        <f aca="false">T26-T28-T27</f>
        <v>-442217.04158711</v>
      </c>
      <c r="U29" s="11" t="n">
        <f aca="false">U26-U28-U27</f>
        <v>-420006.181554909</v>
      </c>
      <c r="V29" s="11" t="n">
        <f aca="false">V26-V28-V27</f>
        <v>-407363.055207846</v>
      </c>
      <c r="W29" s="11" t="n">
        <f aca="false">W26-W28-W27</f>
        <v>-394424.351157081</v>
      </c>
      <c r="X29" s="11" t="n">
        <f aca="false">X26-X28-X27</f>
        <v>-381204.144835859</v>
      </c>
      <c r="Y29" s="11" t="n">
        <f aca="false">Y26-Y28-Y27</f>
        <v>-367715.039374457</v>
      </c>
      <c r="Z29" s="11" t="n">
        <f aca="false">Z26-Z28-Z27</f>
        <v>-353968.391029365</v>
      </c>
      <c r="AA29" s="11" t="n">
        <f aca="false">AA26-AA28-AA27</f>
        <v>-339974.490510682</v>
      </c>
      <c r="AB29" s="11" t="n">
        <f aca="false">AB26-AB28-AB27</f>
        <v>-325742.710507391</v>
      </c>
      <c r="AC29" s="11" t="n">
        <f aca="false">AC26-AC28-AC27</f>
        <v>-311281.626952733</v>
      </c>
      <c r="AD29" s="11" t="n">
        <f aca="false">AD26-AD28-AD27</f>
        <v>-296599.119638395</v>
      </c>
      <c r="AE29" s="11" t="n">
        <f aca="false">AE26-AE28-AE27</f>
        <v>-281702.456406951</v>
      </c>
      <c r="AF29" s="11" t="n">
        <f aca="false">AF26-AF28-AF27</f>
        <v>-266598.364152737</v>
      </c>
      <c r="AG29" s="11" t="n">
        <f aca="false">AG26-AG28-AG27</f>
        <v>-251293.089127041</v>
      </c>
      <c r="AH29" s="11" t="n">
        <f aca="false">AH26-AH28-AH27</f>
        <v>-235792.448496752</v>
      </c>
      <c r="AI29" s="11" t="n">
        <f aca="false">AI26-AI28-AI27</f>
        <v>-220101.874693809</v>
      </c>
      <c r="AJ29" s="11" t="n">
        <f aca="false">AJ26-AJ28-AJ27</f>
        <v>-204226.45377896</v>
      </c>
      <c r="AK29" s="11" t="n">
        <f aca="false">AK26-AK28-AK27</f>
        <v>-188170.958801884</v>
      </c>
      <c r="AL29" s="11" t="n">
        <f aca="false">AL26-AL28-AL27</f>
        <v>-171939.878952127</v>
      </c>
      <c r="AM29" s="11" t="n">
        <f aca="false">SUM(C29:N29)</f>
        <v>-5777054.32100812</v>
      </c>
      <c r="AN29" s="11" t="n">
        <f aca="false">SUM(O29:Z29)</f>
        <v>-5139040.83967705</v>
      </c>
      <c r="AO29" s="11" t="n">
        <f aca="false">SUM(AA29:AL29)</f>
        <v>-3093423.47201946</v>
      </c>
      <c r="AP29" s="11" t="n">
        <f aca="false">SUM(C29:AL29)</f>
        <v>-14009518.6327046</v>
      </c>
    </row>
    <row r="30" customFormat="false" ht="15" hidden="false" customHeight="false" outlineLevel="0" collapsed="false">
      <c r="A30" s="0" t="s">
        <v>283</v>
      </c>
      <c r="B30" s="0" t="s">
        <v>284</v>
      </c>
      <c r="C30" s="10" t="n">
        <f aca="false">IF(C$20=1,Допущения!$D$18,0)+IF(AND(C$20&gt;=Допущения!$D$30-3,C$20&lt;Допущения!$D$30),Допущения!$D$40/3,0)</f>
        <v>400000</v>
      </c>
      <c r="D30" s="10" t="n">
        <f aca="false">IF(D$20=1,Допущения!$D$18,0)+IF(AND(D$20&gt;=Допущения!$D$30-3,D$20&lt;Допущения!$D$30),Допущения!$D$40/3,0)</f>
        <v>0</v>
      </c>
      <c r="E30" s="10" t="n">
        <f aca="false">IF(E$20=1,Допущения!$D$18,0)+IF(AND(E$20&gt;=Допущения!$D$30-3,E$20&lt;Допущения!$D$30),Допущения!$D$40/3,0)</f>
        <v>0</v>
      </c>
      <c r="F30" s="10" t="n">
        <f aca="false">IF(F$20=1,Допущения!$D$18,0)+IF(AND(F$20&gt;=Допущения!$D$30-3,F$20&lt;Допущения!$D$30),Допущения!$D$40/3,0)</f>
        <v>0</v>
      </c>
      <c r="G30" s="10" t="n">
        <f aca="false">IF(G$20=1,Допущения!$D$18,0)+IF(AND(G$20&gt;=Допущения!$D$30-3,G$20&lt;Допущения!$D$30),Допущения!$D$40/3,0)</f>
        <v>0</v>
      </c>
      <c r="H30" s="10" t="n">
        <f aca="false">IF(H$20=1,Допущения!$D$18,0)+IF(AND(H$20&gt;=Допущения!$D$30-3,H$20&lt;Допущения!$D$30),Допущения!$D$40/3,0)</f>
        <v>266666.666666667</v>
      </c>
      <c r="I30" s="10" t="n">
        <f aca="false">IF(I$20=1,Допущения!$D$18,0)+IF(AND(I$20&gt;=Допущения!$D$30-3,I$20&lt;Допущения!$D$30),Допущения!$D$40/3,0)</f>
        <v>266666.666666667</v>
      </c>
      <c r="J30" s="10" t="n">
        <f aca="false">IF(J$20=1,Допущения!$D$18,0)+IF(AND(J$20&gt;=Допущения!$D$30-3,J$20&lt;Допущения!$D$30),Допущения!$D$40/3,0)</f>
        <v>266666.666666667</v>
      </c>
      <c r="K30" s="10" t="n">
        <f aca="false">IF(K$20=1,Допущения!$D$18,0)+IF(AND(K$20&gt;=Допущения!$D$30-3,K$20&lt;Допущения!$D$30),Допущения!$D$40/3,0)</f>
        <v>0</v>
      </c>
      <c r="L30" s="10" t="n">
        <f aca="false">IF(L$20=1,Допущения!$D$18,0)+IF(AND(L$20&gt;=Допущения!$D$30-3,L$20&lt;Допущения!$D$30),Допущения!$D$40/3,0)</f>
        <v>0</v>
      </c>
      <c r="M30" s="10" t="n">
        <f aca="false">IF(M$20=1,Допущения!$D$18,0)+IF(AND(M$20&gt;=Допущения!$D$30-3,M$20&lt;Допущения!$D$30),Допущения!$D$40/3,0)</f>
        <v>0</v>
      </c>
      <c r="N30" s="10" t="n">
        <f aca="false">IF(N$20=1,Допущения!$D$18,0)+IF(AND(N$20&gt;=Допущения!$D$30-3,N$20&lt;Допущения!$D$30),Допущения!$D$40/3,0)</f>
        <v>0</v>
      </c>
      <c r="O30" s="10" t="n">
        <f aca="false">IF(O$20=1,Допущения!$D$18,0)+IF(AND(O$20&gt;=Допущения!$D$30-3,O$20&lt;Допущения!$D$30),Допущения!$D$40/3,0)</f>
        <v>0</v>
      </c>
      <c r="P30" s="10" t="n">
        <f aca="false">IF(P$20=1,Допущения!$D$18,0)+IF(AND(P$20&gt;=Допущения!$D$30-3,P$20&lt;Допущения!$D$30),Допущения!$D$40/3,0)</f>
        <v>0</v>
      </c>
      <c r="Q30" s="10" t="n">
        <f aca="false">IF(Q$20=1,Допущения!$D$18,0)+IF(AND(Q$20&gt;=Допущения!$D$30-3,Q$20&lt;Допущения!$D$30),Допущения!$D$40/3,0)</f>
        <v>0</v>
      </c>
      <c r="R30" s="10" t="n">
        <f aca="false">IF(R$20=1,Допущения!$D$18,0)+IF(AND(R$20&gt;=Допущения!$D$30-3,R$20&lt;Допущения!$D$30),Допущения!$D$40/3,0)</f>
        <v>0</v>
      </c>
      <c r="S30" s="10" t="n">
        <f aca="false">IF(S$20=1,Допущения!$D$18,0)+IF(AND(S$20&gt;=Допущения!$D$30-3,S$20&lt;Допущения!$D$30),Допущения!$D$40/3,0)</f>
        <v>0</v>
      </c>
      <c r="T30" s="10" t="n">
        <f aca="false">IF(T$20=1,Допущения!$D$18,0)+IF(AND(T$20&gt;=Допущения!$D$30-3,T$20&lt;Допущения!$D$30),Допущения!$D$40/3,0)</f>
        <v>0</v>
      </c>
      <c r="U30" s="10" t="n">
        <f aca="false">IF(U$20=1,Допущения!$D$18,0)+IF(AND(U$20&gt;=Допущения!$D$30-3,U$20&lt;Допущения!$D$30),Допущения!$D$40/3,0)</f>
        <v>0</v>
      </c>
      <c r="V30" s="10" t="n">
        <f aca="false">IF(V$20=1,Допущения!$D$18,0)+IF(AND(V$20&gt;=Допущения!$D$30-3,V$20&lt;Допущения!$D$30),Допущения!$D$40/3,0)</f>
        <v>0</v>
      </c>
      <c r="W30" s="10" t="n">
        <f aca="false">IF(W$20=1,Допущения!$D$18,0)+IF(AND(W$20&gt;=Допущения!$D$30-3,W$20&lt;Допущения!$D$30),Допущения!$D$40/3,0)</f>
        <v>0</v>
      </c>
      <c r="X30" s="10" t="n">
        <f aca="false">IF(X$20=1,Допущения!$D$18,0)+IF(AND(X$20&gt;=Допущения!$D$30-3,X$20&lt;Допущения!$D$30),Допущения!$D$40/3,0)</f>
        <v>0</v>
      </c>
      <c r="Y30" s="10" t="n">
        <f aca="false">IF(Y$20=1,Допущения!$D$18,0)+IF(AND(Y$20&gt;=Допущения!$D$30-3,Y$20&lt;Допущения!$D$30),Допущения!$D$40/3,0)</f>
        <v>0</v>
      </c>
      <c r="Z30" s="10" t="n">
        <f aca="false">IF(Z$20=1,Допущения!$D$18,0)+IF(AND(Z$20&gt;=Допущения!$D$30-3,Z$20&lt;Допущения!$D$30),Допущения!$D$40/3,0)</f>
        <v>0</v>
      </c>
      <c r="AA30" s="10" t="n">
        <f aca="false">IF(AA$20=1,Допущения!$D$18,0)+IF(AND(AA$20&gt;=Допущения!$D$30-3,AA$20&lt;Допущения!$D$30),Допущения!$D$40/3,0)</f>
        <v>0</v>
      </c>
      <c r="AB30" s="10" t="n">
        <f aca="false">IF(AB$20=1,Допущения!$D$18,0)+IF(AND(AB$20&gt;=Допущения!$D$30-3,AB$20&lt;Допущения!$D$30),Допущения!$D$40/3,0)</f>
        <v>0</v>
      </c>
      <c r="AC30" s="10" t="n">
        <f aca="false">IF(AC$20=1,Допущения!$D$18,0)+IF(AND(AC$20&gt;=Допущения!$D$30-3,AC$20&lt;Допущения!$D$30),Допущения!$D$40/3,0)</f>
        <v>0</v>
      </c>
      <c r="AD30" s="10" t="n">
        <f aca="false">IF(AD$20=1,Допущения!$D$18,0)+IF(AND(AD$20&gt;=Допущения!$D$30-3,AD$20&lt;Допущения!$D$30),Допущения!$D$40/3,0)</f>
        <v>0</v>
      </c>
      <c r="AE30" s="10" t="n">
        <f aca="false">IF(AE$20=1,Допущения!$D$18,0)+IF(AND(AE$20&gt;=Допущения!$D$30-3,AE$20&lt;Допущения!$D$30),Допущения!$D$40/3,0)</f>
        <v>0</v>
      </c>
      <c r="AF30" s="10" t="n">
        <f aca="false">IF(AF$20=1,Допущения!$D$18,0)+IF(AND(AF$20&gt;=Допущения!$D$30-3,AF$20&lt;Допущения!$D$30),Допущения!$D$40/3,0)</f>
        <v>0</v>
      </c>
      <c r="AG30" s="10" t="n">
        <f aca="false">IF(AG$20=1,Допущения!$D$18,0)+IF(AND(AG$20&gt;=Допущения!$D$30-3,AG$20&lt;Допущения!$D$30),Допущения!$D$40/3,0)</f>
        <v>0</v>
      </c>
      <c r="AH30" s="10" t="n">
        <f aca="false">IF(AH$20=1,Допущения!$D$18,0)+IF(AND(AH$20&gt;=Допущения!$D$30-3,AH$20&lt;Допущения!$D$30),Допущения!$D$40/3,0)</f>
        <v>0</v>
      </c>
      <c r="AI30" s="10" t="n">
        <f aca="false">IF(AI$20=1,Допущения!$D$18,0)+IF(AND(AI$20&gt;=Допущения!$D$30-3,AI$20&lt;Допущения!$D$30),Допущения!$D$40/3,0)</f>
        <v>0</v>
      </c>
      <c r="AJ30" s="10" t="n">
        <f aca="false">IF(AJ$20=1,Допущения!$D$18,0)+IF(AND(AJ$20&gt;=Допущения!$D$30-3,AJ$20&lt;Допущения!$D$30),Допущения!$D$40/3,0)</f>
        <v>0</v>
      </c>
      <c r="AK30" s="10" t="n">
        <f aca="false">IF(AK$20=1,Допущения!$D$18,0)+IF(AND(AK$20&gt;=Допущения!$D$30-3,AK$20&lt;Допущения!$D$30),Допущения!$D$40/3,0)</f>
        <v>0</v>
      </c>
      <c r="AL30" s="10" t="n">
        <f aca="false">IF(AL$20=1,Допущения!$D$18,0)+IF(AND(AL$20&gt;=Допущения!$D$30-3,AL$20&lt;Допущения!$D$30),Допущения!$D$40/3,0)</f>
        <v>0</v>
      </c>
      <c r="AM30" s="10" t="n">
        <f aca="false">SUM(C30:N30)</f>
        <v>1200000</v>
      </c>
      <c r="AN30" s="10" t="n">
        <f aca="false">SUM(O30:Z30)</f>
        <v>0</v>
      </c>
      <c r="AO30" s="10" t="n">
        <f aca="false">SUM(AA30:AL30)</f>
        <v>0</v>
      </c>
      <c r="AP30" s="10" t="n">
        <f aca="false">SUM(C30:AL30)</f>
        <v>1200000</v>
      </c>
    </row>
    <row r="31" customFormat="false" ht="15" hidden="false" customHeight="false" outlineLevel="0" collapsed="false">
      <c r="A31" s="1" t="s">
        <v>285</v>
      </c>
      <c r="B31" s="1" t="s">
        <v>286</v>
      </c>
      <c r="C31" s="11" t="n">
        <f aca="false">C29-C30</f>
        <v>-820000</v>
      </c>
      <c r="D31" s="11" t="n">
        <f aca="false">D29-D30</f>
        <v>-420000</v>
      </c>
      <c r="E31" s="11" t="n">
        <f aca="false">E29-E30</f>
        <v>-446571.818955226</v>
      </c>
      <c r="F31" s="11" t="n">
        <f aca="false">F29-F30</f>
        <v>-457857.21322043</v>
      </c>
      <c r="G31" s="11" t="n">
        <f aca="false">G29-G30</f>
        <v>-462949.516284098</v>
      </c>
      <c r="H31" s="11" t="n">
        <f aca="false">H29-H30</f>
        <v>-732767.796494265</v>
      </c>
      <c r="I31" s="11" t="n">
        <f aca="false">I29-I30</f>
        <v>-734830.716320816</v>
      </c>
      <c r="J31" s="11" t="n">
        <f aca="false">J29-J30</f>
        <v>-836165.921125241</v>
      </c>
      <c r="K31" s="11" t="n">
        <f aca="false">K29-K30</f>
        <v>-528430.096656269</v>
      </c>
      <c r="L31" s="11" t="n">
        <f aca="false">L29-L30</f>
        <v>-520876.980626835</v>
      </c>
      <c r="M31" s="11" t="n">
        <f aca="false">M29-M30</f>
        <v>-512681.46065294</v>
      </c>
      <c r="N31" s="11" t="n">
        <f aca="false">N29-N30</f>
        <v>-503922.800672001</v>
      </c>
      <c r="O31" s="11" t="n">
        <f aca="false">O29-O30</f>
        <v>-494661.576088281</v>
      </c>
      <c r="P31" s="11" t="n">
        <f aca="false">P29-P30</f>
        <v>-484945.597583244</v>
      </c>
      <c r="Q31" s="11" t="n">
        <f aca="false">Q29-Q30</f>
        <v>-474813.578889049</v>
      </c>
      <c r="R31" s="11" t="n">
        <f aca="false">R29-R30</f>
        <v>-464297.525687211</v>
      </c>
      <c r="S31" s="11" t="n">
        <f aca="false">S29-S30</f>
        <v>-453424.356682638</v>
      </c>
      <c r="T31" s="11" t="n">
        <f aca="false">T29-T30</f>
        <v>-442217.04158711</v>
      </c>
      <c r="U31" s="11" t="n">
        <f aca="false">U29-U30</f>
        <v>-420006.181554909</v>
      </c>
      <c r="V31" s="11" t="n">
        <f aca="false">V29-V30</f>
        <v>-407363.055207846</v>
      </c>
      <c r="W31" s="11" t="n">
        <f aca="false">W29-W30</f>
        <v>-394424.351157081</v>
      </c>
      <c r="X31" s="11" t="n">
        <f aca="false">X29-X30</f>
        <v>-381204.144835859</v>
      </c>
      <c r="Y31" s="11" t="n">
        <f aca="false">Y29-Y30</f>
        <v>-367715.039374457</v>
      </c>
      <c r="Z31" s="11" t="n">
        <f aca="false">Z29-Z30</f>
        <v>-353968.391029365</v>
      </c>
      <c r="AA31" s="11" t="n">
        <f aca="false">AA29-AA30</f>
        <v>-339974.490510682</v>
      </c>
      <c r="AB31" s="11" t="n">
        <f aca="false">AB29-AB30</f>
        <v>-325742.710507391</v>
      </c>
      <c r="AC31" s="11" t="n">
        <f aca="false">AC29-AC30</f>
        <v>-311281.626952733</v>
      </c>
      <c r="AD31" s="11" t="n">
        <f aca="false">AD29-AD30</f>
        <v>-296599.119638395</v>
      </c>
      <c r="AE31" s="11" t="n">
        <f aca="false">AE29-AE30</f>
        <v>-281702.456406951</v>
      </c>
      <c r="AF31" s="11" t="n">
        <f aca="false">AF29-AF30</f>
        <v>-266598.364152737</v>
      </c>
      <c r="AG31" s="11" t="n">
        <f aca="false">AG29-AG30</f>
        <v>-251293.089127041</v>
      </c>
      <c r="AH31" s="11" t="n">
        <f aca="false">AH29-AH30</f>
        <v>-235792.448496752</v>
      </c>
      <c r="AI31" s="11" t="n">
        <f aca="false">AI29-AI30</f>
        <v>-220101.874693809</v>
      </c>
      <c r="AJ31" s="11" t="n">
        <f aca="false">AJ29-AJ30</f>
        <v>-204226.45377896</v>
      </c>
      <c r="AK31" s="11" t="n">
        <f aca="false">AK29-AK30</f>
        <v>-188170.958801884</v>
      </c>
      <c r="AL31" s="11" t="n">
        <f aca="false">AL29-AL30</f>
        <v>-171939.878952127</v>
      </c>
      <c r="AM31" s="11" t="n">
        <f aca="false">SUM(C31:N31)</f>
        <v>-6977054.32100812</v>
      </c>
      <c r="AN31" s="11" t="n">
        <f aca="false">SUM(O31:Z31)</f>
        <v>-5139040.83967705</v>
      </c>
      <c r="AO31" s="11" t="n">
        <f aca="false">SUM(AA31:AL31)</f>
        <v>-3093423.47201946</v>
      </c>
      <c r="AP31" s="11" t="n">
        <f aca="false">SUM(C31:AL31)</f>
        <v>-15209518.6327046</v>
      </c>
    </row>
    <row r="32" customFormat="false" ht="15" hidden="false" customHeight="false" outlineLevel="0" collapsed="false">
      <c r="A32" s="1" t="s">
        <v>287</v>
      </c>
      <c r="B32" s="1" t="s">
        <v>288</v>
      </c>
      <c r="C32" s="11" t="n">
        <f aca="false">0+C31</f>
        <v>-820000</v>
      </c>
      <c r="D32" s="11" t="n">
        <f aca="false">C32+D31</f>
        <v>-1240000</v>
      </c>
      <c r="E32" s="11" t="n">
        <f aca="false">D32+E31</f>
        <v>-1686571.81895523</v>
      </c>
      <c r="F32" s="11" t="n">
        <f aca="false">E32+F31</f>
        <v>-2144429.03217566</v>
      </c>
      <c r="G32" s="11" t="n">
        <f aca="false">F32+G31</f>
        <v>-2607378.54845975</v>
      </c>
      <c r="H32" s="11" t="n">
        <f aca="false">G32+H31</f>
        <v>-3340146.34495402</v>
      </c>
      <c r="I32" s="11" t="n">
        <f aca="false">H32+I31</f>
        <v>-4074977.06127484</v>
      </c>
      <c r="J32" s="11" t="n">
        <f aca="false">I32+J31</f>
        <v>-4911142.98240008</v>
      </c>
      <c r="K32" s="11" t="n">
        <f aca="false">J32+K31</f>
        <v>-5439573.07905635</v>
      </c>
      <c r="L32" s="11" t="n">
        <f aca="false">K32+L31</f>
        <v>-5960450.05968318</v>
      </c>
      <c r="M32" s="11" t="n">
        <f aca="false">L32+M31</f>
        <v>-6473131.52033612</v>
      </c>
      <c r="N32" s="11" t="n">
        <f aca="false">M32+N31</f>
        <v>-6977054.32100812</v>
      </c>
      <c r="O32" s="11" t="n">
        <f aca="false">N32+O31</f>
        <v>-7471715.8970964</v>
      </c>
      <c r="P32" s="11" t="n">
        <f aca="false">O32+P31</f>
        <v>-7956661.49467965</v>
      </c>
      <c r="Q32" s="11" t="n">
        <f aca="false">P32+Q31</f>
        <v>-8431475.07356869</v>
      </c>
      <c r="R32" s="11" t="n">
        <f aca="false">Q32+R31</f>
        <v>-8895772.59925591</v>
      </c>
      <c r="S32" s="11" t="n">
        <f aca="false">R32+S31</f>
        <v>-9349196.95593854</v>
      </c>
      <c r="T32" s="11" t="n">
        <f aca="false">S32+T31</f>
        <v>-9791413.99752565</v>
      </c>
      <c r="U32" s="11" t="n">
        <f aca="false">T32+U31</f>
        <v>-10211420.1790806</v>
      </c>
      <c r="V32" s="11" t="n">
        <f aca="false">U32+V31</f>
        <v>-10618783.2342884</v>
      </c>
      <c r="W32" s="11" t="n">
        <f aca="false">V32+W31</f>
        <v>-11013207.5854455</v>
      </c>
      <c r="X32" s="11" t="n">
        <f aca="false">W32+X31</f>
        <v>-11394411.7302813</v>
      </c>
      <c r="Y32" s="11" t="n">
        <f aca="false">X32+Y31</f>
        <v>-11762126.7696558</v>
      </c>
      <c r="Z32" s="11" t="n">
        <f aca="false">Y32+Z31</f>
        <v>-12116095.1606852</v>
      </c>
      <c r="AA32" s="11" t="n">
        <f aca="false">Z32+AA31</f>
        <v>-12456069.6511959</v>
      </c>
      <c r="AB32" s="11" t="n">
        <f aca="false">AA32+AB31</f>
        <v>-12781812.3617032</v>
      </c>
      <c r="AC32" s="11" t="n">
        <f aca="false">AB32+AC31</f>
        <v>-13093093.988656</v>
      </c>
      <c r="AD32" s="11" t="n">
        <f aca="false">AC32+AD31</f>
        <v>-13389693.1082944</v>
      </c>
      <c r="AE32" s="11" t="n">
        <f aca="false">AD32+AE31</f>
        <v>-13671395.5647013</v>
      </c>
      <c r="AF32" s="11" t="n">
        <f aca="false">AE32+AF31</f>
        <v>-13937993.9288541</v>
      </c>
      <c r="AG32" s="11" t="n">
        <f aca="false">AF32+AG31</f>
        <v>-14189287.0179811</v>
      </c>
      <c r="AH32" s="11" t="n">
        <f aca="false">AG32+AH31</f>
        <v>-14425079.4664779</v>
      </c>
      <c r="AI32" s="11" t="n">
        <f aca="false">AH32+AI31</f>
        <v>-14645181.3411717</v>
      </c>
      <c r="AJ32" s="11" t="n">
        <f aca="false">AI32+AJ31</f>
        <v>-14849407.7949506</v>
      </c>
      <c r="AK32" s="11" t="n">
        <f aca="false">AJ32+AK31</f>
        <v>-15037578.7537525</v>
      </c>
      <c r="AL32" s="11" t="n">
        <f aca="false">AK32+AL31</f>
        <v>-15209518.6327046</v>
      </c>
      <c r="AM32" s="11" t="n">
        <f aca="false">N32</f>
        <v>-6977054.32100812</v>
      </c>
      <c r="AN32" s="11" t="n">
        <f aca="false">Z32</f>
        <v>-12116095.1606852</v>
      </c>
      <c r="AO32" s="11" t="n">
        <f aca="false">AL32</f>
        <v>-15209518.6327046</v>
      </c>
      <c r="AP32" s="1"/>
    </row>
    <row r="33" customFormat="false" ht="15" hidden="false" customHeight="false" outlineLevel="0" collapsed="false">
      <c r="A33" s="0" t="s">
        <v>289</v>
      </c>
      <c r="B33" s="0" t="s">
        <v>290</v>
      </c>
      <c r="C33" s="0" t="n">
        <f aca="false">IF(AND(C29&gt;0,COUNTIF(C29:AL29,"&lt;=0")=0),C$20,99)</f>
        <v>99</v>
      </c>
      <c r="D33" s="0" t="n">
        <f aca="false">IF(AND(D29&gt;0,COUNTIF(D29:AL29,"&lt;=0")=0),D$20,99)</f>
        <v>99</v>
      </c>
      <c r="E33" s="0" t="n">
        <f aca="false">IF(AND(E29&gt;0,COUNTIF(E29:AL29,"&lt;=0")=0),E$20,99)</f>
        <v>99</v>
      </c>
      <c r="F33" s="0" t="n">
        <f aca="false">IF(AND(F29&gt;0,COUNTIF(F29:AL29,"&lt;=0")=0),F$20,99)</f>
        <v>99</v>
      </c>
      <c r="G33" s="0" t="n">
        <f aca="false">IF(AND(G29&gt;0,COUNTIF(G29:AL29,"&lt;=0")=0),G$20,99)</f>
        <v>99</v>
      </c>
      <c r="H33" s="0" t="n">
        <f aca="false">IF(AND(H29&gt;0,COUNTIF(H29:AL29,"&lt;=0")=0),H$20,99)</f>
        <v>99</v>
      </c>
      <c r="I33" s="0" t="n">
        <f aca="false">IF(AND(I29&gt;0,COUNTIF(I29:AL29,"&lt;=0")=0),I$20,99)</f>
        <v>99</v>
      </c>
      <c r="J33" s="0" t="n">
        <f aca="false">IF(AND(J29&gt;0,COUNTIF(J29:AL29,"&lt;=0")=0),J$20,99)</f>
        <v>99</v>
      </c>
      <c r="K33" s="0" t="n">
        <f aca="false">IF(AND(K29&gt;0,COUNTIF(K29:AL29,"&lt;=0")=0),K$20,99)</f>
        <v>99</v>
      </c>
      <c r="L33" s="0" t="n">
        <f aca="false">IF(AND(L29&gt;0,COUNTIF(L29:AL29,"&lt;=0")=0),L$20,99)</f>
        <v>99</v>
      </c>
      <c r="M33" s="0" t="n">
        <f aca="false">IF(AND(M29&gt;0,COUNTIF(M29:AL29,"&lt;=0")=0),M$20,99)</f>
        <v>99</v>
      </c>
      <c r="N33" s="0" t="n">
        <f aca="false">IF(AND(N29&gt;0,COUNTIF(N29:AL29,"&lt;=0")=0),N$20,99)</f>
        <v>99</v>
      </c>
      <c r="O33" s="0" t="n">
        <f aca="false">IF(AND(O29&gt;0,COUNTIF(O29:AL29,"&lt;=0")=0),O$20,99)</f>
        <v>99</v>
      </c>
      <c r="P33" s="0" t="n">
        <f aca="false">IF(AND(P29&gt;0,COUNTIF(P29:AL29,"&lt;=0")=0),P$20,99)</f>
        <v>99</v>
      </c>
      <c r="Q33" s="0" t="n">
        <f aca="false">IF(AND(Q29&gt;0,COUNTIF(Q29:AL29,"&lt;=0")=0),Q$20,99)</f>
        <v>99</v>
      </c>
      <c r="R33" s="0" t="n">
        <f aca="false">IF(AND(R29&gt;0,COUNTIF(R29:AL29,"&lt;=0")=0),R$20,99)</f>
        <v>99</v>
      </c>
      <c r="S33" s="0" t="n">
        <f aca="false">IF(AND(S29&gt;0,COUNTIF(S29:AL29,"&lt;=0")=0),S$20,99)</f>
        <v>99</v>
      </c>
      <c r="T33" s="0" t="n">
        <f aca="false">IF(AND(T29&gt;0,COUNTIF(T29:AL29,"&lt;=0")=0),T$20,99)</f>
        <v>99</v>
      </c>
      <c r="U33" s="0" t="n">
        <f aca="false">IF(AND(U29&gt;0,COUNTIF(U29:AL29,"&lt;=0")=0),U$20,99)</f>
        <v>99</v>
      </c>
      <c r="V33" s="0" t="n">
        <f aca="false">IF(AND(V29&gt;0,COUNTIF(V29:AL29,"&lt;=0")=0),V$20,99)</f>
        <v>99</v>
      </c>
      <c r="W33" s="0" t="n">
        <f aca="false">IF(AND(W29&gt;0,COUNTIF(W29:AL29,"&lt;=0")=0),W$20,99)</f>
        <v>99</v>
      </c>
      <c r="X33" s="0" t="n">
        <f aca="false">IF(AND(X29&gt;0,COUNTIF(X29:AL29,"&lt;=0")=0),X$20,99)</f>
        <v>99</v>
      </c>
      <c r="Y33" s="0" t="n">
        <f aca="false">IF(AND(Y29&gt;0,COUNTIF(Y29:AL29,"&lt;=0")=0),Y$20,99)</f>
        <v>99</v>
      </c>
      <c r="Z33" s="0" t="n">
        <f aca="false">IF(AND(Z29&gt;0,COUNTIF(Z29:AL29,"&lt;=0")=0),Z$20,99)</f>
        <v>99</v>
      </c>
      <c r="AA33" s="0" t="n">
        <f aca="false">IF(AND(AA29&gt;0,COUNTIF(AA29:AL29,"&lt;=0")=0),AA$20,99)</f>
        <v>99</v>
      </c>
      <c r="AB33" s="0" t="n">
        <f aca="false">IF(AND(AB29&gt;0,COUNTIF(AB29:AL29,"&lt;=0")=0),AB$20,99)</f>
        <v>99</v>
      </c>
      <c r="AC33" s="0" t="n">
        <f aca="false">IF(AND(AC29&gt;0,COUNTIF(AC29:AL29,"&lt;=0")=0),AC$20,99)</f>
        <v>99</v>
      </c>
      <c r="AD33" s="0" t="n">
        <f aca="false">IF(AND(AD29&gt;0,COUNTIF(AD29:AL29,"&lt;=0")=0),AD$20,99)</f>
        <v>99</v>
      </c>
      <c r="AE33" s="0" t="n">
        <f aca="false">IF(AND(AE29&gt;0,COUNTIF(AE29:AL29,"&lt;=0")=0),AE$20,99)</f>
        <v>99</v>
      </c>
      <c r="AF33" s="0" t="n">
        <f aca="false">IF(AND(AF29&gt;0,COUNTIF(AF29:AL29,"&lt;=0")=0),AF$20,99)</f>
        <v>99</v>
      </c>
      <c r="AG33" s="0" t="n">
        <f aca="false">IF(AND(AG29&gt;0,COUNTIF(AG29:AL29,"&lt;=0")=0),AG$20,99)</f>
        <v>99</v>
      </c>
      <c r="AH33" s="0" t="n">
        <f aca="false">IF(AND(AH29&gt;0,COUNTIF(AH29:AL29,"&lt;=0")=0),AH$20,99)</f>
        <v>99</v>
      </c>
      <c r="AI33" s="0" t="n">
        <f aca="false">IF(AND(AI29&gt;0,COUNTIF(AI29:AL29,"&lt;=0")=0),AI$20,99)</f>
        <v>99</v>
      </c>
      <c r="AJ33" s="0" t="n">
        <f aca="false">IF(AND(AJ29&gt;0,COUNTIF(AJ29:AL29,"&lt;=0")=0),AJ$20,99)</f>
        <v>99</v>
      </c>
      <c r="AK33" s="0" t="n">
        <f aca="false">IF(AND(AK29&gt;0,COUNTIF(AK29:AL29,"&lt;=0")=0),AK$20,99)</f>
        <v>99</v>
      </c>
      <c r="AL33" s="0" t="n">
        <f aca="false">IF(AND(AL29&gt;0,COUNTIF(AL29:AL29,"&lt;=0")=0),AL$20,99)</f>
        <v>99</v>
      </c>
    </row>
    <row r="34" customFormat="false" ht="15" hidden="false" customHeight="false" outlineLevel="0" collapsed="false">
      <c r="A34" s="0" t="s">
        <v>291</v>
      </c>
      <c r="B34" s="0" t="s">
        <v>292</v>
      </c>
      <c r="C34" s="0" t="n">
        <f aca="false">IF(AND(C32&gt;=0,COUNTIF(C32:AL32,"&lt;0")=0),C$20,99)</f>
        <v>99</v>
      </c>
      <c r="D34" s="0" t="n">
        <f aca="false">IF(AND(D32&gt;=0,COUNTIF(D32:AL32,"&lt;0")=0),D$20,99)</f>
        <v>99</v>
      </c>
      <c r="E34" s="0" t="n">
        <f aca="false">IF(AND(E32&gt;=0,COUNTIF(E32:AL32,"&lt;0")=0),E$20,99)</f>
        <v>99</v>
      </c>
      <c r="F34" s="0" t="n">
        <f aca="false">IF(AND(F32&gt;=0,COUNTIF(F32:AL32,"&lt;0")=0),F$20,99)</f>
        <v>99</v>
      </c>
      <c r="G34" s="0" t="n">
        <f aca="false">IF(AND(G32&gt;=0,COUNTIF(G32:AL32,"&lt;0")=0),G$20,99)</f>
        <v>99</v>
      </c>
      <c r="H34" s="0" t="n">
        <f aca="false">IF(AND(H32&gt;=0,COUNTIF(H32:AL32,"&lt;0")=0),H$20,99)</f>
        <v>99</v>
      </c>
      <c r="I34" s="0" t="n">
        <f aca="false">IF(AND(I32&gt;=0,COUNTIF(I32:AL32,"&lt;0")=0),I$20,99)</f>
        <v>99</v>
      </c>
      <c r="J34" s="0" t="n">
        <f aca="false">IF(AND(J32&gt;=0,COUNTIF(J32:AL32,"&lt;0")=0),J$20,99)</f>
        <v>99</v>
      </c>
      <c r="K34" s="0" t="n">
        <f aca="false">IF(AND(K32&gt;=0,COUNTIF(K32:AL32,"&lt;0")=0),K$20,99)</f>
        <v>99</v>
      </c>
      <c r="L34" s="0" t="n">
        <f aca="false">IF(AND(L32&gt;=0,COUNTIF(L32:AL32,"&lt;0")=0),L$20,99)</f>
        <v>99</v>
      </c>
      <c r="M34" s="0" t="n">
        <f aca="false">IF(AND(M32&gt;=0,COUNTIF(M32:AL32,"&lt;0")=0),M$20,99)</f>
        <v>99</v>
      </c>
      <c r="N34" s="0" t="n">
        <f aca="false">IF(AND(N32&gt;=0,COUNTIF(N32:AL32,"&lt;0")=0),N$20,99)</f>
        <v>99</v>
      </c>
      <c r="O34" s="0" t="n">
        <f aca="false">IF(AND(O32&gt;=0,COUNTIF(O32:AL32,"&lt;0")=0),O$20,99)</f>
        <v>99</v>
      </c>
      <c r="P34" s="0" t="n">
        <f aca="false">IF(AND(P32&gt;=0,COUNTIF(P32:AL32,"&lt;0")=0),P$20,99)</f>
        <v>99</v>
      </c>
      <c r="Q34" s="0" t="n">
        <f aca="false">IF(AND(Q32&gt;=0,COUNTIF(Q32:AL32,"&lt;0")=0),Q$20,99)</f>
        <v>99</v>
      </c>
      <c r="R34" s="0" t="n">
        <f aca="false">IF(AND(R32&gt;=0,COUNTIF(R32:AL32,"&lt;0")=0),R$20,99)</f>
        <v>99</v>
      </c>
      <c r="S34" s="0" t="n">
        <f aca="false">IF(AND(S32&gt;=0,COUNTIF(S32:AL32,"&lt;0")=0),S$20,99)</f>
        <v>99</v>
      </c>
      <c r="T34" s="0" t="n">
        <f aca="false">IF(AND(T32&gt;=0,COUNTIF(T32:AL32,"&lt;0")=0),T$20,99)</f>
        <v>99</v>
      </c>
      <c r="U34" s="0" t="n">
        <f aca="false">IF(AND(U32&gt;=0,COUNTIF(U32:AL32,"&lt;0")=0),U$20,99)</f>
        <v>99</v>
      </c>
      <c r="V34" s="0" t="n">
        <f aca="false">IF(AND(V32&gt;=0,COUNTIF(V32:AL32,"&lt;0")=0),V$20,99)</f>
        <v>99</v>
      </c>
      <c r="W34" s="0" t="n">
        <f aca="false">IF(AND(W32&gt;=0,COUNTIF(W32:AL32,"&lt;0")=0),W$20,99)</f>
        <v>99</v>
      </c>
      <c r="X34" s="0" t="n">
        <f aca="false">IF(AND(X32&gt;=0,COUNTIF(X32:AL32,"&lt;0")=0),X$20,99)</f>
        <v>99</v>
      </c>
      <c r="Y34" s="0" t="n">
        <f aca="false">IF(AND(Y32&gt;=0,COUNTIF(Y32:AL32,"&lt;0")=0),Y$20,99)</f>
        <v>99</v>
      </c>
      <c r="Z34" s="0" t="n">
        <f aca="false">IF(AND(Z32&gt;=0,COUNTIF(Z32:AL32,"&lt;0")=0),Z$20,99)</f>
        <v>99</v>
      </c>
      <c r="AA34" s="0" t="n">
        <f aca="false">IF(AND(AA32&gt;=0,COUNTIF(AA32:AL32,"&lt;0")=0),AA$20,99)</f>
        <v>99</v>
      </c>
      <c r="AB34" s="0" t="n">
        <f aca="false">IF(AND(AB32&gt;=0,COUNTIF(AB32:AL32,"&lt;0")=0),AB$20,99)</f>
        <v>99</v>
      </c>
      <c r="AC34" s="0" t="n">
        <f aca="false">IF(AND(AC32&gt;=0,COUNTIF(AC32:AL32,"&lt;0")=0),AC$20,99)</f>
        <v>99</v>
      </c>
      <c r="AD34" s="0" t="n">
        <f aca="false">IF(AND(AD32&gt;=0,COUNTIF(AD32:AL32,"&lt;0")=0),AD$20,99)</f>
        <v>99</v>
      </c>
      <c r="AE34" s="0" t="n">
        <f aca="false">IF(AND(AE32&gt;=0,COUNTIF(AE32:AL32,"&lt;0")=0),AE$20,99)</f>
        <v>99</v>
      </c>
      <c r="AF34" s="0" t="n">
        <f aca="false">IF(AND(AF32&gt;=0,COUNTIF(AF32:AL32,"&lt;0")=0),AF$20,99)</f>
        <v>99</v>
      </c>
      <c r="AG34" s="0" t="n">
        <f aca="false">IF(AND(AG32&gt;=0,COUNTIF(AG32:AL32,"&lt;0")=0),AG$20,99)</f>
        <v>99</v>
      </c>
      <c r="AH34" s="0" t="n">
        <f aca="false">IF(AND(AH32&gt;=0,COUNTIF(AH32:AL32,"&lt;0")=0),AH$20,99)</f>
        <v>99</v>
      </c>
      <c r="AI34" s="0" t="n">
        <f aca="false">IF(AND(AI32&gt;=0,COUNTIF(AI32:AL32,"&lt;0")=0),AI$20,99)</f>
        <v>99</v>
      </c>
      <c r="AJ34" s="0" t="n">
        <f aca="false">IF(AND(AJ32&gt;=0,COUNTIF(AJ32:AL32,"&lt;0")=0),AJ$20,99)</f>
        <v>99</v>
      </c>
      <c r="AK34" s="0" t="n">
        <f aca="false">IF(AND(AK32&gt;=0,COUNTIF(AK32:AL32,"&lt;0")=0),AK$20,99)</f>
        <v>99</v>
      </c>
      <c r="AL34" s="0" t="n">
        <f aca="false">IF(AND(AL32&gt;=0,COUNTIF(AL32:AL32,"&lt;0")=0),AL$20,99)</f>
        <v>99</v>
      </c>
    </row>
    <row r="36" customFormat="false" ht="15" hidden="false" customHeight="false" outlineLevel="0" collapsed="false">
      <c r="A36" s="1" t="s">
        <v>294</v>
      </c>
      <c r="B36" s="1" t="s">
        <v>252</v>
      </c>
      <c r="C36" s="1" t="n">
        <v>1</v>
      </c>
      <c r="D36" s="1" t="n">
        <v>2</v>
      </c>
      <c r="E36" s="1" t="n">
        <v>3</v>
      </c>
      <c r="F36" s="1" t="n">
        <v>4</v>
      </c>
      <c r="G36" s="1" t="n">
        <v>5</v>
      </c>
      <c r="H36" s="1" t="n">
        <v>6</v>
      </c>
      <c r="I36" s="1" t="n">
        <v>7</v>
      </c>
      <c r="J36" s="1" t="n">
        <v>8</v>
      </c>
      <c r="K36" s="1" t="n">
        <v>9</v>
      </c>
      <c r="L36" s="1" t="n">
        <v>10</v>
      </c>
      <c r="M36" s="1" t="n">
        <v>11</v>
      </c>
      <c r="N36" s="1" t="n">
        <v>12</v>
      </c>
      <c r="O36" s="1" t="n">
        <v>13</v>
      </c>
      <c r="P36" s="1" t="n">
        <v>14</v>
      </c>
      <c r="Q36" s="1" t="n">
        <v>15</v>
      </c>
      <c r="R36" s="1" t="n">
        <v>16</v>
      </c>
      <c r="S36" s="1" t="n">
        <v>17</v>
      </c>
      <c r="T36" s="1" t="n">
        <v>18</v>
      </c>
      <c r="U36" s="1" t="n">
        <v>19</v>
      </c>
      <c r="V36" s="1" t="n">
        <v>20</v>
      </c>
      <c r="W36" s="1" t="n">
        <v>21</v>
      </c>
      <c r="X36" s="1" t="n">
        <v>22</v>
      </c>
      <c r="Y36" s="1" t="n">
        <v>23</v>
      </c>
      <c r="Z36" s="1" t="n">
        <v>24</v>
      </c>
      <c r="AA36" s="1" t="n">
        <v>25</v>
      </c>
      <c r="AB36" s="1" t="n">
        <v>26</v>
      </c>
      <c r="AC36" s="1" t="n">
        <v>27</v>
      </c>
      <c r="AD36" s="1" t="n">
        <v>28</v>
      </c>
      <c r="AE36" s="1" t="n">
        <v>29</v>
      </c>
      <c r="AF36" s="1" t="n">
        <v>30</v>
      </c>
      <c r="AG36" s="1" t="n">
        <v>31</v>
      </c>
      <c r="AH36" s="1" t="n">
        <v>32</v>
      </c>
      <c r="AI36" s="1" t="n">
        <v>33</v>
      </c>
      <c r="AJ36" s="1" t="n">
        <v>34</v>
      </c>
      <c r="AK36" s="1" t="n">
        <v>35</v>
      </c>
      <c r="AL36" s="1" t="n">
        <v>36</v>
      </c>
      <c r="AM36" s="1" t="s">
        <v>253</v>
      </c>
      <c r="AN36" s="1" t="s">
        <v>254</v>
      </c>
      <c r="AO36" s="1" t="s">
        <v>255</v>
      </c>
      <c r="AP36" s="1" t="s">
        <v>256</v>
      </c>
    </row>
    <row r="37" customFormat="false" ht="15" hidden="false" customHeight="false" outlineLevel="0" collapsed="false">
      <c r="A37" s="0" t="s">
        <v>296</v>
      </c>
      <c r="B37" s="0" t="s">
        <v>297</v>
      </c>
      <c r="C37" s="10" t="n">
        <f aca="false">A_дропшиппинг!C54</f>
        <v>0</v>
      </c>
      <c r="D37" s="10" t="n">
        <f aca="false">A_дропшиппинг!D54</f>
        <v>30124.3263107384</v>
      </c>
      <c r="E37" s="10" t="n">
        <f aca="false">A_дропшиппинг!E54</f>
        <v>64572.9070332665</v>
      </c>
      <c r="F37" s="10" t="n">
        <f aca="false">A_дропшиппинг!F54</f>
        <v>100867.376092723</v>
      </c>
      <c r="G37" s="10" t="n">
        <f aca="false">A_дропшиппинг!G54</f>
        <v>138415.056314156</v>
      </c>
      <c r="H37" s="10" t="n">
        <f aca="false">A_дропшиппинг!H54</f>
        <v>176923.021661791</v>
      </c>
      <c r="I37" s="10" t="n">
        <f aca="false">A_дропшиппинг!I54</f>
        <v>216213.953863697</v>
      </c>
      <c r="J37" s="10" t="n">
        <f aca="false">A_дропшиппинг!J54</f>
        <v>284401.338805045</v>
      </c>
      <c r="K37" s="10" t="n">
        <f aca="false">A_дропшиппинг!K54</f>
        <v>329399.380574908</v>
      </c>
      <c r="L37" s="10" t="n">
        <f aca="false">A_дропшиппинг!L54</f>
        <v>374964.845596112</v>
      </c>
      <c r="M37" s="10" t="n">
        <f aca="false">A_дропшиппинг!M54</f>
        <v>421040.422167385</v>
      </c>
      <c r="N37" s="10" t="n">
        <f aca="false">A_дропшиппинг!N54</f>
        <v>467579.805684955</v>
      </c>
      <c r="O37" s="10" t="n">
        <f aca="false">A_дропшиппинг!O54</f>
        <v>514544.763921534</v>
      </c>
      <c r="P37" s="10" t="n">
        <f aca="false">A_дропшиппинг!P54</f>
        <v>561903.1671688</v>
      </c>
      <c r="Q37" s="10" t="n">
        <f aca="false">A_дропшиппинг!Q54</f>
        <v>609627.615282082</v>
      </c>
      <c r="R37" s="10" t="n">
        <f aca="false">A_дропшиппинг!R54</f>
        <v>657694.450570692</v>
      </c>
      <c r="S37" s="10" t="n">
        <f aca="false">A_дропшиппинг!S54</f>
        <v>706083.029352158</v>
      </c>
      <c r="T37" s="10" t="n">
        <f aca="false">A_дропшиппинг!T54</f>
        <v>754775.172316517</v>
      </c>
      <c r="U37" s="10" t="n">
        <f aca="false">A_дропшиппинг!U54</f>
        <v>803754.741787863</v>
      </c>
      <c r="V37" s="10" t="n">
        <f aca="false">A_дропшиппинг!V54</f>
        <v>853007.311111901</v>
      </c>
      <c r="W37" s="10" t="n">
        <f aca="false">A_дропшиппинг!W54</f>
        <v>902519.902268163</v>
      </c>
      <c r="X37" s="10" t="n">
        <f aca="false">A_дропшиппинг!X54</f>
        <v>952280.774899737</v>
      </c>
      <c r="Y37" s="10" t="n">
        <f aca="false">A_дропшиппинг!Y54</f>
        <v>1002279.25470202</v>
      </c>
      <c r="Z37" s="10" t="n">
        <f aca="false">A_дропшиппинг!Z54</f>
        <v>1052505.5923628</v>
      </c>
      <c r="AA37" s="10" t="n">
        <f aca="false">A_дропшиппинг!AA54</f>
        <v>1102950.8465162</v>
      </c>
      <c r="AB37" s="10" t="n">
        <f aca="false">A_дропшиппинг!AB54</f>
        <v>1153606.78578763</v>
      </c>
      <c r="AC37" s="10" t="n">
        <f aca="false">A_дропшиппинг!AC54</f>
        <v>1204465.80617323</v>
      </c>
      <c r="AD37" s="10" t="n">
        <f aca="false">A_дропшиппинг!AD54</f>
        <v>1255520.8608536</v>
      </c>
      <c r="AE37" s="10" t="n">
        <f aca="false">A_дропшиппинг!AE54</f>
        <v>1306765.40017724</v>
      </c>
      <c r="AF37" s="10" t="n">
        <f aca="false">A_дропшиппинг!AF54</f>
        <v>1358193.32002839</v>
      </c>
      <c r="AG37" s="10" t="n">
        <f aca="false">A_дропшиппинг!AG54</f>
        <v>1409798.91715811</v>
      </c>
      <c r="AH37" s="10" t="n">
        <f aca="false">A_дропшиппинг!AH54</f>
        <v>1461576.85033803</v>
      </c>
      <c r="AI37" s="10" t="n">
        <f aca="false">A_дропшиппинг!AI54</f>
        <v>1513522.10641375</v>
      </c>
      <c r="AJ37" s="10" t="n">
        <f aca="false">A_дропшиппинг!AJ54</f>
        <v>1565629.97050575</v>
      </c>
      <c r="AK37" s="10" t="n">
        <f aca="false">A_дропшиппинг!AK54</f>
        <v>1617895.9997402</v>
      </c>
      <c r="AL37" s="10" t="n">
        <f aca="false">A_дропшиппинг!AL54</f>
        <v>1670316</v>
      </c>
      <c r="AM37" s="10" t="n">
        <f aca="false">SUM(C37:N37)</f>
        <v>2604502.43410478</v>
      </c>
      <c r="AN37" s="10" t="n">
        <f aca="false">SUM(O37:Z37)</f>
        <v>9370975.77574427</v>
      </c>
      <c r="AO37" s="10" t="n">
        <f aca="false">SUM(AA37:AL37)</f>
        <v>16620242.8636921</v>
      </c>
      <c r="AP37" s="10" t="n">
        <f aca="false">SUM(C37:AL37)</f>
        <v>28595721.0735412</v>
      </c>
    </row>
    <row r="38" customFormat="false" ht="15" hidden="false" customHeight="false" outlineLevel="0" collapsed="false">
      <c r="A38" s="0" t="s">
        <v>298</v>
      </c>
      <c r="B38" s="0" t="s">
        <v>299</v>
      </c>
      <c r="C38" s="10" t="n">
        <f aca="false">A_дропшиппинг!C46*(1+Допущения!$E$34)</f>
        <v>0</v>
      </c>
      <c r="D38" s="10" t="n">
        <f aca="false">A_дропшиппинг!D46*(1+Допущения!$E$34)</f>
        <v>2402.73789118552</v>
      </c>
      <c r="E38" s="10" t="n">
        <f aca="false">A_дропшиппинг!E46*(1+Допущения!$E$34)</f>
        <v>5150.3814184061</v>
      </c>
      <c r="F38" s="10" t="n">
        <f aca="false">A_дропшиппинг!F46*(1+Допущения!$E$34)</f>
        <v>8045.25432444452</v>
      </c>
      <c r="G38" s="10" t="n">
        <f aca="false">A_дропшиппинг!G46*(1+Допущения!$E$34)</f>
        <v>11040.0842523754</v>
      </c>
      <c r="H38" s="10" t="n">
        <f aca="false">A_дропшиппинг!H46*(1+Допущения!$E$34)</f>
        <v>14111.5072113093</v>
      </c>
      <c r="I38" s="10" t="n">
        <f aca="false">A_дропшиппинг!I46*(1+Допущения!$E$34)</f>
        <v>17245.38016859</v>
      </c>
      <c r="J38" s="10" t="n">
        <f aca="false">A_дропшиппинг!J46*(1+Допущения!$E$34)</f>
        <v>20432.1581404988</v>
      </c>
      <c r="K38" s="10" t="n">
        <f aca="false">A_дропшиппинг!K46*(1+Допущения!$E$34)</f>
        <v>23664.9386517215</v>
      </c>
      <c r="L38" s="10" t="n">
        <f aca="false">A_дропшиппинг!L46*(1+Допущения!$E$34)</f>
        <v>26938.484377527</v>
      </c>
      <c r="M38" s="10" t="n">
        <f aca="false">A_дропшиппинг!M46*(1+Допущения!$E$34)</f>
        <v>30248.6778909417</v>
      </c>
      <c r="N38" s="10" t="n">
        <f aca="false">A_дропшиппинг!N46*(1+Допущения!$E$34)</f>
        <v>33592.1925445213</v>
      </c>
      <c r="O38" s="10" t="n">
        <f aca="false">A_дропшиппинг!O46*(1+Допущения!$E$34)</f>
        <v>36966.2816320888</v>
      </c>
      <c r="P38" s="10" t="n">
        <f aca="false">A_дропшиппинг!P46*(1+Допущения!$E$34)</f>
        <v>40368.6368688655</v>
      </c>
      <c r="Q38" s="10" t="n">
        <f aca="false">A_дропшиппинг!Q46*(1+Допущения!$E$34)</f>
        <v>43797.2897546631</v>
      </c>
      <c r="R38" s="10" t="n">
        <f aca="false">A_дропшиппинг!R46*(1+Допущения!$E$34)</f>
        <v>47250.5406572667</v>
      </c>
      <c r="S38" s="10" t="n">
        <f aca="false">A_дропшиппинг!S46*(1+Допущения!$E$34)</f>
        <v>50726.9064789291</v>
      </c>
      <c r="T38" s="10" t="n">
        <f aca="false">A_дропшиппинг!T46*(1+Допущения!$E$34)</f>
        <v>54225.0811690615</v>
      </c>
      <c r="U38" s="10" t="n">
        <f aca="false">A_дропшиппинг!U46*(1+Допущения!$E$34)</f>
        <v>57743.905353564</v>
      </c>
      <c r="V38" s="10" t="n">
        <f aca="false">A_дропшиппинг!V46*(1+Допущения!$E$34)</f>
        <v>61282.3425827377</v>
      </c>
      <c r="W38" s="10" t="n">
        <f aca="false">A_дропшиппинг!W46*(1+Допущения!$E$34)</f>
        <v>64839.4604806393</v>
      </c>
      <c r="X38" s="10" t="n">
        <f aca="false">A_дропшиппинг!X46*(1+Допущения!$E$34)</f>
        <v>68414.4155884087</v>
      </c>
      <c r="Y38" s="10" t="n">
        <f aca="false">A_дропшиппинг!Y46*(1+Допущения!$E$34)</f>
        <v>72006.4410352549</v>
      </c>
      <c r="Z38" s="10" t="n">
        <f aca="false">A_дропшиппинг!Z46*(1+Допущения!$E$34)</f>
        <v>75614.8364043306</v>
      </c>
      <c r="AA38" s="10" t="n">
        <f aca="false">A_дропшиппинг!AA46*(1+Допущения!$E$34)</f>
        <v>79238.9593238312</v>
      </c>
      <c r="AB38" s="10" t="n">
        <f aca="false">A_дропшиппинг!AB46*(1+Допущения!$E$34)</f>
        <v>82878.2184296356</v>
      </c>
      <c r="AC38" s="10" t="n">
        <f aca="false">A_дропшиппинг!AC46*(1+Допущения!$E$34)</f>
        <v>86532.0674296285</v>
      </c>
      <c r="AD38" s="10" t="n">
        <f aca="false">A_дропшиппинг!AD46*(1+Допущения!$E$34)</f>
        <v>90200.0000613247</v>
      </c>
      <c r="AE38" s="10" t="n">
        <f aca="false">A_дропшиппинг!AE46*(1+Допущения!$E$34)</f>
        <v>93881.5457801212</v>
      </c>
      <c r="AF38" s="10" t="n">
        <f aca="false">A_дропшиппинг!AF46*(1+Допущения!$E$34)</f>
        <v>97576.2660499012</v>
      </c>
      <c r="AG38" s="10" t="n">
        <f aca="false">A_дропшиппинг!AG46*(1+Допущения!$E$34)</f>
        <v>101283.751133901</v>
      </c>
      <c r="AH38" s="10" t="n">
        <f aca="false">A_дропшиппинг!AH46*(1+Допущения!$E$34)</f>
        <v>105003.61730389</v>
      </c>
      <c r="AI38" s="10" t="n">
        <f aca="false">A_дропшиппинг!AI46*(1+Допущения!$E$34)</f>
        <v>108735.504401353</v>
      </c>
      <c r="AJ38" s="10" t="n">
        <f aca="false">A_дропшиппинг!AJ46*(1+Допущения!$E$34)</f>
        <v>112479.073696648</v>
      </c>
      <c r="AK38" s="10" t="n">
        <f aca="false">A_дропшиппинг!AK46*(1+Допущения!$E$34)</f>
        <v>116234.006001753</v>
      </c>
      <c r="AL38" s="10" t="n">
        <f aca="false">A_дропшиппинг!AL46*(1+Допущения!$E$34)</f>
        <v>120000</v>
      </c>
      <c r="AM38" s="10" t="n">
        <f aca="false">N38</f>
        <v>33592.1925445213</v>
      </c>
      <c r="AN38" s="10" t="n">
        <f aca="false">Z38</f>
        <v>75614.8364043306</v>
      </c>
      <c r="AO38" s="10" t="n">
        <f aca="false">AL38</f>
        <v>120000</v>
      </c>
    </row>
    <row r="39" customFormat="false" ht="15" hidden="false" customHeight="false" outlineLevel="0" collapsed="false">
      <c r="A39" s="0" t="s">
        <v>300</v>
      </c>
      <c r="B39" s="0" t="s">
        <v>301</v>
      </c>
      <c r="C39" s="10" t="n">
        <f aca="false">IF(C$36&gt;=Допущения!$E$30,C38*Допущения!$E$33*Допущения!$E$31*Допущения!$E$32/12,0)</f>
        <v>0</v>
      </c>
      <c r="D39" s="10" t="n">
        <f aca="false">IF(D$36&gt;=Допущения!$E$30,D38*Допущения!$E$33*Допущения!$E$31*Допущения!$E$32/12,0)</f>
        <v>0</v>
      </c>
      <c r="E39" s="10" t="n">
        <f aca="false">IF(E$36&gt;=Допущения!$E$30,E38*Допущения!$E$33*Допущения!$E$31*Допущения!$E$32/12,0)</f>
        <v>0</v>
      </c>
      <c r="F39" s="10" t="n">
        <f aca="false">IF(F$36&gt;=Допущения!$E$30,F38*Допущения!$E$33*Допущения!$E$31*Допущения!$E$32/12,0)</f>
        <v>0</v>
      </c>
      <c r="G39" s="10" t="n">
        <f aca="false">IF(G$36&gt;=Допущения!$E$30,G38*Допущения!$E$33*Допущения!$E$31*Допущения!$E$32/12,0)</f>
        <v>0</v>
      </c>
      <c r="H39" s="10" t="n">
        <f aca="false">IF(H$36&gt;=Допущения!$E$30,H38*Допущения!$E$33*Допущения!$E$31*Допущения!$E$32/12,0)</f>
        <v>0</v>
      </c>
      <c r="I39" s="10" t="n">
        <f aca="false">IF(I$36&gt;=Допущения!$E$30,I38*Допущения!$E$33*Допущения!$E$31*Допущения!$E$32/12,0)</f>
        <v>403541.895945006</v>
      </c>
      <c r="J39" s="10" t="n">
        <f aca="false">IF(J$36&gt;=Допущения!$E$30,J38*Допущения!$E$33*Допущения!$E$31*Допущения!$E$32/12,0)</f>
        <v>478112.500487673</v>
      </c>
      <c r="K39" s="10" t="n">
        <f aca="false">IF(K$36&gt;=Допущения!$E$30,K38*Допущения!$E$33*Допущения!$E$31*Допущения!$E$32/12,0)</f>
        <v>553759.564450284</v>
      </c>
      <c r="L39" s="10" t="n">
        <f aca="false">IF(L$36&gt;=Допущения!$E$30,L38*Допущения!$E$33*Допущения!$E$31*Допущения!$E$32/12,0)</f>
        <v>630360.534434133</v>
      </c>
      <c r="M39" s="10" t="n">
        <f aca="false">IF(M$36&gt;=Допущения!$E$30,M38*Допущения!$E$33*Допущения!$E$31*Допущения!$E$32/12,0)</f>
        <v>707819.062648037</v>
      </c>
      <c r="N39" s="10" t="n">
        <f aca="false">IF(N$36&gt;=Допущения!$E$30,N38*Допущения!$E$33*Допущения!$E$31*Допущения!$E$32/12,0)</f>
        <v>786057.305541799</v>
      </c>
      <c r="O39" s="10" t="n">
        <f aca="false">IF(O$36&gt;=Допущения!$E$30,O38*Допущения!$E$33*Допущения!$E$31*Допущения!$E$32/12,0)</f>
        <v>865010.990190878</v>
      </c>
      <c r="P39" s="10" t="n">
        <f aca="false">IF(P$36&gt;=Допущения!$E$30,P38*Допущения!$E$33*Допущения!$E$31*Допущения!$E$32/12,0)</f>
        <v>944626.102731453</v>
      </c>
      <c r="Q39" s="10" t="n">
        <f aca="false">IF(Q$36&gt;=Допущения!$E$30,Q38*Допущения!$E$33*Допущения!$E$31*Допущения!$E$32/12,0)</f>
        <v>1024856.58025912</v>
      </c>
      <c r="R39" s="10" t="n">
        <f aca="false">IF(R$36&gt;=Допущения!$E$30,R38*Допущения!$E$33*Допущения!$E$31*Допущения!$E$32/12,0)</f>
        <v>1105662.65138004</v>
      </c>
      <c r="S39" s="10" t="n">
        <f aca="false">IF(S$36&gt;=Допущения!$E$30,S38*Допущения!$E$33*Допущения!$E$31*Допущения!$E$32/12,0)</f>
        <v>1187009.61160694</v>
      </c>
      <c r="T39" s="10" t="n">
        <f aca="false">IF(T$36&gt;=Допущения!$E$30,T38*Допущения!$E$33*Допущения!$E$31*Допущения!$E$32/12,0)</f>
        <v>1268866.89935604</v>
      </c>
      <c r="U39" s="10" t="n">
        <f aca="false">IF(U$36&gt;=Допущения!$E$30,U38*Допущения!$E$33*Допущения!$E$31*Допущения!$E$32/12,0)</f>
        <v>1351207.3852734</v>
      </c>
      <c r="V39" s="10" t="n">
        <f aca="false">IF(V$36&gt;=Допущения!$E$30,V38*Допущения!$E$33*Допущения!$E$31*Допущения!$E$32/12,0)</f>
        <v>1434006.81643606</v>
      </c>
      <c r="W39" s="10" t="n">
        <f aca="false">IF(W$36&gt;=Допущения!$E$30,W38*Допущения!$E$33*Допущения!$E$31*Допущения!$E$32/12,0)</f>
        <v>1517243.37524696</v>
      </c>
      <c r="X39" s="10" t="n">
        <f aca="false">IF(X$36&gt;=Допущения!$E$30,X38*Допущения!$E$33*Допущения!$E$31*Допущения!$E$32/12,0)</f>
        <v>1600897.32476876</v>
      </c>
      <c r="Y39" s="10" t="n">
        <f aca="false">IF(Y$36&gt;=Допущения!$E$30,Y38*Допущения!$E$33*Допущения!$E$31*Допущения!$E$32/12,0)</f>
        <v>1684950.72022497</v>
      </c>
      <c r="Z39" s="10" t="n">
        <f aca="false">IF(Z$36&gt;=Допущения!$E$30,Z38*Допущения!$E$33*Допущения!$E$31*Допущения!$E$32/12,0)</f>
        <v>1769387.17186134</v>
      </c>
      <c r="AA39" s="10" t="n">
        <f aca="false">IF(AA$36&gt;=Допущения!$E$30,AA38*Допущения!$E$33*Допущения!$E$31*Допущения!$E$32/12,0)</f>
        <v>1854191.64817765</v>
      </c>
      <c r="AB39" s="10" t="n">
        <f aca="false">IF(AB$36&gt;=Допущения!$E$30,AB38*Допущения!$E$33*Допущения!$E$31*Допущения!$E$32/12,0)</f>
        <v>1939350.31125347</v>
      </c>
      <c r="AC39" s="10" t="n">
        <f aca="false">IF(AC$36&gt;=Допущения!$E$30,AC38*Допущения!$E$33*Допущения!$E$31*Допущения!$E$32/12,0)</f>
        <v>2024850.37785331</v>
      </c>
      <c r="AD39" s="10" t="n">
        <f aca="false">IF(AD$36&gt;=Допущения!$E$30,AD38*Допущения!$E$33*Допущения!$E$31*Допущения!$E$32/12,0)</f>
        <v>2110680.001435</v>
      </c>
      <c r="AE39" s="10" t="n">
        <f aca="false">IF(AE$36&gt;=Допущения!$E$30,AE38*Допущения!$E$33*Допущения!$E$31*Допущения!$E$32/12,0)</f>
        <v>2196828.17125483</v>
      </c>
      <c r="AF39" s="10" t="n">
        <f aca="false">IF(AF$36&gt;=Допущения!$E$30,AF38*Допущения!$E$33*Допущения!$E$31*Допущения!$E$32/12,0)</f>
        <v>2283284.62556769</v>
      </c>
      <c r="AG39" s="10" t="n">
        <f aca="false">IF(AG$36&gt;=Допущения!$E$30,AG38*Допущения!$E$33*Допущения!$E$31*Допущения!$E$32/12,0)</f>
        <v>2370039.77653329</v>
      </c>
      <c r="AH39" s="10" t="n">
        <f aca="false">IF(AH$36&gt;=Допущения!$E$30,AH38*Допущения!$E$33*Допущения!$E$31*Допущения!$E$32/12,0)</f>
        <v>2457084.64491102</v>
      </c>
      <c r="AI39" s="10" t="n">
        <f aca="false">IF(AI$36&gt;=Допущения!$E$30,AI38*Допущения!$E$33*Допущения!$E$31*Допущения!$E$32/12,0)</f>
        <v>2544410.80299166</v>
      </c>
      <c r="AJ39" s="10" t="n">
        <f aca="false">IF(AJ$36&gt;=Допущения!$E$30,AJ38*Допущения!$E$33*Допущения!$E$31*Допущения!$E$32/12,0)</f>
        <v>2632010.32450155</v>
      </c>
      <c r="AK39" s="10" t="n">
        <f aca="false">IF(AK$36&gt;=Допущения!$E$30,AK38*Допущения!$E$33*Допущения!$E$31*Допущения!$E$32/12,0)</f>
        <v>2719875.74044102</v>
      </c>
      <c r="AL39" s="10" t="n">
        <f aca="false">IF(AL$36&gt;=Допущения!$E$30,AL38*Допущения!$E$33*Допущения!$E$31*Допущения!$E$32/12,0)</f>
        <v>2808000</v>
      </c>
      <c r="AM39" s="10" t="n">
        <f aca="false">SUM(C39:N39)</f>
        <v>3559650.86350693</v>
      </c>
      <c r="AN39" s="10" t="n">
        <f aca="false">SUM(O39:Z39)</f>
        <v>15753725.629336</v>
      </c>
      <c r="AO39" s="10" t="n">
        <f aca="false">SUM(AA39:AL39)</f>
        <v>27940606.4249205</v>
      </c>
      <c r="AP39" s="10" t="n">
        <f aca="false">SUM(C39:AL39)</f>
        <v>47253982.9177634</v>
      </c>
    </row>
    <row r="40" customFormat="false" ht="15" hidden="false" customHeight="false" outlineLevel="0" collapsed="false">
      <c r="A40" s="0" t="s">
        <v>302</v>
      </c>
      <c r="B40" s="0" t="s">
        <v>303</v>
      </c>
      <c r="C40" s="10" t="n">
        <f aca="false">IF(C$36&gt;=Допущения!$E$30,C38*Допущения!$E$36*Допущения!$E$35,0)</f>
        <v>0</v>
      </c>
      <c r="D40" s="10" t="n">
        <f aca="false">IF(D$36&gt;=Допущения!$E$30,D38*Допущения!$E$36*Допущения!$E$35,0)</f>
        <v>0</v>
      </c>
      <c r="E40" s="10" t="n">
        <f aca="false">IF(E$36&gt;=Допущения!$E$30,E38*Допущения!$E$36*Допущения!$E$35,0)</f>
        <v>0</v>
      </c>
      <c r="F40" s="10" t="n">
        <f aca="false">IF(F$36&gt;=Допущения!$E$30,F38*Допущения!$E$36*Допущения!$E$35,0)</f>
        <v>0</v>
      </c>
      <c r="G40" s="10" t="n">
        <f aca="false">IF(G$36&gt;=Допущения!$E$30,G38*Допущения!$E$36*Допущения!$E$35,0)</f>
        <v>0</v>
      </c>
      <c r="H40" s="10" t="n">
        <f aca="false">IF(H$36&gt;=Допущения!$E$30,H38*Допущения!$E$36*Допущения!$E$35,0)</f>
        <v>0</v>
      </c>
      <c r="I40" s="10" t="n">
        <f aca="false">IF(I$36&gt;=Допущения!$E$30,I38*Допущения!$E$36*Допущения!$E$35,0)</f>
        <v>126753.544239136</v>
      </c>
      <c r="J40" s="10" t="n">
        <f aca="false">IF(J$36&gt;=Допущения!$E$30,J38*Допущения!$E$36*Допущения!$E$35,0)</f>
        <v>150176.362332666</v>
      </c>
      <c r="K40" s="10" t="n">
        <f aca="false">IF(K$36&gt;=Допущения!$E$30,K38*Допущения!$E$36*Допущения!$E$35,0)</f>
        <v>173937.299090153</v>
      </c>
      <c r="L40" s="10" t="n">
        <f aca="false">IF(L$36&gt;=Допущения!$E$30,L38*Допущения!$E$36*Допущения!$E$35,0)</f>
        <v>197997.860174824</v>
      </c>
      <c r="M40" s="10" t="n">
        <f aca="false">IF(M$36&gt;=Допущения!$E$30,M38*Допущения!$E$36*Допущения!$E$35,0)</f>
        <v>222327.782498422</v>
      </c>
      <c r="N40" s="10" t="n">
        <f aca="false">IF(N$36&gt;=Допущения!$E$30,N38*Допущения!$E$36*Допущения!$E$35,0)</f>
        <v>246902.615202232</v>
      </c>
      <c r="O40" s="10" t="n">
        <f aca="false">IF(O$36&gt;=Допущения!$E$30,O38*Допущения!$E$36*Допущения!$E$35,0)</f>
        <v>271702.169995853</v>
      </c>
      <c r="P40" s="10" t="n">
        <f aca="false">IF(P$36&gt;=Допущения!$E$30,P38*Допущения!$E$36*Допущения!$E$35,0)</f>
        <v>296709.480986162</v>
      </c>
      <c r="Q40" s="10" t="n">
        <f aca="false">IF(Q$36&gt;=Допущения!$E$30,Q38*Допущения!$E$36*Допущения!$E$35,0)</f>
        <v>321910.079696774</v>
      </c>
      <c r="R40" s="10" t="n">
        <f aca="false">IF(R$36&gt;=Допущения!$E$30,R38*Допущения!$E$36*Допущения!$E$35,0)</f>
        <v>347291.47383091</v>
      </c>
      <c r="S40" s="10" t="n">
        <f aca="false">IF(S$36&gt;=Допущения!$E$30,S38*Допущения!$E$36*Допущения!$E$35,0)</f>
        <v>372842.762620129</v>
      </c>
      <c r="T40" s="10" t="n">
        <f aca="false">IF(T$36&gt;=Допущения!$E$30,T38*Допущения!$E$36*Допущения!$E$35,0)</f>
        <v>398554.346592602</v>
      </c>
      <c r="U40" s="10" t="n">
        <f aca="false">IF(U$36&gt;=Допущения!$E$30,U38*Допущения!$E$36*Допущения!$E$35,0)</f>
        <v>424417.704348695</v>
      </c>
      <c r="V40" s="10" t="n">
        <f aca="false">IF(V$36&gt;=Допущения!$E$30,V38*Допущения!$E$36*Допущения!$E$35,0)</f>
        <v>450425.217983122</v>
      </c>
      <c r="W40" s="10" t="n">
        <f aca="false">IF(W$36&gt;=Допущения!$E$30,W38*Допущения!$E$36*Допущения!$E$35,0)</f>
        <v>476570.034532699</v>
      </c>
      <c r="X40" s="10" t="n">
        <f aca="false">IF(X$36&gt;=Допущения!$E$30,X38*Допущения!$E$36*Допущения!$E$35,0)</f>
        <v>502845.954574804</v>
      </c>
      <c r="Y40" s="10" t="n">
        <f aca="false">IF(Y$36&gt;=Допущения!$E$30,Y38*Допущения!$E$36*Допущения!$E$35,0)</f>
        <v>529247.341609124</v>
      </c>
      <c r="Z40" s="10" t="n">
        <f aca="false">IF(Z$36&gt;=Допущения!$E$30,Z38*Допущения!$E$36*Допущения!$E$35,0)</f>
        <v>555769.04757183</v>
      </c>
      <c r="AA40" s="10" t="n">
        <f aca="false">IF(AA$36&gt;=Допущения!$E$30,AA38*Допущения!$E$36*Допущения!$E$35,0)</f>
        <v>582406.35103016</v>
      </c>
      <c r="AB40" s="10" t="n">
        <f aca="false">IF(AB$36&gt;=Допущения!$E$30,AB38*Допущения!$E$36*Допущения!$E$35,0)</f>
        <v>609154.905457822</v>
      </c>
      <c r="AC40" s="10" t="n">
        <f aca="false">IF(AC$36&gt;=Допущения!$E$30,AC38*Допущения!$E$36*Допущения!$E$35,0)</f>
        <v>636010.69560777</v>
      </c>
      <c r="AD40" s="10" t="n">
        <f aca="false">IF(AD$36&gt;=Допущения!$E$30,AD38*Допущения!$E$36*Допущения!$E$35,0)</f>
        <v>662970.000450737</v>
      </c>
      <c r="AE40" s="10" t="n">
        <f aca="false">IF(AE$36&gt;=Допущения!$E$30,AE38*Допущения!$E$36*Допущения!$E$35,0)</f>
        <v>690029.36148389</v>
      </c>
      <c r="AF40" s="10" t="n">
        <f aca="false">IF(AF$36&gt;=Допущения!$E$30,AF38*Допущения!$E$36*Допущения!$E$35,0)</f>
        <v>717185.555466774</v>
      </c>
      <c r="AG40" s="10" t="n">
        <f aca="false">IF(AG$36&gt;=Допущения!$E$30,AG38*Допущения!$E$36*Допущения!$E$35,0)</f>
        <v>744435.570834174</v>
      </c>
      <c r="AH40" s="10" t="n">
        <f aca="false">IF(AH$36&gt;=Допущения!$E$30,AH38*Допущения!$E$36*Допущения!$E$35,0)</f>
        <v>771776.587183588</v>
      </c>
      <c r="AI40" s="10" t="n">
        <f aca="false">IF(AI$36&gt;=Допущения!$E$30,AI38*Допущения!$E$36*Допущения!$E$35,0)</f>
        <v>799205.957349946</v>
      </c>
      <c r="AJ40" s="10" t="n">
        <f aca="false">IF(AJ$36&gt;=Допущения!$E$30,AJ38*Допущения!$E$36*Допущения!$E$35,0)</f>
        <v>826721.19167036</v>
      </c>
      <c r="AK40" s="10" t="n">
        <f aca="false">IF(AK$36&gt;=Допущения!$E$30,AK38*Допущения!$E$36*Допущения!$E$35,0)</f>
        <v>854319.944112885</v>
      </c>
      <c r="AL40" s="10" t="n">
        <f aca="false">IF(AL$36&gt;=Допущения!$E$30,AL38*Допущения!$E$36*Допущения!$E$35,0)</f>
        <v>882000</v>
      </c>
      <c r="AM40" s="10" t="n">
        <f aca="false">SUM(C40:N40)</f>
        <v>1118095.46353743</v>
      </c>
      <c r="AN40" s="10" t="n">
        <f aca="false">SUM(O40:Z40)</f>
        <v>4948285.6143427</v>
      </c>
      <c r="AO40" s="10" t="n">
        <f aca="false">SUM(AA40:AL40)</f>
        <v>8776216.12064811</v>
      </c>
      <c r="AP40" s="10" t="n">
        <f aca="false">SUM(C40:AL40)</f>
        <v>14842597.1985282</v>
      </c>
    </row>
    <row r="41" customFormat="false" ht="15" hidden="false" customHeight="false" outlineLevel="0" collapsed="false">
      <c r="A41" s="0" t="s">
        <v>267</v>
      </c>
      <c r="B41" s="0" t="s">
        <v>304</v>
      </c>
      <c r="C41" s="10" t="n">
        <f aca="false">C39+C40</f>
        <v>0</v>
      </c>
      <c r="D41" s="10" t="n">
        <f aca="false">D39+D40</f>
        <v>0</v>
      </c>
      <c r="E41" s="10" t="n">
        <f aca="false">E39+E40</f>
        <v>0</v>
      </c>
      <c r="F41" s="10" t="n">
        <f aca="false">F39+F40</f>
        <v>0</v>
      </c>
      <c r="G41" s="10" t="n">
        <f aca="false">G39+G40</f>
        <v>0</v>
      </c>
      <c r="H41" s="10" t="n">
        <f aca="false">H39+H40</f>
        <v>0</v>
      </c>
      <c r="I41" s="10" t="n">
        <f aca="false">I39+I40</f>
        <v>530295.440184142</v>
      </c>
      <c r="J41" s="10" t="n">
        <f aca="false">J39+J40</f>
        <v>628288.862820339</v>
      </c>
      <c r="K41" s="10" t="n">
        <f aca="false">K39+K40</f>
        <v>727696.863540437</v>
      </c>
      <c r="L41" s="10" t="n">
        <f aca="false">L39+L40</f>
        <v>828358.394608957</v>
      </c>
      <c r="M41" s="10" t="n">
        <f aca="false">M39+M40</f>
        <v>930146.845146458</v>
      </c>
      <c r="N41" s="10" t="n">
        <f aca="false">N39+N40</f>
        <v>1032959.92074403</v>
      </c>
      <c r="O41" s="10" t="n">
        <f aca="false">O39+O40</f>
        <v>1136713.16018673</v>
      </c>
      <c r="P41" s="10" t="n">
        <f aca="false">P39+P40</f>
        <v>1241335.58371761</v>
      </c>
      <c r="Q41" s="10" t="n">
        <f aca="false">Q39+Q40</f>
        <v>1346766.65995589</v>
      </c>
      <c r="R41" s="10" t="n">
        <f aca="false">R39+R40</f>
        <v>1452954.12521095</v>
      </c>
      <c r="S41" s="10" t="n">
        <f aca="false">S39+S40</f>
        <v>1559852.37422707</v>
      </c>
      <c r="T41" s="10" t="n">
        <f aca="false">T39+T40</f>
        <v>1667421.24594864</v>
      </c>
      <c r="U41" s="10" t="n">
        <f aca="false">U39+U40</f>
        <v>1775625.08962209</v>
      </c>
      <c r="V41" s="10" t="n">
        <f aca="false">V39+V40</f>
        <v>1884432.03441918</v>
      </c>
      <c r="W41" s="10" t="n">
        <f aca="false">W39+W40</f>
        <v>1993813.40977966</v>
      </c>
      <c r="X41" s="10" t="n">
        <f aca="false">X39+X40</f>
        <v>2103743.27934357</v>
      </c>
      <c r="Y41" s="10" t="n">
        <f aca="false">Y39+Y40</f>
        <v>2214198.06183409</v>
      </c>
      <c r="Z41" s="10" t="n">
        <f aca="false">Z39+Z40</f>
        <v>2325156.21943317</v>
      </c>
      <c r="AA41" s="10" t="n">
        <f aca="false">AA39+AA40</f>
        <v>2436597.99920781</v>
      </c>
      <c r="AB41" s="10" t="n">
        <f aca="false">AB39+AB40</f>
        <v>2548505.2167113</v>
      </c>
      <c r="AC41" s="10" t="n">
        <f aca="false">AC39+AC40</f>
        <v>2660861.07346108</v>
      </c>
      <c r="AD41" s="10" t="n">
        <f aca="false">AD39+AD40</f>
        <v>2773650.00188574</v>
      </c>
      <c r="AE41" s="10" t="n">
        <f aca="false">AE39+AE40</f>
        <v>2886857.53273873</v>
      </c>
      <c r="AF41" s="10" t="n">
        <f aca="false">AF39+AF40</f>
        <v>3000470.18103446</v>
      </c>
      <c r="AG41" s="10" t="n">
        <f aca="false">AG39+AG40</f>
        <v>3114475.34736746</v>
      </c>
      <c r="AH41" s="10" t="n">
        <f aca="false">AH39+AH40</f>
        <v>3228861.2320946</v>
      </c>
      <c r="AI41" s="10" t="n">
        <f aca="false">AI39+AI40</f>
        <v>3343616.76034161</v>
      </c>
      <c r="AJ41" s="10" t="n">
        <f aca="false">AJ39+AJ40</f>
        <v>3458731.51617191</v>
      </c>
      <c r="AK41" s="10" t="n">
        <f aca="false">AK39+AK40</f>
        <v>3574195.68455391</v>
      </c>
      <c r="AL41" s="10" t="n">
        <f aca="false">AL39+AL40</f>
        <v>3690000</v>
      </c>
      <c r="AM41" s="10" t="n">
        <f aca="false">SUM(C41:N41)</f>
        <v>4677746.32704436</v>
      </c>
      <c r="AN41" s="10" t="n">
        <f aca="false">SUM(O41:Z41)</f>
        <v>20702011.2436787</v>
      </c>
      <c r="AO41" s="10" t="n">
        <f aca="false">SUM(AA41:AL41)</f>
        <v>36716822.5455686</v>
      </c>
      <c r="AP41" s="10" t="n">
        <f aca="false">SUM(C41:AL41)</f>
        <v>62096580.1162916</v>
      </c>
    </row>
    <row r="42" customFormat="false" ht="15" hidden="false" customHeight="false" outlineLevel="0" collapsed="false">
      <c r="A42" s="0" t="s">
        <v>275</v>
      </c>
      <c r="B42" s="0" t="s">
        <v>305</v>
      </c>
      <c r="C42" s="10" t="n">
        <f aca="false">C37+C41*(1-Допущения!$E$37-Допущения!$E$14)-C39*Допущения!$E$38</f>
        <v>0</v>
      </c>
      <c r="D42" s="10" t="n">
        <f aca="false">D37+D41*(1-Допущения!$E$37-Допущения!$E$14)-D39*Допущения!$E$38</f>
        <v>30124.3263107384</v>
      </c>
      <c r="E42" s="10" t="n">
        <f aca="false">E37+E41*(1-Допущения!$E$37-Допущения!$E$14)-E39*Допущения!$E$38</f>
        <v>64572.9070332665</v>
      </c>
      <c r="F42" s="10" t="n">
        <f aca="false">F37+F41*(1-Допущения!$E$37-Допущения!$E$14)-F39*Допущения!$E$38</f>
        <v>100867.376092723</v>
      </c>
      <c r="G42" s="10" t="n">
        <f aca="false">G37+G41*(1-Допущения!$E$37-Допущения!$E$14)-G39*Допущения!$E$38</f>
        <v>138415.056314156</v>
      </c>
      <c r="H42" s="10" t="n">
        <f aca="false">H37+H41*(1-Допущения!$E$37-Допущения!$E$14)-H39*Допущения!$E$38</f>
        <v>176923.021661791</v>
      </c>
      <c r="I42" s="10" t="n">
        <f aca="false">I37+I41*(1-Допущения!$E$37-Допущения!$E$14)-I39*Допущения!$E$38</f>
        <v>611736.748030308</v>
      </c>
      <c r="J42" s="10" t="n">
        <f aca="false">J37+J41*(1-Допущения!$E$37-Допущения!$E$14)-J39*Допущения!$E$38</f>
        <v>753012.885757386</v>
      </c>
      <c r="K42" s="10" t="n">
        <f aca="false">K37+K41*(1-Допущения!$E$37-Допущения!$E$14)-K39*Допущения!$E$38</f>
        <v>872154.748552141</v>
      </c>
      <c r="L42" s="10" t="n">
        <f aca="false">L37+L41*(1-Допущения!$E$37-Допущения!$E$14)-L39*Допущения!$E$38</f>
        <v>992798.984794695</v>
      </c>
      <c r="M42" s="10" t="n">
        <f aca="false">M37+M41*(1-Допущения!$E$37-Допущения!$E$14)-M39*Допущения!$E$38</f>
        <v>1114793.84959613</v>
      </c>
      <c r="N42" s="10" t="n">
        <f aca="false">N37+N41*(1-Допущения!$E$37-Допущения!$E$14)-N39*Допущения!$E$38</f>
        <v>1238016.74169355</v>
      </c>
      <c r="O42" s="10" t="n">
        <f aca="false">O37+O41*(1-Допущения!$E$37-Допущения!$E$14)-O39*Допущения!$E$38</f>
        <v>1362366.43315349</v>
      </c>
      <c r="P42" s="10" t="n">
        <f aca="false">P37+P41*(1-Допущения!$E$37-Допущения!$E$14)-P39*Допущения!$E$38</f>
        <v>1487757.85375623</v>
      </c>
      <c r="Q42" s="10" t="n">
        <f aca="false">Q37+Q41*(1-Допущения!$E$37-Допущения!$E$14)-Q39*Допущения!$E$38</f>
        <v>1614118.45580528</v>
      </c>
      <c r="R42" s="10" t="n">
        <f aca="false">R37+R41*(1-Допущения!$E$37-Допущения!$E$14)-R39*Допущения!$E$38</f>
        <v>1741385.6005451</v>
      </c>
      <c r="S42" s="10" t="n">
        <f aca="false">S37+S41*(1-Допущения!$E$37-Допущения!$E$14)-S39*Допущения!$E$38</f>
        <v>1869504.6294464</v>
      </c>
      <c r="T42" s="10" t="n">
        <f aca="false">T37+T41*(1-Допущения!$E$37-Допущения!$E$14)-T39*Допущения!$E$38</f>
        <v>1998427.40892894</v>
      </c>
      <c r="U42" s="10" t="n">
        <f aca="false">U37+U41*(1-Допущения!$E$37-Допущения!$E$14)-U39*Допущения!$E$38</f>
        <v>2128111.21107185</v>
      </c>
      <c r="V42" s="10" t="n">
        <f aca="false">V37+V41*(1-Допущения!$E$37-Допущения!$E$14)-V39*Допущения!$E$38</f>
        <v>2258517.83824699</v>
      </c>
      <c r="W42" s="10" t="n">
        <f aca="false">W37+W41*(1-Допущения!$E$37-Допущения!$E$14)-W39*Допущения!$E$38</f>
        <v>2389612.92839163</v>
      </c>
      <c r="X42" s="10" t="n">
        <f aca="false">X37+X41*(1-Допущения!$E$37-Допущения!$E$14)-X39*Допущения!$E$38</f>
        <v>2521365.39641989</v>
      </c>
      <c r="Y42" s="10" t="n">
        <f aca="false">Y37+Y41*(1-Допущения!$E$37-Допущения!$E$14)-Y39*Допущения!$E$38</f>
        <v>2653746.9798456</v>
      </c>
      <c r="Z42" s="10" t="n">
        <f aca="false">Z37+Z41*(1-Допущения!$E$37-Допущения!$E$14)-Z39*Допущения!$E$38</f>
        <v>2786731.86529612</v>
      </c>
      <c r="AA42" s="10" t="n">
        <f aca="false">AA37+AA41*(1-Допущения!$E$37-Допущения!$E$14)-AA39*Допущения!$E$38</f>
        <v>2920296.37860827</v>
      </c>
      <c r="AB42" s="10" t="n">
        <f aca="false">AB37+AB41*(1-Допущения!$E$37-Допущения!$E$14)-AB39*Допущения!$E$38</f>
        <v>3054418.72547132</v>
      </c>
      <c r="AC42" s="10" t="n">
        <f aca="false">AC37+AC41*(1-Допущения!$E$37-Допущения!$E$14)-AC39*Допущения!$E$38</f>
        <v>3189078.77267176</v>
      </c>
      <c r="AD42" s="10" t="n">
        <f aca="false">AD37+AD41*(1-Допущения!$E$37-Допущения!$E$14)-AD39*Допущения!$E$38</f>
        <v>3324257.86226008</v>
      </c>
      <c r="AE42" s="10" t="n">
        <f aca="false">AE37+AE41*(1-Допущения!$E$37-Допущения!$E$14)-AE39*Допущения!$E$38</f>
        <v>3459938.65264432</v>
      </c>
      <c r="AF42" s="10" t="n">
        <f aca="false">AF37+AF41*(1-Допущения!$E$37-Допущения!$E$14)-AF39*Допущения!$E$38</f>
        <v>3596104.98188288</v>
      </c>
      <c r="AG42" s="10" t="n">
        <f aca="false">AG37+AG41*(1-Допущения!$E$37-Допущения!$E$14)-AG39*Допущения!$E$38</f>
        <v>3732741.74941414</v>
      </c>
      <c r="AH42" s="10" t="n">
        <f aca="false">AH37+AH41*(1-Допущения!$E$37-Допущения!$E$14)-AH39*Допущения!$E$38</f>
        <v>3869834.81320274</v>
      </c>
      <c r="AI42" s="10" t="n">
        <f aca="false">AI37+AI41*(1-Допущения!$E$37-Допущения!$E$14)-AI39*Допущения!$E$38</f>
        <v>4007370.89985879</v>
      </c>
      <c r="AJ42" s="10" t="n">
        <f aca="false">AJ37+AJ41*(1-Допущения!$E$37-Допущения!$E$14)-AJ39*Допущения!$E$38</f>
        <v>4145337.52573836</v>
      </c>
      <c r="AK42" s="10" t="n">
        <f aca="false">AK37+AK41*(1-Допущения!$E$37-Допущения!$E$14)-AK39*Допущения!$E$38</f>
        <v>4283722.92739041</v>
      </c>
      <c r="AL42" s="10" t="n">
        <f aca="false">AL37+AL41*(1-Допущения!$E$37-Допущения!$E$14)-AL39*Допущения!$E$38</f>
        <v>4422516</v>
      </c>
      <c r="AM42" s="10" t="n">
        <f aca="false">SUM(C42:N42)</f>
        <v>6093416.64583689</v>
      </c>
      <c r="AN42" s="10" t="n">
        <f aca="false">SUM(O42:Z42)</f>
        <v>24811646.6009075</v>
      </c>
      <c r="AO42" s="10" t="n">
        <f aca="false">SUM(AA42:AL42)</f>
        <v>44005619.2891431</v>
      </c>
      <c r="AP42" s="10" t="n">
        <f aca="false">SUM(C42:AL42)</f>
        <v>74910682.5358875</v>
      </c>
    </row>
    <row r="43" customFormat="false" ht="15" hidden="false" customHeight="false" outlineLevel="0" collapsed="false">
      <c r="A43" s="0" t="s">
        <v>277</v>
      </c>
      <c r="B43" s="0" t="s">
        <v>278</v>
      </c>
      <c r="C43" s="10" t="n">
        <f aca="false">A_дропшиппинг!C55</f>
        <v>0</v>
      </c>
      <c r="D43" s="10" t="n">
        <f aca="false">A_дропшиппинг!D55</f>
        <v>48054.7578237103</v>
      </c>
      <c r="E43" s="10" t="n">
        <f aca="false">A_дропшиппинг!E55</f>
        <v>54952.8705444117</v>
      </c>
      <c r="F43" s="10" t="n">
        <f aca="false">A_дропшиппинг!F55</f>
        <v>57897.4581207684</v>
      </c>
      <c r="G43" s="10" t="n">
        <f aca="false">A_дропшиппинг!G55</f>
        <v>59896.5985586172</v>
      </c>
      <c r="H43" s="10" t="n">
        <f aca="false">A_дропшиппинг!H55</f>
        <v>61428.4591786789</v>
      </c>
      <c r="I43" s="10" t="n">
        <f aca="false">A_дропшиппинг!I55</f>
        <v>62677.4591456132</v>
      </c>
      <c r="J43" s="10" t="n">
        <f aca="false">A_дропшиппинг!J55</f>
        <v>63735.5594381769</v>
      </c>
      <c r="K43" s="10" t="n">
        <f aca="false">A_дропшиппинг!K55</f>
        <v>64655.6102244543</v>
      </c>
      <c r="L43" s="10" t="n">
        <f aca="false">A_дропшиппинг!L55</f>
        <v>65470.9145161101</v>
      </c>
      <c r="M43" s="10" t="n">
        <f aca="false">A_дропшиппинг!M55</f>
        <v>66203.8702682938</v>
      </c>
      <c r="N43" s="10" t="n">
        <f aca="false">A_дропшиппинг!N55</f>
        <v>66870.2930715914</v>
      </c>
      <c r="O43" s="10" t="n">
        <f aca="false">A_дропшиппинг!O55</f>
        <v>67481.7817513504</v>
      </c>
      <c r="P43" s="10" t="n">
        <f aca="false">A_дропшиппинг!P55</f>
        <v>68047.1047355338</v>
      </c>
      <c r="Q43" s="10" t="n">
        <f aca="false">A_дропшиппинг!Q55</f>
        <v>68573.0577159514</v>
      </c>
      <c r="R43" s="10" t="n">
        <f aca="false">A_дропшиппинг!R55</f>
        <v>69065.0180520723</v>
      </c>
      <c r="S43" s="10" t="n">
        <f aca="false">A_дропшиппинг!S55</f>
        <v>69527.3164332482</v>
      </c>
      <c r="T43" s="10" t="n">
        <f aca="false">A_дропшиппинг!T55</f>
        <v>69963.4938026473</v>
      </c>
      <c r="U43" s="10" t="n">
        <f aca="false">A_дропшиппинг!U55</f>
        <v>70376.4836900507</v>
      </c>
      <c r="V43" s="10" t="n">
        <f aca="false">A_дропшиппинг!V55</f>
        <v>70768.7445834735</v>
      </c>
      <c r="W43" s="10" t="n">
        <f aca="false">A_дропшиппинг!W55</f>
        <v>71142.3579580324</v>
      </c>
      <c r="X43" s="10" t="n">
        <f aca="false">A_дропшиппинг!X55</f>
        <v>71499.102155388</v>
      </c>
      <c r="Y43" s="10" t="n">
        <f aca="false">A_дропшиппинг!Y55</f>
        <v>71840.5089369245</v>
      </c>
      <c r="Z43" s="10" t="n">
        <f aca="false">A_дропшиппинг!Z55</f>
        <v>72167.9073815141</v>
      </c>
      <c r="AA43" s="10" t="n">
        <f aca="false">A_дропшиппинг!AA55</f>
        <v>72482.458390012</v>
      </c>
      <c r="AB43" s="10" t="n">
        <f aca="false">A_дропшиппинг!AB55</f>
        <v>72785.1821160878</v>
      </c>
      <c r="AC43" s="10" t="n">
        <f aca="false">A_дропшиппинг!AC55</f>
        <v>73076.979999858</v>
      </c>
      <c r="AD43" s="10" t="n">
        <f aca="false">A_дропшиппинг!AD55</f>
        <v>73358.6526339242</v>
      </c>
      <c r="AE43" s="10" t="n">
        <f aca="false">A_дропшиппинг!AE55</f>
        <v>73630.9143759284</v>
      </c>
      <c r="AF43" s="10" t="n">
        <f aca="false">A_дропшиппинг!AF55</f>
        <v>73894.4053956016</v>
      </c>
      <c r="AG43" s="10" t="n">
        <f aca="false">A_дропшиппинг!AG55</f>
        <v>74149.7016800006</v>
      </c>
      <c r="AH43" s="10" t="n">
        <f aca="false">A_дропшиппинг!AH55</f>
        <v>74397.3233997656</v>
      </c>
      <c r="AI43" s="10" t="n">
        <f aca="false">A_дропшиппинг!AI55</f>
        <v>74637.7419492722</v>
      </c>
      <c r="AJ43" s="10" t="n">
        <f aca="false">A_дропшиппинг!AJ55</f>
        <v>74871.3859058882</v>
      </c>
      <c r="AK43" s="10" t="n">
        <f aca="false">A_дропшиппинг!AK55</f>
        <v>75098.6461021114</v>
      </c>
      <c r="AL43" s="10" t="n">
        <f aca="false">A_дропшиппинг!AL55</f>
        <v>75319.8799649376</v>
      </c>
      <c r="AM43" s="10" t="n">
        <f aca="false">SUM(C43:N43)</f>
        <v>671843.850890426</v>
      </c>
      <c r="AN43" s="10" t="n">
        <f aca="false">SUM(O43:Z43)</f>
        <v>840452.877196186</v>
      </c>
      <c r="AO43" s="10" t="n">
        <f aca="false">SUM(AA43:AL43)</f>
        <v>887703.271913388</v>
      </c>
      <c r="AP43" s="10" t="n">
        <f aca="false">SUM(C43:AL43)</f>
        <v>2400000</v>
      </c>
    </row>
    <row r="44" customFormat="false" ht="15" hidden="false" customHeight="false" outlineLevel="0" collapsed="false">
      <c r="A44" s="0" t="s">
        <v>279</v>
      </c>
      <c r="B44" s="0" t="s">
        <v>280</v>
      </c>
      <c r="C44" s="10" t="n">
        <f aca="false">Допущения!$E$16+IF(C$36&gt;=Допущения!$E$30-1,Допущения!$E$39,0)</f>
        <v>360000</v>
      </c>
      <c r="D44" s="10" t="n">
        <f aca="false">Допущения!$E$16+IF(D$36&gt;=Допущения!$E$30-1,Допущения!$E$39,0)</f>
        <v>360000</v>
      </c>
      <c r="E44" s="10" t="n">
        <f aca="false">Допущения!$E$16+IF(E$36&gt;=Допущения!$E$30-1,Допущения!$E$39,0)</f>
        <v>360000</v>
      </c>
      <c r="F44" s="10" t="n">
        <f aca="false">Допущения!$E$16+IF(F$36&gt;=Допущения!$E$30-1,Допущения!$E$39,0)</f>
        <v>360000</v>
      </c>
      <c r="G44" s="10" t="n">
        <f aca="false">Допущения!$E$16+IF(G$36&gt;=Допущения!$E$30-1,Допущения!$E$39,0)</f>
        <v>360000</v>
      </c>
      <c r="H44" s="10" t="n">
        <f aca="false">Допущения!$E$16+IF(H$36&gt;=Допущения!$E$30-1,Допущения!$E$39,0)</f>
        <v>440000</v>
      </c>
      <c r="I44" s="10" t="n">
        <f aca="false">Допущения!$E$16+IF(I$36&gt;=Допущения!$E$30-1,Допущения!$E$39,0)</f>
        <v>440000</v>
      </c>
      <c r="J44" s="10" t="n">
        <f aca="false">Допущения!$E$16+IF(J$36&gt;=Допущения!$E$30-1,Допущения!$E$39,0)</f>
        <v>440000</v>
      </c>
      <c r="K44" s="10" t="n">
        <f aca="false">Допущения!$E$16+IF(K$36&gt;=Допущения!$E$30-1,Допущения!$E$39,0)</f>
        <v>440000</v>
      </c>
      <c r="L44" s="10" t="n">
        <f aca="false">Допущения!$E$16+IF(L$36&gt;=Допущения!$E$30-1,Допущения!$E$39,0)</f>
        <v>440000</v>
      </c>
      <c r="M44" s="10" t="n">
        <f aca="false">Допущения!$E$16+IF(M$36&gt;=Допущения!$E$30-1,Допущения!$E$39,0)</f>
        <v>440000</v>
      </c>
      <c r="N44" s="10" t="n">
        <f aca="false">Допущения!$E$16+IF(N$36&gt;=Допущения!$E$30-1,Допущения!$E$39,0)</f>
        <v>440000</v>
      </c>
      <c r="O44" s="10" t="n">
        <f aca="false">Допущения!$E$16+IF(O$36&gt;=Допущения!$E$30-1,Допущения!$E$39,0)</f>
        <v>440000</v>
      </c>
      <c r="P44" s="10" t="n">
        <f aca="false">Допущения!$E$16+IF(P$36&gt;=Допущения!$E$30-1,Допущения!$E$39,0)</f>
        <v>440000</v>
      </c>
      <c r="Q44" s="10" t="n">
        <f aca="false">Допущения!$E$16+IF(Q$36&gt;=Допущения!$E$30-1,Допущения!$E$39,0)</f>
        <v>440000</v>
      </c>
      <c r="R44" s="10" t="n">
        <f aca="false">Допущения!$E$16+IF(R$36&gt;=Допущения!$E$30-1,Допущения!$E$39,0)</f>
        <v>440000</v>
      </c>
      <c r="S44" s="10" t="n">
        <f aca="false">Допущения!$E$16+IF(S$36&gt;=Допущения!$E$30-1,Допущения!$E$39,0)</f>
        <v>440000</v>
      </c>
      <c r="T44" s="10" t="n">
        <f aca="false">Допущения!$E$16+IF(T$36&gt;=Допущения!$E$30-1,Допущения!$E$39,0)</f>
        <v>440000</v>
      </c>
      <c r="U44" s="10" t="n">
        <f aca="false">Допущения!$E$16+IF(U$36&gt;=Допущения!$E$30-1,Допущения!$E$39,0)</f>
        <v>440000</v>
      </c>
      <c r="V44" s="10" t="n">
        <f aca="false">Допущения!$E$16+IF(V$36&gt;=Допущения!$E$30-1,Допущения!$E$39,0)</f>
        <v>440000</v>
      </c>
      <c r="W44" s="10" t="n">
        <f aca="false">Допущения!$E$16+IF(W$36&gt;=Допущения!$E$30-1,Допущения!$E$39,0)</f>
        <v>440000</v>
      </c>
      <c r="X44" s="10" t="n">
        <f aca="false">Допущения!$E$16+IF(X$36&gt;=Допущения!$E$30-1,Допущения!$E$39,0)</f>
        <v>440000</v>
      </c>
      <c r="Y44" s="10" t="n">
        <f aca="false">Допущения!$E$16+IF(Y$36&gt;=Допущения!$E$30-1,Допущения!$E$39,0)</f>
        <v>440000</v>
      </c>
      <c r="Z44" s="10" t="n">
        <f aca="false">Допущения!$E$16+IF(Z$36&gt;=Допущения!$E$30-1,Допущения!$E$39,0)</f>
        <v>440000</v>
      </c>
      <c r="AA44" s="10" t="n">
        <f aca="false">Допущения!$E$16+IF(AA$36&gt;=Допущения!$E$30-1,Допущения!$E$39,0)</f>
        <v>440000</v>
      </c>
      <c r="AB44" s="10" t="n">
        <f aca="false">Допущения!$E$16+IF(AB$36&gt;=Допущения!$E$30-1,Допущения!$E$39,0)</f>
        <v>440000</v>
      </c>
      <c r="AC44" s="10" t="n">
        <f aca="false">Допущения!$E$16+IF(AC$36&gt;=Допущения!$E$30-1,Допущения!$E$39,0)</f>
        <v>440000</v>
      </c>
      <c r="AD44" s="10" t="n">
        <f aca="false">Допущения!$E$16+IF(AD$36&gt;=Допущения!$E$30-1,Допущения!$E$39,0)</f>
        <v>440000</v>
      </c>
      <c r="AE44" s="10" t="n">
        <f aca="false">Допущения!$E$16+IF(AE$36&gt;=Допущения!$E$30-1,Допущения!$E$39,0)</f>
        <v>440000</v>
      </c>
      <c r="AF44" s="10" t="n">
        <f aca="false">Допущения!$E$16+IF(AF$36&gt;=Допущения!$E$30-1,Допущения!$E$39,0)</f>
        <v>440000</v>
      </c>
      <c r="AG44" s="10" t="n">
        <f aca="false">Допущения!$E$16+IF(AG$36&gt;=Допущения!$E$30-1,Допущения!$E$39,0)</f>
        <v>440000</v>
      </c>
      <c r="AH44" s="10" t="n">
        <f aca="false">Допущения!$E$16+IF(AH$36&gt;=Допущения!$E$30-1,Допущения!$E$39,0)</f>
        <v>440000</v>
      </c>
      <c r="AI44" s="10" t="n">
        <f aca="false">Допущения!$E$16+IF(AI$36&gt;=Допущения!$E$30-1,Допущения!$E$39,0)</f>
        <v>440000</v>
      </c>
      <c r="AJ44" s="10" t="n">
        <f aca="false">Допущения!$E$16+IF(AJ$36&gt;=Допущения!$E$30-1,Допущения!$E$39,0)</f>
        <v>440000</v>
      </c>
      <c r="AK44" s="10" t="n">
        <f aca="false">Допущения!$E$16+IF(AK$36&gt;=Допущения!$E$30-1,Допущения!$E$39,0)</f>
        <v>440000</v>
      </c>
      <c r="AL44" s="10" t="n">
        <f aca="false">Допущения!$E$16+IF(AL$36&gt;=Допущения!$E$30-1,Допущения!$E$39,0)</f>
        <v>440000</v>
      </c>
      <c r="AM44" s="10" t="n">
        <f aca="false">SUM(C44:N44)</f>
        <v>4880000</v>
      </c>
      <c r="AN44" s="10" t="n">
        <f aca="false">SUM(O44:Z44)</f>
        <v>5280000</v>
      </c>
      <c r="AO44" s="10" t="n">
        <f aca="false">SUM(AA44:AL44)</f>
        <v>5280000</v>
      </c>
      <c r="AP44" s="10" t="n">
        <f aca="false">SUM(C44:AL44)</f>
        <v>15440000</v>
      </c>
    </row>
    <row r="45" customFormat="false" ht="15" hidden="false" customHeight="false" outlineLevel="0" collapsed="false">
      <c r="A45" s="1" t="s">
        <v>281</v>
      </c>
      <c r="B45" s="1" t="s">
        <v>282</v>
      </c>
      <c r="C45" s="11" t="n">
        <f aca="false">C42-C44-C43</f>
        <v>-360000</v>
      </c>
      <c r="D45" s="11" t="n">
        <f aca="false">D42-D44-D43</f>
        <v>-377930.431512972</v>
      </c>
      <c r="E45" s="11" t="n">
        <f aca="false">E42-E44-E43</f>
        <v>-350379.963511145</v>
      </c>
      <c r="F45" s="11" t="n">
        <f aca="false">F42-F44-F43</f>
        <v>-317030.082028045</v>
      </c>
      <c r="G45" s="11" t="n">
        <f aca="false">G42-G44-G43</f>
        <v>-281481.542244461</v>
      </c>
      <c r="H45" s="11" t="n">
        <f aca="false">H42-H44-H43</f>
        <v>-324505.437516888</v>
      </c>
      <c r="I45" s="11" t="n">
        <f aca="false">I42-I44-I43</f>
        <v>109059.288884695</v>
      </c>
      <c r="J45" s="11" t="n">
        <f aca="false">J42-J44-J43</f>
        <v>249277.326319209</v>
      </c>
      <c r="K45" s="11" t="n">
        <f aca="false">K42-K44-K43</f>
        <v>367499.138327687</v>
      </c>
      <c r="L45" s="11" t="n">
        <f aca="false">L42-L44-L43</f>
        <v>487328.070278585</v>
      </c>
      <c r="M45" s="11" t="n">
        <f aca="false">M42-M44-M43</f>
        <v>608589.97932784</v>
      </c>
      <c r="N45" s="11" t="n">
        <f aca="false">N42-N44-N43</f>
        <v>731146.44862196</v>
      </c>
      <c r="O45" s="11" t="n">
        <f aca="false">O42-O44-O43</f>
        <v>854884.651402141</v>
      </c>
      <c r="P45" s="11" t="n">
        <f aca="false">P42-P44-P43</f>
        <v>979710.749020697</v>
      </c>
      <c r="Q45" s="11" t="n">
        <f aca="false">Q42-Q44-Q43</f>
        <v>1105545.39808933</v>
      </c>
      <c r="R45" s="11" t="n">
        <f aca="false">R42-R44-R43</f>
        <v>1232320.58249303</v>
      </c>
      <c r="S45" s="11" t="n">
        <f aca="false">S42-S44-S43</f>
        <v>1359977.31301315</v>
      </c>
      <c r="T45" s="11" t="n">
        <f aca="false">T42-T44-T43</f>
        <v>1488463.9151263</v>
      </c>
      <c r="U45" s="11" t="n">
        <f aca="false">U42-U44-U43</f>
        <v>1617734.7273818</v>
      </c>
      <c r="V45" s="11" t="n">
        <f aca="false">V42-V44-V43</f>
        <v>1747749.09366352</v>
      </c>
      <c r="W45" s="11" t="n">
        <f aca="false">W42-W44-W43</f>
        <v>1878470.57043359</v>
      </c>
      <c r="X45" s="11" t="n">
        <f aca="false">X42-X44-X43</f>
        <v>2009866.2942645</v>
      </c>
      <c r="Y45" s="11" t="n">
        <f aca="false">Y42-Y44-Y43</f>
        <v>2141906.47090867</v>
      </c>
      <c r="Z45" s="11" t="n">
        <f aca="false">Z42-Z44-Z43</f>
        <v>2274563.95791461</v>
      </c>
      <c r="AA45" s="11" t="n">
        <f aca="false">AA42-AA44-AA43</f>
        <v>2407813.92021826</v>
      </c>
      <c r="AB45" s="11" t="n">
        <f aca="false">AB42-AB44-AB43</f>
        <v>2541633.54335523</v>
      </c>
      <c r="AC45" s="11" t="n">
        <f aca="false">AC42-AC44-AC43</f>
        <v>2676001.7926719</v>
      </c>
      <c r="AD45" s="11" t="n">
        <f aca="false">AD42-AD44-AD43</f>
        <v>2810899.20962616</v>
      </c>
      <c r="AE45" s="11" t="n">
        <f aca="false">AE42-AE44-AE43</f>
        <v>2946307.73826839</v>
      </c>
      <c r="AF45" s="11" t="n">
        <f aca="false">AF42-AF44-AF43</f>
        <v>3082210.57648727</v>
      </c>
      <c r="AG45" s="11" t="n">
        <f aca="false">AG42-AG44-AG43</f>
        <v>3218592.04773414</v>
      </c>
      <c r="AH45" s="11" t="n">
        <f aca="false">AH42-AH44-AH43</f>
        <v>3355437.48980297</v>
      </c>
      <c r="AI45" s="11" t="n">
        <f aca="false">AI42-AI44-AI43</f>
        <v>3492733.15790952</v>
      </c>
      <c r="AJ45" s="11" t="n">
        <f aca="false">AJ42-AJ44-AJ43</f>
        <v>3630466.13983247</v>
      </c>
      <c r="AK45" s="11" t="n">
        <f aca="false">AK42-AK44-AK43</f>
        <v>3768624.2812883</v>
      </c>
      <c r="AL45" s="11" t="n">
        <f aca="false">AL42-AL44-AL43</f>
        <v>3907196.12003506</v>
      </c>
      <c r="AM45" s="11" t="n">
        <f aca="false">SUM(C45:N45)</f>
        <v>541572.794946465</v>
      </c>
      <c r="AN45" s="11" t="n">
        <f aca="false">SUM(O45:Z45)</f>
        <v>18691193.7237113</v>
      </c>
      <c r="AO45" s="11" t="n">
        <f aca="false">SUM(AA45:AL45)</f>
        <v>37837916.0172297</v>
      </c>
      <c r="AP45" s="11" t="n">
        <f aca="false">SUM(C45:AL45)</f>
        <v>57070682.5358875</v>
      </c>
    </row>
    <row r="46" customFormat="false" ht="15" hidden="false" customHeight="false" outlineLevel="0" collapsed="false">
      <c r="A46" s="0" t="s">
        <v>283</v>
      </c>
      <c r="B46" s="0" t="s">
        <v>284</v>
      </c>
      <c r="C46" s="10" t="n">
        <f aca="false">IF(C$36=1,Допущения!$E$18,0)+IF(AND(C$36&gt;=Допущения!$E$30-3,C$36&lt;Допущения!$E$30),Допущения!$E$40/3,0)</f>
        <v>300000</v>
      </c>
      <c r="D46" s="10" t="n">
        <f aca="false">IF(D$36=1,Допущения!$E$18,0)+IF(AND(D$36&gt;=Допущения!$E$30-3,D$36&lt;Допущения!$E$30),Допущения!$E$40/3,0)</f>
        <v>0</v>
      </c>
      <c r="E46" s="10" t="n">
        <f aca="false">IF(E$36=1,Допущения!$E$18,0)+IF(AND(E$36&gt;=Допущения!$E$30-3,E$36&lt;Допущения!$E$30),Допущения!$E$40/3,0)</f>
        <v>0</v>
      </c>
      <c r="F46" s="10" t="n">
        <f aca="false">IF(F$36=1,Допущения!$E$18,0)+IF(AND(F$36&gt;=Допущения!$E$30-3,F$36&lt;Допущения!$E$30),Допущения!$E$40/3,0)</f>
        <v>200000</v>
      </c>
      <c r="G46" s="10" t="n">
        <f aca="false">IF(G$36=1,Допущения!$E$18,0)+IF(AND(G$36&gt;=Допущения!$E$30-3,G$36&lt;Допущения!$E$30),Допущения!$E$40/3,0)</f>
        <v>200000</v>
      </c>
      <c r="H46" s="10" t="n">
        <f aca="false">IF(H$36=1,Допущения!$E$18,0)+IF(AND(H$36&gt;=Допущения!$E$30-3,H$36&lt;Допущения!$E$30),Допущения!$E$40/3,0)</f>
        <v>200000</v>
      </c>
      <c r="I46" s="10" t="n">
        <f aca="false">IF(I$36=1,Допущения!$E$18,0)+IF(AND(I$36&gt;=Допущения!$E$30-3,I$36&lt;Допущения!$E$30),Допущения!$E$40/3,0)</f>
        <v>0</v>
      </c>
      <c r="J46" s="10" t="n">
        <f aca="false">IF(J$36=1,Допущения!$E$18,0)+IF(AND(J$36&gt;=Допущения!$E$30-3,J$36&lt;Допущения!$E$30),Допущения!$E$40/3,0)</f>
        <v>0</v>
      </c>
      <c r="K46" s="10" t="n">
        <f aca="false">IF(K$36=1,Допущения!$E$18,0)+IF(AND(K$36&gt;=Допущения!$E$30-3,K$36&lt;Допущения!$E$30),Допущения!$E$40/3,0)</f>
        <v>0</v>
      </c>
      <c r="L46" s="10" t="n">
        <f aca="false">IF(L$36=1,Допущения!$E$18,0)+IF(AND(L$36&gt;=Допущения!$E$30-3,L$36&lt;Допущения!$E$30),Допущения!$E$40/3,0)</f>
        <v>0</v>
      </c>
      <c r="M46" s="10" t="n">
        <f aca="false">IF(M$36=1,Допущения!$E$18,0)+IF(AND(M$36&gt;=Допущения!$E$30-3,M$36&lt;Допущения!$E$30),Допущения!$E$40/3,0)</f>
        <v>0</v>
      </c>
      <c r="N46" s="10" t="n">
        <f aca="false">IF(N$36=1,Допущения!$E$18,0)+IF(AND(N$36&gt;=Допущения!$E$30-3,N$36&lt;Допущения!$E$30),Допущения!$E$40/3,0)</f>
        <v>0</v>
      </c>
      <c r="O46" s="10" t="n">
        <f aca="false">IF(O$36=1,Допущения!$E$18,0)+IF(AND(O$36&gt;=Допущения!$E$30-3,O$36&lt;Допущения!$E$30),Допущения!$E$40/3,0)</f>
        <v>0</v>
      </c>
      <c r="P46" s="10" t="n">
        <f aca="false">IF(P$36=1,Допущения!$E$18,0)+IF(AND(P$36&gt;=Допущения!$E$30-3,P$36&lt;Допущения!$E$30),Допущения!$E$40/3,0)</f>
        <v>0</v>
      </c>
      <c r="Q46" s="10" t="n">
        <f aca="false">IF(Q$36=1,Допущения!$E$18,0)+IF(AND(Q$36&gt;=Допущения!$E$30-3,Q$36&lt;Допущения!$E$30),Допущения!$E$40/3,0)</f>
        <v>0</v>
      </c>
      <c r="R46" s="10" t="n">
        <f aca="false">IF(R$36=1,Допущения!$E$18,0)+IF(AND(R$36&gt;=Допущения!$E$30-3,R$36&lt;Допущения!$E$30),Допущения!$E$40/3,0)</f>
        <v>0</v>
      </c>
      <c r="S46" s="10" t="n">
        <f aca="false">IF(S$36=1,Допущения!$E$18,0)+IF(AND(S$36&gt;=Допущения!$E$30-3,S$36&lt;Допущения!$E$30),Допущения!$E$40/3,0)</f>
        <v>0</v>
      </c>
      <c r="T46" s="10" t="n">
        <f aca="false">IF(T$36=1,Допущения!$E$18,0)+IF(AND(T$36&gt;=Допущения!$E$30-3,T$36&lt;Допущения!$E$30),Допущения!$E$40/3,0)</f>
        <v>0</v>
      </c>
      <c r="U46" s="10" t="n">
        <f aca="false">IF(U$36=1,Допущения!$E$18,0)+IF(AND(U$36&gt;=Допущения!$E$30-3,U$36&lt;Допущения!$E$30),Допущения!$E$40/3,0)</f>
        <v>0</v>
      </c>
      <c r="V46" s="10" t="n">
        <f aca="false">IF(V$36=1,Допущения!$E$18,0)+IF(AND(V$36&gt;=Допущения!$E$30-3,V$36&lt;Допущения!$E$30),Допущения!$E$40/3,0)</f>
        <v>0</v>
      </c>
      <c r="W46" s="10" t="n">
        <f aca="false">IF(W$36=1,Допущения!$E$18,0)+IF(AND(W$36&gt;=Допущения!$E$30-3,W$36&lt;Допущения!$E$30),Допущения!$E$40/3,0)</f>
        <v>0</v>
      </c>
      <c r="X46" s="10" t="n">
        <f aca="false">IF(X$36=1,Допущения!$E$18,0)+IF(AND(X$36&gt;=Допущения!$E$30-3,X$36&lt;Допущения!$E$30),Допущения!$E$40/3,0)</f>
        <v>0</v>
      </c>
      <c r="Y46" s="10" t="n">
        <f aca="false">IF(Y$36=1,Допущения!$E$18,0)+IF(AND(Y$36&gt;=Допущения!$E$30-3,Y$36&lt;Допущения!$E$30),Допущения!$E$40/3,0)</f>
        <v>0</v>
      </c>
      <c r="Z46" s="10" t="n">
        <f aca="false">IF(Z$36=1,Допущения!$E$18,0)+IF(AND(Z$36&gt;=Допущения!$E$30-3,Z$36&lt;Допущения!$E$30),Допущения!$E$40/3,0)</f>
        <v>0</v>
      </c>
      <c r="AA46" s="10" t="n">
        <f aca="false">IF(AA$36=1,Допущения!$E$18,0)+IF(AND(AA$36&gt;=Допущения!$E$30-3,AA$36&lt;Допущения!$E$30),Допущения!$E$40/3,0)</f>
        <v>0</v>
      </c>
      <c r="AB46" s="10" t="n">
        <f aca="false">IF(AB$36=1,Допущения!$E$18,0)+IF(AND(AB$36&gt;=Допущения!$E$30-3,AB$36&lt;Допущения!$E$30),Допущения!$E$40/3,0)</f>
        <v>0</v>
      </c>
      <c r="AC46" s="10" t="n">
        <f aca="false">IF(AC$36=1,Допущения!$E$18,0)+IF(AND(AC$36&gt;=Допущения!$E$30-3,AC$36&lt;Допущения!$E$30),Допущения!$E$40/3,0)</f>
        <v>0</v>
      </c>
      <c r="AD46" s="10" t="n">
        <f aca="false">IF(AD$36=1,Допущения!$E$18,0)+IF(AND(AD$36&gt;=Допущения!$E$30-3,AD$36&lt;Допущения!$E$30),Допущения!$E$40/3,0)</f>
        <v>0</v>
      </c>
      <c r="AE46" s="10" t="n">
        <f aca="false">IF(AE$36=1,Допущения!$E$18,0)+IF(AND(AE$36&gt;=Допущения!$E$30-3,AE$36&lt;Допущения!$E$30),Допущения!$E$40/3,0)</f>
        <v>0</v>
      </c>
      <c r="AF46" s="10" t="n">
        <f aca="false">IF(AF$36=1,Допущения!$E$18,0)+IF(AND(AF$36&gt;=Допущения!$E$30-3,AF$36&lt;Допущения!$E$30),Допущения!$E$40/3,0)</f>
        <v>0</v>
      </c>
      <c r="AG46" s="10" t="n">
        <f aca="false">IF(AG$36=1,Допущения!$E$18,0)+IF(AND(AG$36&gt;=Допущения!$E$30-3,AG$36&lt;Допущения!$E$30),Допущения!$E$40/3,0)</f>
        <v>0</v>
      </c>
      <c r="AH46" s="10" t="n">
        <f aca="false">IF(AH$36=1,Допущения!$E$18,0)+IF(AND(AH$36&gt;=Допущения!$E$30-3,AH$36&lt;Допущения!$E$30),Допущения!$E$40/3,0)</f>
        <v>0</v>
      </c>
      <c r="AI46" s="10" t="n">
        <f aca="false">IF(AI$36=1,Допущения!$E$18,0)+IF(AND(AI$36&gt;=Допущения!$E$30-3,AI$36&lt;Допущения!$E$30),Допущения!$E$40/3,0)</f>
        <v>0</v>
      </c>
      <c r="AJ46" s="10" t="n">
        <f aca="false">IF(AJ$36=1,Допущения!$E$18,0)+IF(AND(AJ$36&gt;=Допущения!$E$30-3,AJ$36&lt;Допущения!$E$30),Допущения!$E$40/3,0)</f>
        <v>0</v>
      </c>
      <c r="AK46" s="10" t="n">
        <f aca="false">IF(AK$36=1,Допущения!$E$18,0)+IF(AND(AK$36&gt;=Допущения!$E$30-3,AK$36&lt;Допущения!$E$30),Допущения!$E$40/3,0)</f>
        <v>0</v>
      </c>
      <c r="AL46" s="10" t="n">
        <f aca="false">IF(AL$36=1,Допущения!$E$18,0)+IF(AND(AL$36&gt;=Допущения!$E$30-3,AL$36&lt;Допущения!$E$30),Допущения!$E$40/3,0)</f>
        <v>0</v>
      </c>
      <c r="AM46" s="10" t="n">
        <f aca="false">SUM(C46:N46)</f>
        <v>900000</v>
      </c>
      <c r="AN46" s="10" t="n">
        <f aca="false">SUM(O46:Z46)</f>
        <v>0</v>
      </c>
      <c r="AO46" s="10" t="n">
        <f aca="false">SUM(AA46:AL46)</f>
        <v>0</v>
      </c>
      <c r="AP46" s="10" t="n">
        <f aca="false">SUM(C46:AL46)</f>
        <v>900000</v>
      </c>
    </row>
    <row r="47" customFormat="false" ht="15" hidden="false" customHeight="false" outlineLevel="0" collapsed="false">
      <c r="A47" s="1" t="s">
        <v>285</v>
      </c>
      <c r="B47" s="1" t="s">
        <v>286</v>
      </c>
      <c r="C47" s="11" t="n">
        <f aca="false">C45-C46</f>
        <v>-660000</v>
      </c>
      <c r="D47" s="11" t="n">
        <f aca="false">D45-D46</f>
        <v>-377930.431512972</v>
      </c>
      <c r="E47" s="11" t="n">
        <f aca="false">E45-E46</f>
        <v>-350379.963511145</v>
      </c>
      <c r="F47" s="11" t="n">
        <f aca="false">F45-F46</f>
        <v>-517030.082028045</v>
      </c>
      <c r="G47" s="11" t="n">
        <f aca="false">G45-G46</f>
        <v>-481481.542244461</v>
      </c>
      <c r="H47" s="11" t="n">
        <f aca="false">H45-H46</f>
        <v>-524505.437516888</v>
      </c>
      <c r="I47" s="11" t="n">
        <f aca="false">I45-I46</f>
        <v>109059.288884695</v>
      </c>
      <c r="J47" s="11" t="n">
        <f aca="false">J45-J46</f>
        <v>249277.326319209</v>
      </c>
      <c r="K47" s="11" t="n">
        <f aca="false">K45-K46</f>
        <v>367499.138327687</v>
      </c>
      <c r="L47" s="11" t="n">
        <f aca="false">L45-L46</f>
        <v>487328.070278585</v>
      </c>
      <c r="M47" s="11" t="n">
        <f aca="false">M45-M46</f>
        <v>608589.97932784</v>
      </c>
      <c r="N47" s="11" t="n">
        <f aca="false">N45-N46</f>
        <v>731146.44862196</v>
      </c>
      <c r="O47" s="11" t="n">
        <f aca="false">O45-O46</f>
        <v>854884.651402141</v>
      </c>
      <c r="P47" s="11" t="n">
        <f aca="false">P45-P46</f>
        <v>979710.749020697</v>
      </c>
      <c r="Q47" s="11" t="n">
        <f aca="false">Q45-Q46</f>
        <v>1105545.39808933</v>
      </c>
      <c r="R47" s="11" t="n">
        <f aca="false">R45-R46</f>
        <v>1232320.58249303</v>
      </c>
      <c r="S47" s="11" t="n">
        <f aca="false">S45-S46</f>
        <v>1359977.31301315</v>
      </c>
      <c r="T47" s="11" t="n">
        <f aca="false">T45-T46</f>
        <v>1488463.9151263</v>
      </c>
      <c r="U47" s="11" t="n">
        <f aca="false">U45-U46</f>
        <v>1617734.7273818</v>
      </c>
      <c r="V47" s="11" t="n">
        <f aca="false">V45-V46</f>
        <v>1747749.09366352</v>
      </c>
      <c r="W47" s="11" t="n">
        <f aca="false">W45-W46</f>
        <v>1878470.57043359</v>
      </c>
      <c r="X47" s="11" t="n">
        <f aca="false">X45-X46</f>
        <v>2009866.2942645</v>
      </c>
      <c r="Y47" s="11" t="n">
        <f aca="false">Y45-Y46</f>
        <v>2141906.47090867</v>
      </c>
      <c r="Z47" s="11" t="n">
        <f aca="false">Z45-Z46</f>
        <v>2274563.95791461</v>
      </c>
      <c r="AA47" s="11" t="n">
        <f aca="false">AA45-AA46</f>
        <v>2407813.92021826</v>
      </c>
      <c r="AB47" s="11" t="n">
        <f aca="false">AB45-AB46</f>
        <v>2541633.54335523</v>
      </c>
      <c r="AC47" s="11" t="n">
        <f aca="false">AC45-AC46</f>
        <v>2676001.7926719</v>
      </c>
      <c r="AD47" s="11" t="n">
        <f aca="false">AD45-AD46</f>
        <v>2810899.20962616</v>
      </c>
      <c r="AE47" s="11" t="n">
        <f aca="false">AE45-AE46</f>
        <v>2946307.73826839</v>
      </c>
      <c r="AF47" s="11" t="n">
        <f aca="false">AF45-AF46</f>
        <v>3082210.57648727</v>
      </c>
      <c r="AG47" s="11" t="n">
        <f aca="false">AG45-AG46</f>
        <v>3218592.04773414</v>
      </c>
      <c r="AH47" s="11" t="n">
        <f aca="false">AH45-AH46</f>
        <v>3355437.48980297</v>
      </c>
      <c r="AI47" s="11" t="n">
        <f aca="false">AI45-AI46</f>
        <v>3492733.15790952</v>
      </c>
      <c r="AJ47" s="11" t="n">
        <f aca="false">AJ45-AJ46</f>
        <v>3630466.13983247</v>
      </c>
      <c r="AK47" s="11" t="n">
        <f aca="false">AK45-AK46</f>
        <v>3768624.2812883</v>
      </c>
      <c r="AL47" s="11" t="n">
        <f aca="false">AL45-AL46</f>
        <v>3907196.12003506</v>
      </c>
      <c r="AM47" s="11" t="n">
        <f aca="false">SUM(C47:N47)</f>
        <v>-358427.205053535</v>
      </c>
      <c r="AN47" s="11" t="n">
        <f aca="false">SUM(O47:Z47)</f>
        <v>18691193.7237113</v>
      </c>
      <c r="AO47" s="11" t="n">
        <f aca="false">SUM(AA47:AL47)</f>
        <v>37837916.0172297</v>
      </c>
      <c r="AP47" s="11" t="n">
        <f aca="false">SUM(C47:AL47)</f>
        <v>56170682.5358875</v>
      </c>
    </row>
    <row r="48" customFormat="false" ht="15" hidden="false" customHeight="false" outlineLevel="0" collapsed="false">
      <c r="A48" s="1" t="s">
        <v>287</v>
      </c>
      <c r="B48" s="1" t="s">
        <v>288</v>
      </c>
      <c r="C48" s="11" t="n">
        <f aca="false">0+C47</f>
        <v>-660000</v>
      </c>
      <c r="D48" s="11" t="n">
        <f aca="false">C48+D47</f>
        <v>-1037930.43151297</v>
      </c>
      <c r="E48" s="11" t="n">
        <f aca="false">D48+E47</f>
        <v>-1388310.39502412</v>
      </c>
      <c r="F48" s="11" t="n">
        <f aca="false">E48+F47</f>
        <v>-1905340.47705216</v>
      </c>
      <c r="G48" s="11" t="n">
        <f aca="false">F48+G47</f>
        <v>-2386822.01929662</v>
      </c>
      <c r="H48" s="11" t="n">
        <f aca="false">G48+H47</f>
        <v>-2911327.45681351</v>
      </c>
      <c r="I48" s="11" t="n">
        <f aca="false">H48+I47</f>
        <v>-2802268.16792882</v>
      </c>
      <c r="J48" s="11" t="n">
        <f aca="false">I48+J47</f>
        <v>-2552990.84160961</v>
      </c>
      <c r="K48" s="11" t="n">
        <f aca="false">J48+K47</f>
        <v>-2185491.70328192</v>
      </c>
      <c r="L48" s="11" t="n">
        <f aca="false">K48+L47</f>
        <v>-1698163.63300334</v>
      </c>
      <c r="M48" s="11" t="n">
        <f aca="false">L48+M47</f>
        <v>-1089573.65367549</v>
      </c>
      <c r="N48" s="11" t="n">
        <f aca="false">M48+N47</f>
        <v>-358427.205053535</v>
      </c>
      <c r="O48" s="11" t="n">
        <f aca="false">N48+O47</f>
        <v>496457.446348606</v>
      </c>
      <c r="P48" s="11" t="n">
        <f aca="false">O48+P47</f>
        <v>1476168.1953693</v>
      </c>
      <c r="Q48" s="11" t="n">
        <f aca="false">P48+Q47</f>
        <v>2581713.59345863</v>
      </c>
      <c r="R48" s="11" t="n">
        <f aca="false">Q48+R47</f>
        <v>3814034.17595166</v>
      </c>
      <c r="S48" s="11" t="n">
        <f aca="false">R48+S47</f>
        <v>5174011.48896481</v>
      </c>
      <c r="T48" s="11" t="n">
        <f aca="false">S48+T47</f>
        <v>6662475.40409111</v>
      </c>
      <c r="U48" s="11" t="n">
        <f aca="false">T48+U47</f>
        <v>8280210.13147291</v>
      </c>
      <c r="V48" s="11" t="n">
        <f aca="false">U48+V47</f>
        <v>10027959.2251364</v>
      </c>
      <c r="W48" s="11" t="n">
        <f aca="false">V48+W47</f>
        <v>11906429.79557</v>
      </c>
      <c r="X48" s="11" t="n">
        <f aca="false">W48+X47</f>
        <v>13916296.0898345</v>
      </c>
      <c r="Y48" s="11" t="n">
        <f aca="false">X48+Y47</f>
        <v>16058202.5607432</v>
      </c>
      <c r="Z48" s="11" t="n">
        <f aca="false">Y48+Z47</f>
        <v>18332766.5186578</v>
      </c>
      <c r="AA48" s="11" t="n">
        <f aca="false">Z48+AA47</f>
        <v>20740580.4388761</v>
      </c>
      <c r="AB48" s="11" t="n">
        <f aca="false">AA48+AB47</f>
        <v>23282213.9822313</v>
      </c>
      <c r="AC48" s="11" t="n">
        <f aca="false">AB48+AC47</f>
        <v>25958215.7749032</v>
      </c>
      <c r="AD48" s="11" t="n">
        <f aca="false">AC48+AD47</f>
        <v>28769114.9845294</v>
      </c>
      <c r="AE48" s="11" t="n">
        <f aca="false">AD48+AE47</f>
        <v>31715422.7227977</v>
      </c>
      <c r="AF48" s="11" t="n">
        <f aca="false">AE48+AF47</f>
        <v>34797633.299285</v>
      </c>
      <c r="AG48" s="11" t="n">
        <f aca="false">AF48+AG47</f>
        <v>38016225.3470191</v>
      </c>
      <c r="AH48" s="11" t="n">
        <f aca="false">AG48+AH47</f>
        <v>41371662.8368221</v>
      </c>
      <c r="AI48" s="11" t="n">
        <f aca="false">AH48+AI47</f>
        <v>44864395.9947316</v>
      </c>
      <c r="AJ48" s="11" t="n">
        <f aca="false">AI48+AJ47</f>
        <v>48494862.1345641</v>
      </c>
      <c r="AK48" s="11" t="n">
        <f aca="false">AJ48+AK47</f>
        <v>52263486.4158524</v>
      </c>
      <c r="AL48" s="11" t="n">
        <f aca="false">AK48+AL47</f>
        <v>56170682.5358875</v>
      </c>
      <c r="AM48" s="11" t="n">
        <f aca="false">N48</f>
        <v>-358427.205053535</v>
      </c>
      <c r="AN48" s="11" t="n">
        <f aca="false">Z48</f>
        <v>18332766.5186578</v>
      </c>
      <c r="AO48" s="11" t="n">
        <f aca="false">AL48</f>
        <v>56170682.5358875</v>
      </c>
      <c r="AP48" s="1"/>
    </row>
    <row r="49" customFormat="false" ht="15" hidden="false" customHeight="false" outlineLevel="0" collapsed="false">
      <c r="A49" s="0" t="s">
        <v>289</v>
      </c>
      <c r="B49" s="0" t="s">
        <v>290</v>
      </c>
      <c r="C49" s="0" t="n">
        <f aca="false">IF(AND(C45&gt;0,COUNTIF(C45:AL45,"&lt;=0")=0),C$36,99)</f>
        <v>99</v>
      </c>
      <c r="D49" s="0" t="n">
        <f aca="false">IF(AND(D45&gt;0,COUNTIF(D45:AL45,"&lt;=0")=0),D$36,99)</f>
        <v>99</v>
      </c>
      <c r="E49" s="0" t="n">
        <f aca="false">IF(AND(E45&gt;0,COUNTIF(E45:AL45,"&lt;=0")=0),E$36,99)</f>
        <v>99</v>
      </c>
      <c r="F49" s="0" t="n">
        <f aca="false">IF(AND(F45&gt;0,COUNTIF(F45:AL45,"&lt;=0")=0),F$36,99)</f>
        <v>99</v>
      </c>
      <c r="G49" s="0" t="n">
        <f aca="false">IF(AND(G45&gt;0,COUNTIF(G45:AL45,"&lt;=0")=0),G$36,99)</f>
        <v>99</v>
      </c>
      <c r="H49" s="0" t="n">
        <f aca="false">IF(AND(H45&gt;0,COUNTIF(H45:AL45,"&lt;=0")=0),H$36,99)</f>
        <v>99</v>
      </c>
      <c r="I49" s="0" t="n">
        <f aca="false">IF(AND(I45&gt;0,COUNTIF(I45:AL45,"&lt;=0")=0),I$36,99)</f>
        <v>7</v>
      </c>
      <c r="J49" s="0" t="n">
        <f aca="false">IF(AND(J45&gt;0,COUNTIF(J45:AL45,"&lt;=0")=0),J$36,99)</f>
        <v>8</v>
      </c>
      <c r="K49" s="0" t="n">
        <f aca="false">IF(AND(K45&gt;0,COUNTIF(K45:AL45,"&lt;=0")=0),K$36,99)</f>
        <v>9</v>
      </c>
      <c r="L49" s="0" t="n">
        <f aca="false">IF(AND(L45&gt;0,COUNTIF(L45:AL45,"&lt;=0")=0),L$36,99)</f>
        <v>10</v>
      </c>
      <c r="M49" s="0" t="n">
        <f aca="false">IF(AND(M45&gt;0,COUNTIF(M45:AL45,"&lt;=0")=0),M$36,99)</f>
        <v>11</v>
      </c>
      <c r="N49" s="0" t="n">
        <f aca="false">IF(AND(N45&gt;0,COUNTIF(N45:AL45,"&lt;=0")=0),N$36,99)</f>
        <v>12</v>
      </c>
      <c r="O49" s="0" t="n">
        <f aca="false">IF(AND(O45&gt;0,COUNTIF(O45:AL45,"&lt;=0")=0),O$36,99)</f>
        <v>13</v>
      </c>
      <c r="P49" s="0" t="n">
        <f aca="false">IF(AND(P45&gt;0,COUNTIF(P45:AL45,"&lt;=0")=0),P$36,99)</f>
        <v>14</v>
      </c>
      <c r="Q49" s="0" t="n">
        <f aca="false">IF(AND(Q45&gt;0,COUNTIF(Q45:AL45,"&lt;=0")=0),Q$36,99)</f>
        <v>15</v>
      </c>
      <c r="R49" s="0" t="n">
        <f aca="false">IF(AND(R45&gt;0,COUNTIF(R45:AL45,"&lt;=0")=0),R$36,99)</f>
        <v>16</v>
      </c>
      <c r="S49" s="0" t="n">
        <f aca="false">IF(AND(S45&gt;0,COUNTIF(S45:AL45,"&lt;=0")=0),S$36,99)</f>
        <v>17</v>
      </c>
      <c r="T49" s="0" t="n">
        <f aca="false">IF(AND(T45&gt;0,COUNTIF(T45:AL45,"&lt;=0")=0),T$36,99)</f>
        <v>18</v>
      </c>
      <c r="U49" s="0" t="n">
        <f aca="false">IF(AND(U45&gt;0,COUNTIF(U45:AL45,"&lt;=0")=0),U$36,99)</f>
        <v>19</v>
      </c>
      <c r="V49" s="0" t="n">
        <f aca="false">IF(AND(V45&gt;0,COUNTIF(V45:AL45,"&lt;=0")=0),V$36,99)</f>
        <v>20</v>
      </c>
      <c r="W49" s="0" t="n">
        <f aca="false">IF(AND(W45&gt;0,COUNTIF(W45:AL45,"&lt;=0")=0),W$36,99)</f>
        <v>21</v>
      </c>
      <c r="X49" s="0" t="n">
        <f aca="false">IF(AND(X45&gt;0,COUNTIF(X45:AL45,"&lt;=0")=0),X$36,99)</f>
        <v>22</v>
      </c>
      <c r="Y49" s="0" t="n">
        <f aca="false">IF(AND(Y45&gt;0,COUNTIF(Y45:AL45,"&lt;=0")=0),Y$36,99)</f>
        <v>23</v>
      </c>
      <c r="Z49" s="0" t="n">
        <f aca="false">IF(AND(Z45&gt;0,COUNTIF(Z45:AL45,"&lt;=0")=0),Z$36,99)</f>
        <v>24</v>
      </c>
      <c r="AA49" s="0" t="n">
        <f aca="false">IF(AND(AA45&gt;0,COUNTIF(AA45:AL45,"&lt;=0")=0),AA$36,99)</f>
        <v>25</v>
      </c>
      <c r="AB49" s="0" t="n">
        <f aca="false">IF(AND(AB45&gt;0,COUNTIF(AB45:AL45,"&lt;=0")=0),AB$36,99)</f>
        <v>26</v>
      </c>
      <c r="AC49" s="0" t="n">
        <f aca="false">IF(AND(AC45&gt;0,COUNTIF(AC45:AL45,"&lt;=0")=0),AC$36,99)</f>
        <v>27</v>
      </c>
      <c r="AD49" s="0" t="n">
        <f aca="false">IF(AND(AD45&gt;0,COUNTIF(AD45:AL45,"&lt;=0")=0),AD$36,99)</f>
        <v>28</v>
      </c>
      <c r="AE49" s="0" t="n">
        <f aca="false">IF(AND(AE45&gt;0,COUNTIF(AE45:AL45,"&lt;=0")=0),AE$36,99)</f>
        <v>29</v>
      </c>
      <c r="AF49" s="0" t="n">
        <f aca="false">IF(AND(AF45&gt;0,COUNTIF(AF45:AL45,"&lt;=0")=0),AF$36,99)</f>
        <v>30</v>
      </c>
      <c r="AG49" s="0" t="n">
        <f aca="false">IF(AND(AG45&gt;0,COUNTIF(AG45:AL45,"&lt;=0")=0),AG$36,99)</f>
        <v>31</v>
      </c>
      <c r="AH49" s="0" t="n">
        <f aca="false">IF(AND(AH45&gt;0,COUNTIF(AH45:AL45,"&lt;=0")=0),AH$36,99)</f>
        <v>32</v>
      </c>
      <c r="AI49" s="0" t="n">
        <f aca="false">IF(AND(AI45&gt;0,COUNTIF(AI45:AL45,"&lt;=0")=0),AI$36,99)</f>
        <v>33</v>
      </c>
      <c r="AJ49" s="0" t="n">
        <f aca="false">IF(AND(AJ45&gt;0,COUNTIF(AJ45:AL45,"&lt;=0")=0),AJ$36,99)</f>
        <v>34</v>
      </c>
      <c r="AK49" s="0" t="n">
        <f aca="false">IF(AND(AK45&gt;0,COUNTIF(AK45:AL45,"&lt;=0")=0),AK$36,99)</f>
        <v>35</v>
      </c>
      <c r="AL49" s="0" t="n">
        <f aca="false">IF(AND(AL45&gt;0,COUNTIF(AL45:AL45,"&lt;=0")=0),AL$36,99)</f>
        <v>36</v>
      </c>
    </row>
    <row r="50" customFormat="false" ht="15" hidden="false" customHeight="false" outlineLevel="0" collapsed="false">
      <c r="A50" s="0" t="s">
        <v>291</v>
      </c>
      <c r="B50" s="0" t="s">
        <v>292</v>
      </c>
      <c r="C50" s="0" t="n">
        <f aca="false">IF(AND(C48&gt;=0,COUNTIF(C48:AL48,"&lt;0")=0),C$36,99)</f>
        <v>99</v>
      </c>
      <c r="D50" s="0" t="n">
        <f aca="false">IF(AND(D48&gt;=0,COUNTIF(D48:AL48,"&lt;0")=0),D$36,99)</f>
        <v>99</v>
      </c>
      <c r="E50" s="0" t="n">
        <f aca="false">IF(AND(E48&gt;=0,COUNTIF(E48:AL48,"&lt;0")=0),E$36,99)</f>
        <v>99</v>
      </c>
      <c r="F50" s="0" t="n">
        <f aca="false">IF(AND(F48&gt;=0,COUNTIF(F48:AL48,"&lt;0")=0),F$36,99)</f>
        <v>99</v>
      </c>
      <c r="G50" s="0" t="n">
        <f aca="false">IF(AND(G48&gt;=0,COUNTIF(G48:AL48,"&lt;0")=0),G$36,99)</f>
        <v>99</v>
      </c>
      <c r="H50" s="0" t="n">
        <f aca="false">IF(AND(H48&gt;=0,COUNTIF(H48:AL48,"&lt;0")=0),H$36,99)</f>
        <v>99</v>
      </c>
      <c r="I50" s="0" t="n">
        <f aca="false">IF(AND(I48&gt;=0,COUNTIF(I48:AL48,"&lt;0")=0),I$36,99)</f>
        <v>99</v>
      </c>
      <c r="J50" s="0" t="n">
        <f aca="false">IF(AND(J48&gt;=0,COUNTIF(J48:AL48,"&lt;0")=0),J$36,99)</f>
        <v>99</v>
      </c>
      <c r="K50" s="0" t="n">
        <f aca="false">IF(AND(K48&gt;=0,COUNTIF(K48:AL48,"&lt;0")=0),K$36,99)</f>
        <v>99</v>
      </c>
      <c r="L50" s="0" t="n">
        <f aca="false">IF(AND(L48&gt;=0,COUNTIF(L48:AL48,"&lt;0")=0),L$36,99)</f>
        <v>99</v>
      </c>
      <c r="M50" s="0" t="n">
        <f aca="false">IF(AND(M48&gt;=0,COUNTIF(M48:AL48,"&lt;0")=0),M$36,99)</f>
        <v>99</v>
      </c>
      <c r="N50" s="0" t="n">
        <f aca="false">IF(AND(N48&gt;=0,COUNTIF(N48:AL48,"&lt;0")=0),N$36,99)</f>
        <v>99</v>
      </c>
      <c r="O50" s="0" t="n">
        <f aca="false">IF(AND(O48&gt;=0,COUNTIF(O48:AL48,"&lt;0")=0),O$36,99)</f>
        <v>13</v>
      </c>
      <c r="P50" s="0" t="n">
        <f aca="false">IF(AND(P48&gt;=0,COUNTIF(P48:AL48,"&lt;0")=0),P$36,99)</f>
        <v>14</v>
      </c>
      <c r="Q50" s="0" t="n">
        <f aca="false">IF(AND(Q48&gt;=0,COUNTIF(Q48:AL48,"&lt;0")=0),Q$36,99)</f>
        <v>15</v>
      </c>
      <c r="R50" s="0" t="n">
        <f aca="false">IF(AND(R48&gt;=0,COUNTIF(R48:AL48,"&lt;0")=0),R$36,99)</f>
        <v>16</v>
      </c>
      <c r="S50" s="0" t="n">
        <f aca="false">IF(AND(S48&gt;=0,COUNTIF(S48:AL48,"&lt;0")=0),S$36,99)</f>
        <v>17</v>
      </c>
      <c r="T50" s="0" t="n">
        <f aca="false">IF(AND(T48&gt;=0,COUNTIF(T48:AL48,"&lt;0")=0),T$36,99)</f>
        <v>18</v>
      </c>
      <c r="U50" s="0" t="n">
        <f aca="false">IF(AND(U48&gt;=0,COUNTIF(U48:AL48,"&lt;0")=0),U$36,99)</f>
        <v>19</v>
      </c>
      <c r="V50" s="0" t="n">
        <f aca="false">IF(AND(V48&gt;=0,COUNTIF(V48:AL48,"&lt;0")=0),V$36,99)</f>
        <v>20</v>
      </c>
      <c r="W50" s="0" t="n">
        <f aca="false">IF(AND(W48&gt;=0,COUNTIF(W48:AL48,"&lt;0")=0),W$36,99)</f>
        <v>21</v>
      </c>
      <c r="X50" s="0" t="n">
        <f aca="false">IF(AND(X48&gt;=0,COUNTIF(X48:AL48,"&lt;0")=0),X$36,99)</f>
        <v>22</v>
      </c>
      <c r="Y50" s="0" t="n">
        <f aca="false">IF(AND(Y48&gt;=0,COUNTIF(Y48:AL48,"&lt;0")=0),Y$36,99)</f>
        <v>23</v>
      </c>
      <c r="Z50" s="0" t="n">
        <f aca="false">IF(AND(Z48&gt;=0,COUNTIF(Z48:AL48,"&lt;0")=0),Z$36,99)</f>
        <v>24</v>
      </c>
      <c r="AA50" s="0" t="n">
        <f aca="false">IF(AND(AA48&gt;=0,COUNTIF(AA48:AL48,"&lt;0")=0),AA$36,99)</f>
        <v>25</v>
      </c>
      <c r="AB50" s="0" t="n">
        <f aca="false">IF(AND(AB48&gt;=0,COUNTIF(AB48:AL48,"&lt;0")=0),AB$36,99)</f>
        <v>26</v>
      </c>
      <c r="AC50" s="0" t="n">
        <f aca="false">IF(AND(AC48&gt;=0,COUNTIF(AC48:AL48,"&lt;0")=0),AC$36,99)</f>
        <v>27</v>
      </c>
      <c r="AD50" s="0" t="n">
        <f aca="false">IF(AND(AD48&gt;=0,COUNTIF(AD48:AL48,"&lt;0")=0),AD$36,99)</f>
        <v>28</v>
      </c>
      <c r="AE50" s="0" t="n">
        <f aca="false">IF(AND(AE48&gt;=0,COUNTIF(AE48:AL48,"&lt;0")=0),AE$36,99)</f>
        <v>29</v>
      </c>
      <c r="AF50" s="0" t="n">
        <f aca="false">IF(AND(AF48&gt;=0,COUNTIF(AF48:AL48,"&lt;0")=0),AF$36,99)</f>
        <v>30</v>
      </c>
      <c r="AG50" s="0" t="n">
        <f aca="false">IF(AND(AG48&gt;=0,COUNTIF(AG48:AL48,"&lt;0")=0),AG$36,99)</f>
        <v>31</v>
      </c>
      <c r="AH50" s="0" t="n">
        <f aca="false">IF(AND(AH48&gt;=0,COUNTIF(AH48:AL48,"&lt;0")=0),AH$36,99)</f>
        <v>32</v>
      </c>
      <c r="AI50" s="0" t="n">
        <f aca="false">IF(AND(AI48&gt;=0,COUNTIF(AI48:AL48,"&lt;0")=0),AI$36,99)</f>
        <v>33</v>
      </c>
      <c r="AJ50" s="0" t="n">
        <f aca="false">IF(AND(AJ48&gt;=0,COUNTIF(AJ48:AL48,"&lt;0")=0),AJ$36,99)</f>
        <v>34</v>
      </c>
      <c r="AK50" s="0" t="n">
        <f aca="false">IF(AND(AK48&gt;=0,COUNTIF(AK48:AL48,"&lt;0")=0),AK$36,99)</f>
        <v>35</v>
      </c>
      <c r="AL50" s="0" t="n">
        <f aca="false">IF(AND(AL48&gt;=0,COUNTIF(AL48:AL48,"&lt;0")=0),AL$36,99)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42" min="3" style="0" width="11"/>
  </cols>
  <sheetData>
    <row r="1" customFormat="false" ht="16.15" hidden="false" customHeight="false" outlineLevel="0" collapsed="false">
      <c r="A1" s="8" t="s">
        <v>306</v>
      </c>
    </row>
    <row r="2" customFormat="false" ht="15" hidden="false" customHeight="false" outlineLevel="0" collapsed="false">
      <c r="A2" s="0" t="s">
        <v>307</v>
      </c>
    </row>
    <row r="4" customFormat="false" ht="15" hidden="false" customHeight="false" outlineLevel="0" collapsed="false">
      <c r="A4" s="1" t="s">
        <v>251</v>
      </c>
      <c r="B4" s="1" t="s">
        <v>252</v>
      </c>
      <c r="C4" s="1" t="n">
        <v>1</v>
      </c>
      <c r="D4" s="1" t="n">
        <v>2</v>
      </c>
      <c r="E4" s="1" t="n">
        <v>3</v>
      </c>
      <c r="F4" s="1" t="n">
        <v>4</v>
      </c>
      <c r="G4" s="1" t="n">
        <v>5</v>
      </c>
      <c r="H4" s="1" t="n">
        <v>6</v>
      </c>
      <c r="I4" s="1" t="n">
        <v>7</v>
      </c>
      <c r="J4" s="1" t="n">
        <v>8</v>
      </c>
      <c r="K4" s="1" t="n">
        <v>9</v>
      </c>
      <c r="L4" s="1" t="n">
        <v>10</v>
      </c>
      <c r="M4" s="1" t="n">
        <v>11</v>
      </c>
      <c r="N4" s="1" t="n">
        <v>12</v>
      </c>
      <c r="O4" s="1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  <c r="AG4" s="1" t="n">
        <v>31</v>
      </c>
      <c r="AH4" s="1" t="n">
        <v>32</v>
      </c>
      <c r="AI4" s="1" t="n">
        <v>33</v>
      </c>
      <c r="AJ4" s="1" t="n">
        <v>34</v>
      </c>
      <c r="AK4" s="1" t="n">
        <v>35</v>
      </c>
      <c r="AL4" s="1" t="n">
        <v>36</v>
      </c>
      <c r="AM4" s="1" t="s">
        <v>253</v>
      </c>
      <c r="AN4" s="1" t="s">
        <v>254</v>
      </c>
      <c r="AO4" s="1" t="s">
        <v>255</v>
      </c>
      <c r="AP4" s="1" t="s">
        <v>256</v>
      </c>
    </row>
    <row r="5" customFormat="false" ht="15" hidden="false" customHeight="false" outlineLevel="0" collapsed="false">
      <c r="A5" s="0" t="s">
        <v>308</v>
      </c>
      <c r="B5" s="0" t="s">
        <v>309</v>
      </c>
      <c r="C5" s="10" t="n">
        <f aca="false">Допущения!$C$43*Допущения!$C$44*IF(C$4&lt;Допущения!$C$42,0,((C$4-Допущения!$C$42+1)/(36-Допущения!$C$42+1))^Допущения!$C$56)</f>
        <v>0</v>
      </c>
      <c r="D5" s="10" t="n">
        <f aca="false">Допущения!$C$43*Допущения!$C$44*IF(D$4&lt;Допущения!$C$42,0,((D$4-Допущения!$C$42+1)/(36-Допущения!$C$42+1))^Допущения!$C$56)</f>
        <v>0</v>
      </c>
      <c r="E5" s="10" t="n">
        <f aca="false">Допущения!$C$43*Допущения!$C$44*IF(E$4&lt;Допущения!$C$42,0,((E$4-Допущения!$C$42+1)/(36-Допущения!$C$42+1))^Допущения!$C$56)</f>
        <v>0</v>
      </c>
      <c r="F5" s="10" t="n">
        <f aca="false">Допущения!$C$43*Допущения!$C$44*IF(F$4&lt;Допущения!$C$42,0,((F$4-Допущения!$C$42+1)/(36-Допущения!$C$42+1))^Допущения!$C$56)</f>
        <v>0</v>
      </c>
      <c r="G5" s="10" t="n">
        <f aca="false">Допущения!$C$43*Допущения!$C$44*IF(G$4&lt;Допущения!$C$42,0,((G$4-Допущения!$C$42+1)/(36-Допущения!$C$42+1))^Допущения!$C$56)</f>
        <v>9.375</v>
      </c>
      <c r="H5" s="10" t="n">
        <f aca="false">Допущения!$C$43*Допущения!$C$44*IF(H$4&lt;Допущения!$C$42,0,((H$4-Допущения!$C$42+1)/(36-Допущения!$C$42+1))^Допущения!$C$56)</f>
        <v>21.5380941561944</v>
      </c>
      <c r="I5" s="10" t="n">
        <f aca="false">Допущения!$C$43*Допущения!$C$44*IF(I$4&lt;Допущения!$C$42,0,((I$4-Допущения!$C$42+1)/(36-Допущения!$C$42+1))^Допущения!$C$56)</f>
        <v>35.0361826766864</v>
      </c>
      <c r="J5" s="10" t="n">
        <f aca="false">Допущения!$C$43*Допущения!$C$44*IF(J$4&lt;Допущения!$C$42,0,((J$4-Допущения!$C$42+1)/(36-Допущения!$C$42+1))^Допущения!$C$56)</f>
        <v>49.4815466539835</v>
      </c>
      <c r="K5" s="10" t="n">
        <f aca="false">Допущения!$C$43*Допущения!$C$44*IF(K$4&lt;Допущения!$C$42,0,((K$4-Допущения!$C$42+1)/(36-Допущения!$C$42+1))^Допущения!$C$56)</f>
        <v>64.6748278809944</v>
      </c>
      <c r="L5" s="10" t="n">
        <f aca="false">Допущения!$C$43*Допущения!$C$44*IF(L$4&lt;Допущения!$C$42,0,((L$4-Допущения!$C$42+1)/(36-Допущения!$C$42+1))^Допущения!$C$56)</f>
        <v>80.4920108121706</v>
      </c>
      <c r="M5" s="10" t="n">
        <f aca="false">Допущения!$C$43*Допущения!$C$44*IF(M$4&lt;Допущения!$C$42,0,((M$4-Допущения!$C$42+1)/(36-Допущения!$C$42+1))^Допущения!$C$56)</f>
        <v>96.8476137296425</v>
      </c>
      <c r="N5" s="10" t="n">
        <f aca="false">Допущения!$C$43*Допущения!$C$44*IF(N$4&lt;Допущения!$C$42,0,((N$4-Допущения!$C$42+1)/(36-Допущения!$C$42+1))^Допущения!$C$56)</f>
        <v>113.67874248828</v>
      </c>
      <c r="O5" s="10" t="n">
        <f aca="false">Допущения!$C$43*Допущения!$C$44*IF(O$4&lt;Допущения!$C$42,0,((O$4-Допущения!$C$42+1)/(36-Допущения!$C$42+1))^Допущения!$C$56)</f>
        <v>130.936970299108</v>
      </c>
      <c r="P5" s="10" t="n">
        <f aca="false">Допущения!$C$43*Допущения!$C$44*IF(P$4&lt;Допущения!$C$42,0,((P$4-Допущения!$C$42+1)/(36-Допущения!$C$42+1))^Допущения!$C$56)</f>
        <v>148.583736793229</v>
      </c>
      <c r="Q5" s="10" t="n">
        <f aca="false">Допущения!$C$43*Допущения!$C$44*IF(Q$4&lt;Допущения!$C$42,0,((Q$4-Допущения!$C$42+1)/(36-Допущения!$C$42+1))^Допущения!$C$56)</f>
        <v>166.5875337021</v>
      </c>
      <c r="R5" s="10" t="n">
        <f aca="false">Допущения!$C$43*Допущения!$C$44*IF(R$4&lt;Допущения!$C$42,0,((R$4-Допущения!$C$42+1)/(36-Допущения!$C$42+1))^Допущения!$C$56)</f>
        <v>184.922080820688</v>
      </c>
      <c r="S5" s="10" t="n">
        <f aca="false">Допущения!$C$43*Допущения!$C$44*IF(S$4&lt;Допущения!$C$42,0,((S$4-Допущения!$C$42+1)/(36-Допущения!$C$42+1))^Допущения!$C$56)</f>
        <v>203.565088878305</v>
      </c>
      <c r="T5" s="10" t="n">
        <f aca="false">Допущения!$C$43*Допущения!$C$44*IF(T$4&lt;Допущения!$C$42,0,((T$4-Допущения!$C$42+1)/(36-Допущения!$C$42+1))^Допущения!$C$56)</f>
        <v>222.497389153257</v>
      </c>
      <c r="U5" s="10" t="n">
        <f aca="false">Допущения!$C$43*Допущения!$C$44*IF(U$4&lt;Допущения!$C$42,0,((U$4-Допущения!$C$42+1)/(36-Допущения!$C$42+1))^Допущения!$C$56)</f>
        <v>241.702302316989</v>
      </c>
      <c r="V5" s="10" t="n">
        <f aca="false">Допущения!$C$43*Допущения!$C$44*IF(V$4&lt;Допущения!$C$42,0,((V$4-Допущения!$C$42+1)/(36-Допущения!$C$42+1))^Допущения!$C$56)</f>
        <v>261.165168988837</v>
      </c>
      <c r="W5" s="10" t="n">
        <f aca="false">Допущения!$C$43*Допущения!$C$44*IF(W$4&lt;Допущения!$C$42,0,((W$4-Допущения!$C$42+1)/(36-Допущения!$C$42+1))^Допущения!$C$56)</f>
        <v>280.872992935776</v>
      </c>
      <c r="X5" s="10" t="n">
        <f aca="false">Допущения!$C$43*Допущения!$C$44*IF(X$4&lt;Допущения!$C$42,0,((X$4-Допущения!$C$42+1)/(36-Допущения!$C$42+1))^Допущения!$C$56)</f>
        <v>300.814164781763</v>
      </c>
      <c r="Y5" s="10" t="n">
        <f aca="false">Допущения!$C$43*Допущения!$C$44*IF(Y$4&lt;Допущения!$C$42,0,((Y$4-Допущения!$C$42+1)/(36-Допущения!$C$42+1))^Допущения!$C$56)</f>
        <v>320.978244553366</v>
      </c>
      <c r="Z5" s="10" t="n">
        <f aca="false">Допущения!$C$43*Допущения!$C$44*IF(Z$4&lt;Допущения!$C$42,0,((Z$4-Допущения!$C$42+1)/(36-Допущения!$C$42+1))^Допущения!$C$56)</f>
        <v>341.35578806739</v>
      </c>
      <c r="AA5" s="10" t="n">
        <f aca="false">Допущения!$C$43*Допущения!$C$44*IF(AA$4&lt;Допущения!$C$42,0,((AA$4-Допущения!$C$42+1)/(36-Допущения!$C$42+1))^Допущения!$C$56)</f>
        <v>361.938206552845</v>
      </c>
      <c r="AB5" s="10" t="n">
        <f aca="false">Допущения!$C$43*Допущения!$C$44*IF(AB$4&lt;Допущения!$C$42,0,((AB$4-Допущения!$C$42+1)/(36-Допущения!$C$42+1))^Допущения!$C$56)</f>
        <v>382.71765185323</v>
      </c>
      <c r="AC5" s="10" t="n">
        <f aca="false">Допущения!$C$43*Допущения!$C$44*IF(AC$4&lt;Допущения!$C$42,0,((AC$4-Допущения!$C$42+1)/(36-Допущения!$C$42+1))^Допущения!$C$56)</f>
        <v>403.686921588391</v>
      </c>
      <c r="AD5" s="10" t="n">
        <f aca="false">Допущения!$C$43*Допущения!$C$44*IF(AD$4&lt;Допущения!$C$42,0,((AD$4-Допущения!$C$42+1)/(36-Допущения!$C$42+1))^Допущения!$C$56)</f>
        <v>424.839380082706</v>
      </c>
      <c r="AE5" s="10" t="n">
        <f aca="false">Допущения!$C$43*Допущения!$C$44*IF(AE$4&lt;Допущения!$C$42,0,((AE$4-Допущения!$C$42+1)/(36-Допущения!$C$42+1))^Допущения!$C$56)</f>
        <v>446.168891886534</v>
      </c>
      <c r="AF5" s="10" t="n">
        <f aca="false">Допущения!$C$43*Допущения!$C$44*IF(AF$4&lt;Допущения!$C$42,0,((AF$4-Допущения!$C$42+1)/(36-Допущения!$C$42+1))^Допущения!$C$56)</f>
        <v>467.669765458668</v>
      </c>
      <c r="AG5" s="10" t="n">
        <f aca="false">Допущения!$C$43*Допущения!$C$44*IF(AG$4&lt;Допущения!$C$42,0,((AG$4-Допущения!$C$42+1)/(36-Допущения!$C$42+1))^Допущения!$C$56)</f>
        <v>489.336705123353</v>
      </c>
      <c r="AH5" s="10" t="n">
        <f aca="false">Допущения!$C$43*Допущения!$C$44*IF(AH$4&lt;Допущения!$C$42,0,((AH$4-Допущения!$C$42+1)/(36-Допущения!$C$42+1))^Допущения!$C$56)</f>
        <v>511.164769822963</v>
      </c>
      <c r="AI5" s="10" t="n">
        <f aca="false">Допущения!$C$43*Допущения!$C$44*IF(AI$4&lt;Допущения!$C$42,0,((AI$4-Допущения!$C$42+1)/(36-Допущения!$C$42+1))^Допущения!$C$56)</f>
        <v>533.149337495455</v>
      </c>
      <c r="AJ5" s="10" t="n">
        <f aca="false">Допущения!$C$43*Допущения!$C$44*IF(AJ$4&lt;Допущения!$C$42,0,((AJ$4-Допущения!$C$42+1)/(36-Допущения!$C$42+1))^Допущения!$C$56)</f>
        <v>555.286074141043</v>
      </c>
      <c r="AK5" s="10" t="n">
        <f aca="false">Допущения!$C$43*Допущения!$C$44*IF(AK$4&lt;Допущения!$C$42,0,((AK$4-Допущения!$C$42+1)/(36-Допущения!$C$42+1))^Допущения!$C$56)</f>
        <v>577.570906824358</v>
      </c>
      <c r="AL5" s="10" t="n">
        <f aca="false">Допущения!$C$43*Допущения!$C$44*IF(AL$4&lt;Допущения!$C$42,0,((AL$4-Допущения!$C$42+1)/(36-Допущения!$C$42+1))^Допущения!$C$56)</f>
        <v>600</v>
      </c>
      <c r="AM5" s="10" t="n">
        <f aca="false">SUM(C5:N5)</f>
        <v>471.124018397952</v>
      </c>
      <c r="AN5" s="10" t="n">
        <f aca="false">SUM(O5:Z5)</f>
        <v>2803.98146129081</v>
      </c>
      <c r="AO5" s="10" t="n">
        <f aca="false">SUM(AA5:AL5)</f>
        <v>5753.52861082955</v>
      </c>
      <c r="AP5" s="10" t="n">
        <f aca="false">SUM(C5:AL5)</f>
        <v>9028.63409051831</v>
      </c>
    </row>
    <row r="6" customFormat="false" ht="15" hidden="false" customHeight="false" outlineLevel="0" collapsed="false">
      <c r="A6" s="0" t="s">
        <v>267</v>
      </c>
      <c r="B6" s="0" t="s">
        <v>310</v>
      </c>
      <c r="C6" s="10" t="n">
        <f aca="false">C5*Допущения!$C$45</f>
        <v>0</v>
      </c>
      <c r="D6" s="10" t="n">
        <f aca="false">D5*Допущения!$C$45</f>
        <v>0</v>
      </c>
      <c r="E6" s="10" t="n">
        <f aca="false">E5*Допущения!$C$45</f>
        <v>0</v>
      </c>
      <c r="F6" s="10" t="n">
        <f aca="false">F5*Допущения!$C$45</f>
        <v>0</v>
      </c>
      <c r="G6" s="10" t="n">
        <f aca="false">G5*Допущения!$C$45</f>
        <v>15937.5</v>
      </c>
      <c r="H6" s="10" t="n">
        <f aca="false">H5*Допущения!$C$45</f>
        <v>36614.7600655305</v>
      </c>
      <c r="I6" s="10" t="n">
        <f aca="false">I5*Допущения!$C$45</f>
        <v>59561.5105503669</v>
      </c>
      <c r="J6" s="10" t="n">
        <f aca="false">J5*Допущения!$C$45</f>
        <v>84118.629311772</v>
      </c>
      <c r="K6" s="10" t="n">
        <f aca="false">K5*Допущения!$C$45</f>
        <v>109947.207397691</v>
      </c>
      <c r="L6" s="10" t="n">
        <f aca="false">L5*Допущения!$C$45</f>
        <v>136836.41838069</v>
      </c>
      <c r="M6" s="10" t="n">
        <f aca="false">M5*Допущения!$C$45</f>
        <v>164640.943340392</v>
      </c>
      <c r="N6" s="10" t="n">
        <f aca="false">N5*Допущения!$C$45</f>
        <v>193253.862230076</v>
      </c>
      <c r="O6" s="10" t="n">
        <f aca="false">O5*Допущения!$C$45</f>
        <v>222592.849508484</v>
      </c>
      <c r="P6" s="10" t="n">
        <f aca="false">P5*Допущения!$C$45</f>
        <v>252592.35254849</v>
      </c>
      <c r="Q6" s="10" t="n">
        <f aca="false">Q5*Допущения!$C$45</f>
        <v>283198.807293569</v>
      </c>
      <c r="R6" s="10" t="n">
        <f aca="false">R5*Допущения!$C$45</f>
        <v>314367.537395169</v>
      </c>
      <c r="S6" s="10" t="n">
        <f aca="false">S5*Допущения!$C$45</f>
        <v>346060.651093119</v>
      </c>
      <c r="T6" s="10" t="n">
        <f aca="false">T5*Допущения!$C$45</f>
        <v>378245.561560537</v>
      </c>
      <c r="U6" s="10" t="n">
        <f aca="false">U5*Допущения!$C$45</f>
        <v>410893.913938882</v>
      </c>
      <c r="V6" s="10" t="n">
        <f aca="false">V5*Допущения!$C$45</f>
        <v>443980.787281023</v>
      </c>
      <c r="W6" s="10" t="n">
        <f aca="false">W5*Допущения!$C$45</f>
        <v>477484.087990818</v>
      </c>
      <c r="X6" s="10" t="n">
        <f aca="false">X5*Допущения!$C$45</f>
        <v>511384.080128997</v>
      </c>
      <c r="Y6" s="10" t="n">
        <f aca="false">Y5*Допущения!$C$45</f>
        <v>545663.015740722</v>
      </c>
      <c r="Z6" s="10" t="n">
        <f aca="false">Z5*Допущения!$C$45</f>
        <v>580304.839714563</v>
      </c>
      <c r="AA6" s="10" t="n">
        <f aca="false">AA5*Допущения!$C$45</f>
        <v>615294.951139836</v>
      </c>
      <c r="AB6" s="10" t="n">
        <f aca="false">AB5*Допущения!$C$45</f>
        <v>650620.008150491</v>
      </c>
      <c r="AC6" s="10" t="n">
        <f aca="false">AC5*Допущения!$C$45</f>
        <v>686267.766700265</v>
      </c>
      <c r="AD6" s="10" t="n">
        <f aca="false">AD5*Допущения!$C$45</f>
        <v>722226.9461406</v>
      </c>
      <c r="AE6" s="10" t="n">
        <f aca="false">AE5*Допущения!$C$45</f>
        <v>758487.116207108</v>
      </c>
      <c r="AF6" s="10" t="n">
        <f aca="false">AF5*Допущения!$C$45</f>
        <v>795038.601279736</v>
      </c>
      <c r="AG6" s="10" t="n">
        <f aca="false">AG5*Допущения!$C$45</f>
        <v>831872.398709699</v>
      </c>
      <c r="AH6" s="10" t="n">
        <f aca="false">AH5*Допущения!$C$45</f>
        <v>868980.108699038</v>
      </c>
      <c r="AI6" s="10" t="n">
        <f aca="false">AI5*Допущения!$C$45</f>
        <v>906353.873742274</v>
      </c>
      <c r="AJ6" s="10" t="n">
        <f aca="false">AJ5*Допущения!$C$45</f>
        <v>943986.326039773</v>
      </c>
      <c r="AK6" s="10" t="n">
        <f aca="false">AK5*Допущения!$C$45</f>
        <v>981870.541601409</v>
      </c>
      <c r="AL6" s="10" t="n">
        <f aca="false">AL5*Допущения!$C$45</f>
        <v>1020000</v>
      </c>
      <c r="AM6" s="10" t="n">
        <f aca="false">SUM(C6:N6)</f>
        <v>800910.831276518</v>
      </c>
      <c r="AN6" s="10" t="n">
        <f aca="false">SUM(O6:Z6)</f>
        <v>4766768.48419438</v>
      </c>
      <c r="AO6" s="10" t="n">
        <f aca="false">SUM(AA6:AL6)</f>
        <v>9780998.63841023</v>
      </c>
      <c r="AP6" s="10" t="n">
        <f aca="false">SUM(C6:AL6)</f>
        <v>15348677.9538811</v>
      </c>
    </row>
    <row r="7" customFormat="false" ht="15" hidden="false" customHeight="false" outlineLevel="0" collapsed="false">
      <c r="A7" s="0" t="s">
        <v>311</v>
      </c>
      <c r="B7" s="0" t="s">
        <v>312</v>
      </c>
      <c r="C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D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E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F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G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H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I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J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K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L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M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N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O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P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Q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R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S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T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U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V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W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X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Y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Z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A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B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C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D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E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F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G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H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I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J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K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L7" s="10" t="n">
        <f aca="false">Допущения!$C$45*(1-Допущения!$C$47-Допущения!$C$46-Допущения!$C$49-Допущения!$C$50-Допущения!$C$52)-Допущения!$C$48-Допущения!$C$51</f>
        <v>-205</v>
      </c>
      <c r="AM7" s="10" t="n">
        <f aca="false">N7</f>
        <v>-205</v>
      </c>
      <c r="AN7" s="10" t="n">
        <f aca="false">Z7</f>
        <v>-205</v>
      </c>
      <c r="AO7" s="10" t="n">
        <f aca="false">AL7</f>
        <v>-205</v>
      </c>
    </row>
    <row r="8" customFormat="false" ht="15" hidden="false" customHeight="false" outlineLevel="0" collapsed="false">
      <c r="A8" s="0" t="s">
        <v>275</v>
      </c>
      <c r="B8" s="0" t="s">
        <v>276</v>
      </c>
      <c r="C8" s="10" t="n">
        <f aca="false">C5*C7</f>
        <v>-0</v>
      </c>
      <c r="D8" s="10" t="n">
        <f aca="false">D5*D7</f>
        <v>-0</v>
      </c>
      <c r="E8" s="10" t="n">
        <f aca="false">E5*E7</f>
        <v>-0</v>
      </c>
      <c r="F8" s="10" t="n">
        <f aca="false">F5*F7</f>
        <v>-0</v>
      </c>
      <c r="G8" s="10" t="n">
        <f aca="false">G5*G7</f>
        <v>-1921.875</v>
      </c>
      <c r="H8" s="10" t="n">
        <f aca="false">H5*H7</f>
        <v>-4415.30930201985</v>
      </c>
      <c r="I8" s="10" t="n">
        <f aca="false">I5*I7</f>
        <v>-7182.41744872072</v>
      </c>
      <c r="J8" s="10" t="n">
        <f aca="false">J5*J7</f>
        <v>-10143.7170640666</v>
      </c>
      <c r="K8" s="10" t="n">
        <f aca="false">K5*K7</f>
        <v>-13258.3397156039</v>
      </c>
      <c r="L8" s="10" t="n">
        <f aca="false">L5*L7</f>
        <v>-16500.862216495</v>
      </c>
      <c r="M8" s="10" t="n">
        <f aca="false">M5*M7</f>
        <v>-19853.7608145767</v>
      </c>
      <c r="N8" s="10" t="n">
        <f aca="false">N5*N7</f>
        <v>-23304.1422100974</v>
      </c>
      <c r="O8" s="10" t="n">
        <f aca="false">O5*O7</f>
        <v>-26842.0789113172</v>
      </c>
      <c r="P8" s="10" t="n">
        <f aca="false">P5*P7</f>
        <v>-30459.666042612</v>
      </c>
      <c r="Q8" s="10" t="n">
        <f aca="false">Q5*Q7</f>
        <v>-34150.4444089304</v>
      </c>
      <c r="R8" s="10" t="n">
        <f aca="false">R5*R7</f>
        <v>-37909.026568241</v>
      </c>
      <c r="S8" s="10" t="n">
        <f aca="false">S5*S7</f>
        <v>-41730.8432200525</v>
      </c>
      <c r="T8" s="10" t="n">
        <f aca="false">T5*T7</f>
        <v>-45611.9647764177</v>
      </c>
      <c r="U8" s="10" t="n">
        <f aca="false">U5*U7</f>
        <v>-49548.9719749828</v>
      </c>
      <c r="V8" s="10" t="n">
        <f aca="false">V5*V7</f>
        <v>-53538.8596427116</v>
      </c>
      <c r="W8" s="10" t="n">
        <f aca="false">W5*W7</f>
        <v>-57578.963551834</v>
      </c>
      <c r="X8" s="10" t="n">
        <f aca="false">X5*X7</f>
        <v>-61666.9037802614</v>
      </c>
      <c r="Y8" s="10" t="n">
        <f aca="false">Y5*Y7</f>
        <v>-65800.54013344</v>
      </c>
      <c r="Z8" s="10" t="n">
        <f aca="false">Z5*Z7</f>
        <v>-69977.936553815</v>
      </c>
      <c r="AA8" s="10" t="n">
        <f aca="false">AA5*AA7</f>
        <v>-74197.3323433331</v>
      </c>
      <c r="AB8" s="10" t="n">
        <f aca="false">AB5*AB7</f>
        <v>-78457.1186299121</v>
      </c>
      <c r="AC8" s="10" t="n">
        <f aca="false">AC5*AC7</f>
        <v>-82755.8189256202</v>
      </c>
      <c r="AD8" s="10" t="n">
        <f aca="false">AD5*AD7</f>
        <v>-87092.0729169547</v>
      </c>
      <c r="AE8" s="10" t="n">
        <f aca="false">AE5*AE7</f>
        <v>-91464.6228367395</v>
      </c>
      <c r="AF8" s="10" t="n">
        <f aca="false">AF5*AF7</f>
        <v>-95872.301919027</v>
      </c>
      <c r="AG8" s="10" t="n">
        <f aca="false">AG5*AG7</f>
        <v>-100314.024550287</v>
      </c>
      <c r="AH8" s="10" t="n">
        <f aca="false">AH5*AH7</f>
        <v>-104788.777813707</v>
      </c>
      <c r="AI8" s="10" t="n">
        <f aca="false">AI5*AI7</f>
        <v>-109295.614186568</v>
      </c>
      <c r="AJ8" s="10" t="n">
        <f aca="false">AJ5*AJ7</f>
        <v>-113833.645198914</v>
      </c>
      <c r="AK8" s="10" t="n">
        <f aca="false">AK5*AK7</f>
        <v>-118402.035898993</v>
      </c>
      <c r="AL8" s="10" t="n">
        <f aca="false">AL5*AL7</f>
        <v>-123000</v>
      </c>
      <c r="AM8" s="10" t="n">
        <f aca="false">SUM(C8:N8)</f>
        <v>-96580.4237715801</v>
      </c>
      <c r="AN8" s="10" t="n">
        <f aca="false">SUM(O8:Z8)</f>
        <v>-574816.199564616</v>
      </c>
      <c r="AO8" s="10" t="n">
        <f aca="false">SUM(AA8:AL8)</f>
        <v>-1179473.36522006</v>
      </c>
      <c r="AP8" s="10" t="n">
        <f aca="false">SUM(C8:AL8)</f>
        <v>-1850869.98855625</v>
      </c>
    </row>
    <row r="9" customFormat="false" ht="15" hidden="false" customHeight="false" outlineLevel="0" collapsed="false">
      <c r="A9" s="0" t="s">
        <v>277</v>
      </c>
      <c r="B9" s="0" t="s">
        <v>313</v>
      </c>
      <c r="C9" s="10" t="n">
        <f aca="false">0</f>
        <v>0</v>
      </c>
      <c r="D9" s="10" t="n">
        <f aca="false">0</f>
        <v>0</v>
      </c>
      <c r="E9" s="10" t="n">
        <f aca="false">0</f>
        <v>0</v>
      </c>
      <c r="F9" s="10" t="n">
        <f aca="false">0</f>
        <v>0</v>
      </c>
      <c r="G9" s="10" t="n">
        <f aca="false">0</f>
        <v>0</v>
      </c>
      <c r="H9" s="10" t="n">
        <f aca="false">0</f>
        <v>0</v>
      </c>
      <c r="I9" s="10" t="n">
        <f aca="false">0</f>
        <v>0</v>
      </c>
      <c r="J9" s="10" t="n">
        <f aca="false">0</f>
        <v>0</v>
      </c>
      <c r="K9" s="10" t="n">
        <f aca="false">0</f>
        <v>0</v>
      </c>
      <c r="L9" s="10" t="n">
        <f aca="false">0</f>
        <v>0</v>
      </c>
      <c r="M9" s="10" t="n">
        <f aca="false">0</f>
        <v>0</v>
      </c>
      <c r="N9" s="10" t="n">
        <f aca="false">0</f>
        <v>0</v>
      </c>
      <c r="O9" s="10" t="n">
        <f aca="false">0</f>
        <v>0</v>
      </c>
      <c r="P9" s="10" t="n">
        <f aca="false">0</f>
        <v>0</v>
      </c>
      <c r="Q9" s="10" t="n">
        <f aca="false">0</f>
        <v>0</v>
      </c>
      <c r="R9" s="10" t="n">
        <f aca="false">0</f>
        <v>0</v>
      </c>
      <c r="S9" s="10" t="n">
        <f aca="false">0</f>
        <v>0</v>
      </c>
      <c r="T9" s="10" t="n">
        <f aca="false">0</f>
        <v>0</v>
      </c>
      <c r="U9" s="10" t="n">
        <f aca="false">0</f>
        <v>0</v>
      </c>
      <c r="V9" s="10" t="n">
        <f aca="false">0</f>
        <v>0</v>
      </c>
      <c r="W9" s="10" t="n">
        <f aca="false">0</f>
        <v>0</v>
      </c>
      <c r="X9" s="10" t="n">
        <f aca="false">0</f>
        <v>0</v>
      </c>
      <c r="Y9" s="10" t="n">
        <f aca="false">0</f>
        <v>0</v>
      </c>
      <c r="Z9" s="10" t="n">
        <f aca="false">0</f>
        <v>0</v>
      </c>
      <c r="AA9" s="10" t="n">
        <f aca="false">0</f>
        <v>0</v>
      </c>
      <c r="AB9" s="10" t="n">
        <f aca="false">0</f>
        <v>0</v>
      </c>
      <c r="AC9" s="10" t="n">
        <f aca="false">0</f>
        <v>0</v>
      </c>
      <c r="AD9" s="10" t="n">
        <f aca="false">0</f>
        <v>0</v>
      </c>
      <c r="AE9" s="10" t="n">
        <f aca="false">0</f>
        <v>0</v>
      </c>
      <c r="AF9" s="10" t="n">
        <f aca="false">0</f>
        <v>0</v>
      </c>
      <c r="AG9" s="10" t="n">
        <f aca="false">0</f>
        <v>0</v>
      </c>
      <c r="AH9" s="10" t="n">
        <f aca="false">0</f>
        <v>0</v>
      </c>
      <c r="AI9" s="10" t="n">
        <f aca="false">0</f>
        <v>0</v>
      </c>
      <c r="AJ9" s="10" t="n">
        <f aca="false">0</f>
        <v>0</v>
      </c>
      <c r="AK9" s="10" t="n">
        <f aca="false">0</f>
        <v>0</v>
      </c>
      <c r="AL9" s="10" t="n">
        <f aca="false">0</f>
        <v>0</v>
      </c>
      <c r="AM9" s="10" t="n">
        <f aca="false">SUM(C9:N9)</f>
        <v>0</v>
      </c>
      <c r="AN9" s="10" t="n">
        <f aca="false">SUM(O9:Z9)</f>
        <v>0</v>
      </c>
      <c r="AO9" s="10" t="n">
        <f aca="false">SUM(AA9:AL9)</f>
        <v>0</v>
      </c>
      <c r="AP9" s="10" t="n">
        <f aca="false">SUM(C9:AL9)</f>
        <v>0</v>
      </c>
    </row>
    <row r="10" customFormat="false" ht="15" hidden="false" customHeight="false" outlineLevel="0" collapsed="false">
      <c r="A10" s="0" t="s">
        <v>314</v>
      </c>
      <c r="B10" s="0" t="s">
        <v>315</v>
      </c>
      <c r="C10" s="10" t="n">
        <f aca="false">IF(C$4&gt;=Допущения!$C$42-1,MAX(5,ROUNDUP(Допущения!$C$43*IF(C$4&lt;Допущения!$C$42,0,((C$4-Допущения!$C$42+1)/(36-Допущения!$C$42+1))^1),0)),0)</f>
        <v>0</v>
      </c>
      <c r="D10" s="10" t="n">
        <f aca="false">IF(D$4&gt;=Допущения!$C$42-1,MAX(5,ROUNDUP(Допущения!$C$43*IF(D$4&lt;Допущения!$C$42,0,((D$4-Допущения!$C$42+1)/(36-Допущения!$C$42+1))^1),0)),0)</f>
        <v>0</v>
      </c>
      <c r="E10" s="10" t="n">
        <f aca="false">IF(E$4&gt;=Допущения!$C$42-1,MAX(5,ROUNDUP(Допущения!$C$43*IF(E$4&lt;Допущения!$C$42,0,((E$4-Допущения!$C$42+1)/(36-Допущения!$C$42+1))^1),0)),0)</f>
        <v>0</v>
      </c>
      <c r="F10" s="10" t="n">
        <f aca="false">IF(F$4&gt;=Допущения!$C$42-1,MAX(5,ROUNDUP(Допущения!$C$43*IF(F$4&lt;Допущения!$C$42,0,((F$4-Допущения!$C$42+1)/(36-Допущения!$C$42+1))^1),0)),0)</f>
        <v>5</v>
      </c>
      <c r="G10" s="10" t="n">
        <f aca="false">IF(G$4&gt;=Допущения!$C$42-1,MAX(5,ROUNDUP(Допущения!$C$43*IF(G$4&lt;Допущения!$C$42,0,((G$4-Допущения!$C$42+1)/(36-Допущения!$C$42+1))^1),0)),0)</f>
        <v>5</v>
      </c>
      <c r="H10" s="10" t="n">
        <f aca="false">IF(H$4&gt;=Допущения!$C$42-1,MAX(5,ROUNDUP(Допущения!$C$43*IF(H$4&lt;Допущения!$C$42,0,((H$4-Допущения!$C$42+1)/(36-Допущения!$C$42+1))^1),0)),0)</f>
        <v>5</v>
      </c>
      <c r="I10" s="10" t="n">
        <f aca="false">IF(I$4&gt;=Допущения!$C$42-1,MAX(5,ROUNDUP(Допущения!$C$43*IF(I$4&lt;Допущения!$C$42,0,((I$4-Допущения!$C$42+1)/(36-Допущения!$C$42+1))^1),0)),0)</f>
        <v>5</v>
      </c>
      <c r="J10" s="10" t="n">
        <f aca="false">IF(J$4&gt;=Допущения!$C$42-1,MAX(5,ROUNDUP(Допущения!$C$43*IF(J$4&lt;Допущения!$C$42,0,((J$4-Допущения!$C$42+1)/(36-Допущения!$C$42+1))^1),0)),0)</f>
        <v>5</v>
      </c>
      <c r="K10" s="10" t="n">
        <f aca="false">IF(K$4&gt;=Допущения!$C$42-1,MAX(5,ROUNDUP(Допущения!$C$43*IF(K$4&lt;Допущения!$C$42,0,((K$4-Допущения!$C$42+1)/(36-Допущения!$C$42+1))^1),0)),0)</f>
        <v>5</v>
      </c>
      <c r="L10" s="10" t="n">
        <f aca="false">IF(L$4&gt;=Допущения!$C$42-1,MAX(5,ROUNDUP(Допущения!$C$43*IF(L$4&lt;Допущения!$C$42,0,((L$4-Допущения!$C$42+1)/(36-Допущения!$C$42+1))^1),0)),0)</f>
        <v>5</v>
      </c>
      <c r="M10" s="10" t="n">
        <f aca="false">IF(M$4&gt;=Допущения!$C$42-1,MAX(5,ROUNDUP(Допущения!$C$43*IF(M$4&lt;Допущения!$C$42,0,((M$4-Допущения!$C$42+1)/(36-Допущения!$C$42+1))^1),0)),0)</f>
        <v>5</v>
      </c>
      <c r="N10" s="10" t="n">
        <f aca="false">IF(N$4&gt;=Допущения!$C$42-1,MAX(5,ROUNDUP(Допущения!$C$43*IF(N$4&lt;Допущения!$C$42,0,((N$4-Допущения!$C$42+1)/(36-Допущения!$C$42+1))^1),0)),0)</f>
        <v>5</v>
      </c>
      <c r="O10" s="10" t="n">
        <f aca="false">IF(O$4&gt;=Допущения!$C$42-1,MAX(5,ROUNDUP(Допущения!$C$43*IF(O$4&lt;Допущения!$C$42,0,((O$4-Допущения!$C$42+1)/(36-Допущения!$C$42+1))^1),0)),0)</f>
        <v>5</v>
      </c>
      <c r="P10" s="10" t="n">
        <f aca="false">IF(P$4&gt;=Допущения!$C$42-1,MAX(5,ROUNDUP(Допущения!$C$43*IF(P$4&lt;Допущения!$C$42,0,((P$4-Допущения!$C$42+1)/(36-Допущения!$C$42+1))^1),0)),0)</f>
        <v>5</v>
      </c>
      <c r="Q10" s="10" t="n">
        <f aca="false">IF(Q$4&gt;=Допущения!$C$42-1,MAX(5,ROUNDUP(Допущения!$C$43*IF(Q$4&lt;Допущения!$C$42,0,((Q$4-Допущения!$C$42+1)/(36-Допущения!$C$42+1))^1),0)),0)</f>
        <v>6</v>
      </c>
      <c r="R10" s="10" t="n">
        <f aca="false">IF(R$4&gt;=Допущения!$C$42-1,MAX(5,ROUNDUP(Допущения!$C$43*IF(R$4&lt;Допущения!$C$42,0,((R$4-Допущения!$C$42+1)/(36-Допущения!$C$42+1))^1),0)),0)</f>
        <v>6</v>
      </c>
      <c r="S10" s="10" t="n">
        <f aca="false">IF(S$4&gt;=Допущения!$C$42-1,MAX(5,ROUNDUP(Допущения!$C$43*IF(S$4&lt;Допущения!$C$42,0,((S$4-Допущения!$C$42+1)/(36-Допущения!$C$42+1))^1),0)),0)</f>
        <v>7</v>
      </c>
      <c r="T10" s="10" t="n">
        <f aca="false">IF(T$4&gt;=Допущения!$C$42-1,MAX(5,ROUNDUP(Допущения!$C$43*IF(T$4&lt;Допущения!$C$42,0,((T$4-Допущения!$C$42+1)/(36-Допущения!$C$42+1))^1),0)),0)</f>
        <v>7</v>
      </c>
      <c r="U10" s="10" t="n">
        <f aca="false">IF(U$4&gt;=Допущения!$C$42-1,MAX(5,ROUNDUP(Допущения!$C$43*IF(U$4&lt;Допущения!$C$42,0,((U$4-Допущения!$C$42+1)/(36-Допущения!$C$42+1))^1),0)),0)</f>
        <v>8</v>
      </c>
      <c r="V10" s="10" t="n">
        <f aca="false">IF(V$4&gt;=Допущения!$C$42-1,MAX(5,ROUNDUP(Допущения!$C$43*IF(V$4&lt;Допущения!$C$42,0,((V$4-Допущения!$C$42+1)/(36-Допущения!$C$42+1))^1),0)),0)</f>
        <v>8</v>
      </c>
      <c r="W10" s="10" t="n">
        <f aca="false">IF(W$4&gt;=Допущения!$C$42-1,MAX(5,ROUNDUP(Допущения!$C$43*IF(W$4&lt;Допущения!$C$42,0,((W$4-Допущения!$C$42+1)/(36-Допущения!$C$42+1))^1),0)),0)</f>
        <v>8</v>
      </c>
      <c r="X10" s="10" t="n">
        <f aca="false">IF(X$4&gt;=Допущения!$C$42-1,MAX(5,ROUNDUP(Допущения!$C$43*IF(X$4&lt;Допущения!$C$42,0,((X$4-Допущения!$C$42+1)/(36-Допущения!$C$42+1))^1),0)),0)</f>
        <v>9</v>
      </c>
      <c r="Y10" s="10" t="n">
        <f aca="false">IF(Y$4&gt;=Допущения!$C$42-1,MAX(5,ROUNDUP(Допущения!$C$43*IF(Y$4&lt;Допущения!$C$42,0,((Y$4-Допущения!$C$42+1)/(36-Допущения!$C$42+1))^1),0)),0)</f>
        <v>9</v>
      </c>
      <c r="Z10" s="10" t="n">
        <f aca="false">IF(Z$4&gt;=Допущения!$C$42-1,MAX(5,ROUNDUP(Допущения!$C$43*IF(Z$4&lt;Допущения!$C$42,0,((Z$4-Допущения!$C$42+1)/(36-Допущения!$C$42+1))^1),0)),0)</f>
        <v>10</v>
      </c>
      <c r="AA10" s="10" t="n">
        <f aca="false">IF(AA$4&gt;=Допущения!$C$42-1,MAX(5,ROUNDUP(Допущения!$C$43*IF(AA$4&lt;Допущения!$C$42,0,((AA$4-Допущения!$C$42+1)/(36-Допущения!$C$42+1))^1),0)),0)</f>
        <v>10</v>
      </c>
      <c r="AB10" s="10" t="n">
        <f aca="false">IF(AB$4&gt;=Допущения!$C$42-1,MAX(5,ROUNDUP(Допущения!$C$43*IF(AB$4&lt;Допущения!$C$42,0,((AB$4-Допущения!$C$42+1)/(36-Допущения!$C$42+1))^1),0)),0)</f>
        <v>11</v>
      </c>
      <c r="AC10" s="10" t="n">
        <f aca="false">IF(AC$4&gt;=Допущения!$C$42-1,MAX(5,ROUNDUP(Допущения!$C$43*IF(AC$4&lt;Допущения!$C$42,0,((AC$4-Допущения!$C$42+1)/(36-Допущения!$C$42+1))^1),0)),0)</f>
        <v>11</v>
      </c>
      <c r="AD10" s="10" t="n">
        <f aca="false">IF(AD$4&gt;=Допущения!$C$42-1,MAX(5,ROUNDUP(Допущения!$C$43*IF(AD$4&lt;Допущения!$C$42,0,((AD$4-Допущения!$C$42+1)/(36-Допущения!$C$42+1))^1),0)),0)</f>
        <v>12</v>
      </c>
      <c r="AE10" s="10" t="n">
        <f aca="false">IF(AE$4&gt;=Допущения!$C$42-1,MAX(5,ROUNDUP(Допущения!$C$43*IF(AE$4&lt;Допущения!$C$42,0,((AE$4-Допущения!$C$42+1)/(36-Допущения!$C$42+1))^1),0)),0)</f>
        <v>12</v>
      </c>
      <c r="AF10" s="10" t="n">
        <f aca="false">IF(AF$4&gt;=Допущения!$C$42-1,MAX(5,ROUNDUP(Допущения!$C$43*IF(AF$4&lt;Допущения!$C$42,0,((AF$4-Допущения!$C$42+1)/(36-Допущения!$C$42+1))^1),0)),0)</f>
        <v>13</v>
      </c>
      <c r="AG10" s="10" t="n">
        <f aca="false">IF(AG$4&gt;=Допущения!$C$42-1,MAX(5,ROUNDUP(Допущения!$C$43*IF(AG$4&lt;Допущения!$C$42,0,((AG$4-Допущения!$C$42+1)/(36-Допущения!$C$42+1))^1),0)),0)</f>
        <v>13</v>
      </c>
      <c r="AH10" s="10" t="n">
        <f aca="false">IF(AH$4&gt;=Допущения!$C$42-1,MAX(5,ROUNDUP(Допущения!$C$43*IF(AH$4&lt;Допущения!$C$42,0,((AH$4-Допущения!$C$42+1)/(36-Допущения!$C$42+1))^1),0)),0)</f>
        <v>14</v>
      </c>
      <c r="AI10" s="10" t="n">
        <f aca="false">IF(AI$4&gt;=Допущения!$C$42-1,MAX(5,ROUNDUP(Допущения!$C$43*IF(AI$4&lt;Допущения!$C$42,0,((AI$4-Допущения!$C$42+1)/(36-Допущения!$C$42+1))^1),0)),0)</f>
        <v>14</v>
      </c>
      <c r="AJ10" s="10" t="n">
        <f aca="false">IF(AJ$4&gt;=Допущения!$C$42-1,MAX(5,ROUNDUP(Допущения!$C$43*IF(AJ$4&lt;Допущения!$C$42,0,((AJ$4-Допущения!$C$42+1)/(36-Допущения!$C$42+1))^1),0)),0)</f>
        <v>15</v>
      </c>
      <c r="AK10" s="10" t="n">
        <f aca="false">IF(AK$4&gt;=Допущения!$C$42-1,MAX(5,ROUNDUP(Допущения!$C$43*IF(AK$4&lt;Допущения!$C$42,0,((AK$4-Допущения!$C$42+1)/(36-Допущения!$C$42+1))^1),0)),0)</f>
        <v>15</v>
      </c>
      <c r="AL10" s="10" t="n">
        <f aca="false">IF(AL$4&gt;=Допущения!$C$42-1,MAX(5,ROUNDUP(Допущения!$C$43*IF(AL$4&lt;Допущения!$C$42,0,((AL$4-Допущения!$C$42+1)/(36-Допущения!$C$42+1))^1),0)),0)</f>
        <v>15</v>
      </c>
      <c r="AM10" s="10" t="n">
        <f aca="false">N10</f>
        <v>5</v>
      </c>
      <c r="AN10" s="10" t="n">
        <f aca="false">Z10</f>
        <v>10</v>
      </c>
      <c r="AO10" s="10" t="n">
        <f aca="false">AL10</f>
        <v>15</v>
      </c>
    </row>
    <row r="11" customFormat="false" ht="15" hidden="false" customHeight="false" outlineLevel="0" collapsed="false">
      <c r="A11" s="0" t="s">
        <v>316</v>
      </c>
      <c r="B11" s="0" t="s">
        <v>317</v>
      </c>
      <c r="C11" s="10" t="n">
        <f aca="false">IF(C$4&gt;=Допущения!$C$42-1,MAX(C5*Допущения!$C$53,C10*100)*Допущения!$C$45*Допущения!$C$46,0)</f>
        <v>0</v>
      </c>
      <c r="D11" s="10" t="n">
        <f aca="false">IF(D$4&gt;=Допущения!$C$42-1,MAX(D5*Допущения!$C$53,D10*100)*Допущения!$C$45*Допущения!$C$46,0)</f>
        <v>0</v>
      </c>
      <c r="E11" s="10" t="n">
        <f aca="false">IF(E$4&gt;=Допущения!$C$42-1,MAX(E5*Допущения!$C$53,E10*100)*Допущения!$C$45*Допущения!$C$46,0)</f>
        <v>0</v>
      </c>
      <c r="F11" s="10" t="n">
        <f aca="false">IF(F$4&gt;=Допущения!$C$42-1,MAX(F5*Допущения!$C$53,F10*100)*Допущения!$C$45*Допущения!$C$46,0)</f>
        <v>255000</v>
      </c>
      <c r="G11" s="10" t="n">
        <f aca="false">IF(G$4&gt;=Допущения!$C$42-1,MAX(G5*Допущения!$C$53,G10*100)*Допущения!$C$45*Допущения!$C$46,0)</f>
        <v>255000</v>
      </c>
      <c r="H11" s="10" t="n">
        <f aca="false">IF(H$4&gt;=Допущения!$C$42-1,MAX(H5*Допущения!$C$53,H10*100)*Допущения!$C$45*Допущения!$C$46,0)</f>
        <v>255000</v>
      </c>
      <c r="I11" s="10" t="n">
        <f aca="false">IF(I$4&gt;=Допущения!$C$42-1,MAX(I5*Допущения!$C$53,I10*100)*Допущения!$C$45*Допущения!$C$46,0)</f>
        <v>255000</v>
      </c>
      <c r="J11" s="10" t="n">
        <f aca="false">IF(J$4&gt;=Допущения!$C$42-1,MAX(J5*Допущения!$C$53,J10*100)*Допущения!$C$45*Допущения!$C$46,0)</f>
        <v>255000</v>
      </c>
      <c r="K11" s="10" t="n">
        <f aca="false">IF(K$4&gt;=Допущения!$C$42-1,MAX(K5*Допущения!$C$53,K10*100)*Допущения!$C$45*Допущения!$C$46,0)</f>
        <v>255000</v>
      </c>
      <c r="L11" s="10" t="n">
        <f aca="false">IF(L$4&gt;=Допущения!$C$42-1,MAX(L5*Допущения!$C$53,L10*100)*Допущения!$C$45*Допущения!$C$46,0)</f>
        <v>255000</v>
      </c>
      <c r="M11" s="10" t="n">
        <f aca="false">IF(M$4&gt;=Допущения!$C$42-1,MAX(M5*Допущения!$C$53,M10*100)*Допущения!$C$45*Допущения!$C$46,0)</f>
        <v>255000</v>
      </c>
      <c r="N11" s="10" t="n">
        <f aca="false">IF(N$4&gt;=Допущения!$C$42-1,MAX(N5*Допущения!$C$53,N10*100)*Допущения!$C$45*Допущения!$C$46,0)</f>
        <v>255000</v>
      </c>
      <c r="O11" s="10" t="n">
        <f aca="false">IF(O$4&gt;=Допущения!$C$42-1,MAX(O5*Допущения!$C$53,O10*100)*Допущения!$C$45*Допущения!$C$46,0)</f>
        <v>255000</v>
      </c>
      <c r="P11" s="10" t="n">
        <f aca="false">IF(P$4&gt;=Допущения!$C$42-1,MAX(P5*Допущения!$C$53,P10*100)*Допущения!$C$45*Допущения!$C$46,0)</f>
        <v>255000</v>
      </c>
      <c r="Q11" s="10" t="n">
        <f aca="false">IF(Q$4&gt;=Допущения!$C$42-1,MAX(Q5*Допущения!$C$53,Q10*100)*Допущения!$C$45*Допущения!$C$46,0)</f>
        <v>306000</v>
      </c>
      <c r="R11" s="10" t="n">
        <f aca="false">IF(R$4&gt;=Допущения!$C$42-1,MAX(R5*Допущения!$C$53,R10*100)*Допущения!$C$45*Допущения!$C$46,0)</f>
        <v>306000</v>
      </c>
      <c r="S11" s="10" t="n">
        <f aca="false">IF(S$4&gt;=Допущения!$C$42-1,MAX(S5*Допущения!$C$53,S10*100)*Допущения!$C$45*Допущения!$C$46,0)</f>
        <v>357000</v>
      </c>
      <c r="T11" s="10" t="n">
        <f aca="false">IF(T$4&gt;=Допущения!$C$42-1,MAX(T5*Допущения!$C$53,T10*100)*Допущения!$C$45*Допущения!$C$46,0)</f>
        <v>357000</v>
      </c>
      <c r="U11" s="10" t="n">
        <f aca="false">IF(U$4&gt;=Допущения!$C$42-1,MAX(U5*Допущения!$C$53,U10*100)*Допущения!$C$45*Допущения!$C$46,0)</f>
        <v>408000</v>
      </c>
      <c r="V11" s="10" t="n">
        <f aca="false">IF(V$4&gt;=Допущения!$C$42-1,MAX(V5*Допущения!$C$53,V10*100)*Допущения!$C$45*Допущения!$C$46,0)</f>
        <v>408000</v>
      </c>
      <c r="W11" s="10" t="n">
        <f aca="false">IF(W$4&gt;=Допущения!$C$42-1,MAX(W5*Допущения!$C$53,W10*100)*Допущения!$C$45*Допущения!$C$46,0)</f>
        <v>429735.679191737</v>
      </c>
      <c r="X11" s="10" t="n">
        <f aca="false">IF(X$4&gt;=Допущения!$C$42-1,MAX(X5*Допущения!$C$53,X10*100)*Допущения!$C$45*Допущения!$C$46,0)</f>
        <v>460245.672116098</v>
      </c>
      <c r="Y11" s="10" t="n">
        <f aca="false">IF(Y$4&gt;=Допущения!$C$42-1,MAX(Y5*Допущения!$C$53,Y10*100)*Допущения!$C$45*Допущения!$C$46,0)</f>
        <v>491096.71416665</v>
      </c>
      <c r="Z11" s="10" t="n">
        <f aca="false">IF(Z$4&gt;=Допущения!$C$42-1,MAX(Z5*Допущения!$C$53,Z10*100)*Допущения!$C$45*Допущения!$C$46,0)</f>
        <v>522274.355743107</v>
      </c>
      <c r="AA11" s="10" t="n">
        <f aca="false">IF(AA$4&gt;=Допущения!$C$42-1,MAX(AA5*Допущения!$C$53,AA10*100)*Допущения!$C$45*Допущения!$C$46,0)</f>
        <v>553765.456025852</v>
      </c>
      <c r="AB11" s="10" t="n">
        <f aca="false">IF(AB$4&gt;=Допущения!$C$42-1,MAX(AB5*Допущения!$C$53,AB10*100)*Допущения!$C$45*Допущения!$C$46,0)</f>
        <v>585558.007335442</v>
      </c>
      <c r="AC11" s="10" t="n">
        <f aca="false">IF(AC$4&gt;=Допущения!$C$42-1,MAX(AC5*Допущения!$C$53,AC10*100)*Допущения!$C$45*Допущения!$C$46,0)</f>
        <v>617640.990030238</v>
      </c>
      <c r="AD11" s="10" t="n">
        <f aca="false">IF(AD$4&gt;=Допущения!$C$42-1,MAX(AD5*Допущения!$C$53,AD10*100)*Допущения!$C$45*Допущения!$C$46,0)</f>
        <v>650004.25152654</v>
      </c>
      <c r="AE11" s="10" t="n">
        <f aca="false">IF(AE$4&gt;=Допущения!$C$42-1,MAX(AE5*Допущения!$C$53,AE10*100)*Допущения!$C$45*Допущения!$C$46,0)</f>
        <v>682638.404586397</v>
      </c>
      <c r="AF11" s="10" t="n">
        <f aca="false">IF(AF$4&gt;=Допущения!$C$42-1,MAX(AF5*Допущения!$C$53,AF10*100)*Допущения!$C$45*Допущения!$C$46,0)</f>
        <v>715534.741151763</v>
      </c>
      <c r="AG11" s="10" t="n">
        <f aca="false">IF(AG$4&gt;=Допущения!$C$42-1,MAX(AG5*Допущения!$C$53,AG10*100)*Допущения!$C$45*Допущения!$C$46,0)</f>
        <v>748685.158838729</v>
      </c>
      <c r="AH11" s="10" t="n">
        <f aca="false">IF(AH$4&gt;=Допущения!$C$42-1,MAX(AH5*Допущения!$C$53,AH10*100)*Допущения!$C$45*Допущения!$C$46,0)</f>
        <v>782082.097829134</v>
      </c>
      <c r="AI11" s="10" t="n">
        <f aca="false">IF(AI$4&gt;=Допущения!$C$42-1,MAX(AI5*Допущения!$C$53,AI10*100)*Допущения!$C$45*Допущения!$C$46,0)</f>
        <v>815718.486368047</v>
      </c>
      <c r="AJ11" s="10" t="n">
        <f aca="false">IF(AJ$4&gt;=Допущения!$C$42-1,MAX(AJ5*Допущения!$C$53,AJ10*100)*Допущения!$C$45*Допущения!$C$46,0)</f>
        <v>849587.693435796</v>
      </c>
      <c r="AK11" s="10" t="n">
        <f aca="false">IF(AK$4&gt;=Допущения!$C$42-1,MAX(AK5*Допущения!$C$53,AK10*100)*Допущения!$C$45*Допущения!$C$46,0)</f>
        <v>883683.487441268</v>
      </c>
      <c r="AL11" s="10" t="n">
        <f aca="false">IF(AL$4&gt;=Допущения!$C$42-1,MAX(AL5*Допущения!$C$53,AL10*100)*Допущения!$C$45*Допущения!$C$46,0)</f>
        <v>918000</v>
      </c>
      <c r="AM11" s="10" t="n">
        <f aca="false">N11</f>
        <v>255000</v>
      </c>
      <c r="AN11" s="10" t="n">
        <f aca="false">Z11</f>
        <v>522274.355743107</v>
      </c>
      <c r="AO11" s="10" t="n">
        <f aca="false">AL11</f>
        <v>918000</v>
      </c>
    </row>
    <row r="12" customFormat="false" ht="15" hidden="false" customHeight="false" outlineLevel="0" collapsed="false">
      <c r="A12" s="0" t="s">
        <v>279</v>
      </c>
      <c r="B12" s="0" t="s">
        <v>280</v>
      </c>
      <c r="C12" s="10" t="n">
        <f aca="false">Допущения!$C$54</f>
        <v>260000</v>
      </c>
      <c r="D12" s="10" t="n">
        <f aca="false">Допущения!$C$54</f>
        <v>260000</v>
      </c>
      <c r="E12" s="10" t="n">
        <f aca="false">Допущения!$C$54</f>
        <v>260000</v>
      </c>
      <c r="F12" s="10" t="n">
        <f aca="false">Допущения!$C$54</f>
        <v>260000</v>
      </c>
      <c r="G12" s="10" t="n">
        <f aca="false">Допущения!$C$54</f>
        <v>260000</v>
      </c>
      <c r="H12" s="10" t="n">
        <f aca="false">Допущения!$C$54</f>
        <v>260000</v>
      </c>
      <c r="I12" s="10" t="n">
        <f aca="false">Допущения!$C$54</f>
        <v>260000</v>
      </c>
      <c r="J12" s="10" t="n">
        <f aca="false">Допущения!$C$54</f>
        <v>260000</v>
      </c>
      <c r="K12" s="10" t="n">
        <f aca="false">Допущения!$C$54</f>
        <v>260000</v>
      </c>
      <c r="L12" s="10" t="n">
        <f aca="false">Допущения!$C$54</f>
        <v>260000</v>
      </c>
      <c r="M12" s="10" t="n">
        <f aca="false">Допущения!$C$54</f>
        <v>260000</v>
      </c>
      <c r="N12" s="10" t="n">
        <f aca="false">Допущения!$C$54</f>
        <v>260000</v>
      </c>
      <c r="O12" s="10" t="n">
        <f aca="false">Допущения!$C$54</f>
        <v>260000</v>
      </c>
      <c r="P12" s="10" t="n">
        <f aca="false">Допущения!$C$54</f>
        <v>260000</v>
      </c>
      <c r="Q12" s="10" t="n">
        <f aca="false">Допущения!$C$54</f>
        <v>260000</v>
      </c>
      <c r="R12" s="10" t="n">
        <f aca="false">Допущения!$C$54</f>
        <v>260000</v>
      </c>
      <c r="S12" s="10" t="n">
        <f aca="false">Допущения!$C$54</f>
        <v>260000</v>
      </c>
      <c r="T12" s="10" t="n">
        <f aca="false">Допущения!$C$54</f>
        <v>260000</v>
      </c>
      <c r="U12" s="10" t="n">
        <f aca="false">Допущения!$C$54</f>
        <v>260000</v>
      </c>
      <c r="V12" s="10" t="n">
        <f aca="false">Допущения!$C$54</f>
        <v>260000</v>
      </c>
      <c r="W12" s="10" t="n">
        <f aca="false">Допущения!$C$54</f>
        <v>260000</v>
      </c>
      <c r="X12" s="10" t="n">
        <f aca="false">Допущения!$C$54</f>
        <v>260000</v>
      </c>
      <c r="Y12" s="10" t="n">
        <f aca="false">Допущения!$C$54</f>
        <v>260000</v>
      </c>
      <c r="Z12" s="10" t="n">
        <f aca="false">Допущения!$C$54</f>
        <v>260000</v>
      </c>
      <c r="AA12" s="10" t="n">
        <f aca="false">Допущения!$C$54</f>
        <v>260000</v>
      </c>
      <c r="AB12" s="10" t="n">
        <f aca="false">Допущения!$C$54</f>
        <v>260000</v>
      </c>
      <c r="AC12" s="10" t="n">
        <f aca="false">Допущения!$C$54</f>
        <v>260000</v>
      </c>
      <c r="AD12" s="10" t="n">
        <f aca="false">Допущения!$C$54</f>
        <v>260000</v>
      </c>
      <c r="AE12" s="10" t="n">
        <f aca="false">Допущения!$C$54</f>
        <v>260000</v>
      </c>
      <c r="AF12" s="10" t="n">
        <f aca="false">Допущения!$C$54</f>
        <v>260000</v>
      </c>
      <c r="AG12" s="10" t="n">
        <f aca="false">Допущения!$C$54</f>
        <v>260000</v>
      </c>
      <c r="AH12" s="10" t="n">
        <f aca="false">Допущения!$C$54</f>
        <v>260000</v>
      </c>
      <c r="AI12" s="10" t="n">
        <f aca="false">Допущения!$C$54</f>
        <v>260000</v>
      </c>
      <c r="AJ12" s="10" t="n">
        <f aca="false">Допущения!$C$54</f>
        <v>260000</v>
      </c>
      <c r="AK12" s="10" t="n">
        <f aca="false">Допущения!$C$54</f>
        <v>260000</v>
      </c>
      <c r="AL12" s="10" t="n">
        <f aca="false">Допущения!$C$54</f>
        <v>260000</v>
      </c>
      <c r="AM12" s="10" t="n">
        <f aca="false">SUM(C12:N12)</f>
        <v>3120000</v>
      </c>
      <c r="AN12" s="10" t="n">
        <f aca="false">SUM(O12:Z12)</f>
        <v>3120000</v>
      </c>
      <c r="AO12" s="10" t="n">
        <f aca="false">SUM(AA12:AL12)</f>
        <v>3120000</v>
      </c>
      <c r="AP12" s="10" t="n">
        <f aca="false">SUM(C12:AL12)</f>
        <v>9360000</v>
      </c>
    </row>
    <row r="13" customFormat="false" ht="15" hidden="false" customHeight="false" outlineLevel="0" collapsed="false">
      <c r="A13" s="1" t="s">
        <v>281</v>
      </c>
      <c r="B13" s="1" t="s">
        <v>282</v>
      </c>
      <c r="C13" s="11" t="n">
        <f aca="false">C8-C12-C9</f>
        <v>-260000</v>
      </c>
      <c r="D13" s="11" t="n">
        <f aca="false">D8-D12-D9</f>
        <v>-260000</v>
      </c>
      <c r="E13" s="11" t="n">
        <f aca="false">E8-E12-E9</f>
        <v>-260000</v>
      </c>
      <c r="F13" s="11" t="n">
        <f aca="false">F8-F12-F9</f>
        <v>-260000</v>
      </c>
      <c r="G13" s="11" t="n">
        <f aca="false">G8-G12-G9</f>
        <v>-261921.875</v>
      </c>
      <c r="H13" s="11" t="n">
        <f aca="false">H8-H12-H9</f>
        <v>-264415.30930202</v>
      </c>
      <c r="I13" s="11" t="n">
        <f aca="false">I8-I12-I9</f>
        <v>-267182.417448721</v>
      </c>
      <c r="J13" s="11" t="n">
        <f aca="false">J8-J12-J9</f>
        <v>-270143.717064067</v>
      </c>
      <c r="K13" s="11" t="n">
        <f aca="false">K8-K12-K9</f>
        <v>-273258.339715604</v>
      </c>
      <c r="L13" s="11" t="n">
        <f aca="false">L8-L12-L9</f>
        <v>-276500.862216495</v>
      </c>
      <c r="M13" s="11" t="n">
        <f aca="false">M8-M12-M9</f>
        <v>-279853.760814577</v>
      </c>
      <c r="N13" s="11" t="n">
        <f aca="false">N8-N12-N9</f>
        <v>-283304.142210097</v>
      </c>
      <c r="O13" s="11" t="n">
        <f aca="false">O8-O12-O9</f>
        <v>-286842.078911317</v>
      </c>
      <c r="P13" s="11" t="n">
        <f aca="false">P8-P12-P9</f>
        <v>-290459.666042612</v>
      </c>
      <c r="Q13" s="11" t="n">
        <f aca="false">Q8-Q12-Q9</f>
        <v>-294150.44440893</v>
      </c>
      <c r="R13" s="11" t="n">
        <f aca="false">R8-R12-R9</f>
        <v>-297909.026568241</v>
      </c>
      <c r="S13" s="11" t="n">
        <f aca="false">S8-S12-S9</f>
        <v>-301730.843220053</v>
      </c>
      <c r="T13" s="11" t="n">
        <f aca="false">T8-T12-T9</f>
        <v>-305611.964776418</v>
      </c>
      <c r="U13" s="11" t="n">
        <f aca="false">U8-U12-U9</f>
        <v>-309548.971974983</v>
      </c>
      <c r="V13" s="11" t="n">
        <f aca="false">V8-V12-V9</f>
        <v>-313538.859642712</v>
      </c>
      <c r="W13" s="11" t="n">
        <f aca="false">W8-W12-W9</f>
        <v>-317578.963551834</v>
      </c>
      <c r="X13" s="11" t="n">
        <f aca="false">X8-X12-X9</f>
        <v>-321666.903780261</v>
      </c>
      <c r="Y13" s="11" t="n">
        <f aca="false">Y8-Y12-Y9</f>
        <v>-325800.54013344</v>
      </c>
      <c r="Z13" s="11" t="n">
        <f aca="false">Z8-Z12-Z9</f>
        <v>-329977.936553815</v>
      </c>
      <c r="AA13" s="11" t="n">
        <f aca="false">AA8-AA12-AA9</f>
        <v>-334197.332343333</v>
      </c>
      <c r="AB13" s="11" t="n">
        <f aca="false">AB8-AB12-AB9</f>
        <v>-338457.118629912</v>
      </c>
      <c r="AC13" s="11" t="n">
        <f aca="false">AC8-AC12-AC9</f>
        <v>-342755.81892562</v>
      </c>
      <c r="AD13" s="11" t="n">
        <f aca="false">AD8-AD12-AD9</f>
        <v>-347092.072916955</v>
      </c>
      <c r="AE13" s="11" t="n">
        <f aca="false">AE8-AE12-AE9</f>
        <v>-351464.622836739</v>
      </c>
      <c r="AF13" s="11" t="n">
        <f aca="false">AF8-AF12-AF9</f>
        <v>-355872.301919027</v>
      </c>
      <c r="AG13" s="11" t="n">
        <f aca="false">AG8-AG12-AG9</f>
        <v>-360314.024550287</v>
      </c>
      <c r="AH13" s="11" t="n">
        <f aca="false">AH8-AH12-AH9</f>
        <v>-364788.777813708</v>
      </c>
      <c r="AI13" s="11" t="n">
        <f aca="false">AI8-AI12-AI9</f>
        <v>-369295.614186568</v>
      </c>
      <c r="AJ13" s="11" t="n">
        <f aca="false">AJ8-AJ12-AJ9</f>
        <v>-373833.645198914</v>
      </c>
      <c r="AK13" s="11" t="n">
        <f aca="false">AK8-AK12-AK9</f>
        <v>-378402.035898993</v>
      </c>
      <c r="AL13" s="11" t="n">
        <f aca="false">AL8-AL12-AL9</f>
        <v>-383000</v>
      </c>
      <c r="AM13" s="11" t="n">
        <f aca="false">SUM(C13:N13)</f>
        <v>-3216580.42377158</v>
      </c>
      <c r="AN13" s="11" t="n">
        <f aca="false">SUM(O13:Z13)</f>
        <v>-3694816.19956462</v>
      </c>
      <c r="AO13" s="11" t="n">
        <f aca="false">SUM(AA13:AL13)</f>
        <v>-4299473.36522006</v>
      </c>
      <c r="AP13" s="11" t="n">
        <f aca="false">SUM(C13:AL13)</f>
        <v>-11210869.9885563</v>
      </c>
    </row>
    <row r="14" customFormat="false" ht="15" hidden="false" customHeight="false" outlineLevel="0" collapsed="false">
      <c r="A14" s="0" t="s">
        <v>283</v>
      </c>
      <c r="B14" s="0" t="s">
        <v>284</v>
      </c>
      <c r="C14" s="10" t="n">
        <f aca="false">IF(C$4&lt;Допущения!$C$42,Допущения!$C$55/(Допущения!$C$42-1),0)+C11-0</f>
        <v>150000</v>
      </c>
      <c r="D14" s="10" t="n">
        <f aca="false">IF(D$4&lt;Допущения!$C$42,Допущения!$C$55/(Допущения!$C$42-1),0)+D11-C11</f>
        <v>150000</v>
      </c>
      <c r="E14" s="10" t="n">
        <f aca="false">IF(E$4&lt;Допущения!$C$42,Допущения!$C$55/(Допущения!$C$42-1),0)+E11-D11</f>
        <v>150000</v>
      </c>
      <c r="F14" s="10" t="n">
        <f aca="false">IF(F$4&lt;Допущения!$C$42,Допущения!$C$55/(Допущения!$C$42-1),0)+F11-E11</f>
        <v>405000</v>
      </c>
      <c r="G14" s="10" t="n">
        <f aca="false">IF(G$4&lt;Допущения!$C$42,Допущения!$C$55/(Допущения!$C$42-1),0)+G11-F11</f>
        <v>0</v>
      </c>
      <c r="H14" s="10" t="n">
        <f aca="false">IF(H$4&lt;Допущения!$C$42,Допущения!$C$55/(Допущения!$C$42-1),0)+H11-G11</f>
        <v>0</v>
      </c>
      <c r="I14" s="10" t="n">
        <f aca="false">IF(I$4&lt;Допущения!$C$42,Допущения!$C$55/(Допущения!$C$42-1),0)+I11-H11</f>
        <v>0</v>
      </c>
      <c r="J14" s="10" t="n">
        <f aca="false">IF(J$4&lt;Допущения!$C$42,Допущения!$C$55/(Допущения!$C$42-1),0)+J11-I11</f>
        <v>0</v>
      </c>
      <c r="K14" s="10" t="n">
        <f aca="false">IF(K$4&lt;Допущения!$C$42,Допущения!$C$55/(Допущения!$C$42-1),0)+K11-J11</f>
        <v>0</v>
      </c>
      <c r="L14" s="10" t="n">
        <f aca="false">IF(L$4&lt;Допущения!$C$42,Допущения!$C$55/(Допущения!$C$42-1),0)+L11-K11</f>
        <v>0</v>
      </c>
      <c r="M14" s="10" t="n">
        <f aca="false">IF(M$4&lt;Допущения!$C$42,Допущения!$C$55/(Допущения!$C$42-1),0)+M11-L11</f>
        <v>0</v>
      </c>
      <c r="N14" s="10" t="n">
        <f aca="false">IF(N$4&lt;Допущения!$C$42,Допущения!$C$55/(Допущения!$C$42-1),0)+N11-M11</f>
        <v>0</v>
      </c>
      <c r="O14" s="10" t="n">
        <f aca="false">IF(O$4&lt;Допущения!$C$42,Допущения!$C$55/(Допущения!$C$42-1),0)+O11-N11</f>
        <v>0</v>
      </c>
      <c r="P14" s="10" t="n">
        <f aca="false">IF(P$4&lt;Допущения!$C$42,Допущения!$C$55/(Допущения!$C$42-1),0)+P11-O11</f>
        <v>0</v>
      </c>
      <c r="Q14" s="10" t="n">
        <f aca="false">IF(Q$4&lt;Допущения!$C$42,Допущения!$C$55/(Допущения!$C$42-1),0)+Q11-P11</f>
        <v>51000</v>
      </c>
      <c r="R14" s="10" t="n">
        <f aca="false">IF(R$4&lt;Допущения!$C$42,Допущения!$C$55/(Допущения!$C$42-1),0)+R11-Q11</f>
        <v>0</v>
      </c>
      <c r="S14" s="10" t="n">
        <f aca="false">IF(S$4&lt;Допущения!$C$42,Допущения!$C$55/(Допущения!$C$42-1),0)+S11-R11</f>
        <v>51000</v>
      </c>
      <c r="T14" s="10" t="n">
        <f aca="false">IF(T$4&lt;Допущения!$C$42,Допущения!$C$55/(Допущения!$C$42-1),0)+T11-S11</f>
        <v>0</v>
      </c>
      <c r="U14" s="10" t="n">
        <f aca="false">IF(U$4&lt;Допущения!$C$42,Допущения!$C$55/(Допущения!$C$42-1),0)+U11-T11</f>
        <v>51000</v>
      </c>
      <c r="V14" s="10" t="n">
        <f aca="false">IF(V$4&lt;Допущения!$C$42,Допущения!$C$55/(Допущения!$C$42-1),0)+V11-U11</f>
        <v>0</v>
      </c>
      <c r="W14" s="10" t="n">
        <f aca="false">IF(W$4&lt;Допущения!$C$42,Допущения!$C$55/(Допущения!$C$42-1),0)+W11-V11</f>
        <v>21735.6791917366</v>
      </c>
      <c r="X14" s="10" t="n">
        <f aca="false">IF(X$4&lt;Допущения!$C$42,Допущения!$C$55/(Допущения!$C$42-1),0)+X11-W11</f>
        <v>30509.992924361</v>
      </c>
      <c r="Y14" s="10" t="n">
        <f aca="false">IF(Y$4&lt;Допущения!$C$42,Допущения!$C$55/(Допущения!$C$42-1),0)+Y11-X11</f>
        <v>30851.0420505523</v>
      </c>
      <c r="Z14" s="10" t="n">
        <f aca="false">IF(Z$4&lt;Допущения!$C$42,Допущения!$C$55/(Допущения!$C$42-1),0)+Z11-Y11</f>
        <v>31177.641576457</v>
      </c>
      <c r="AA14" s="10" t="n">
        <f aca="false">IF(AA$4&lt;Допущения!$C$42,Допущения!$C$55/(Допущения!$C$42-1),0)+AA11-Z11</f>
        <v>31491.1002827454</v>
      </c>
      <c r="AB14" s="10" t="n">
        <f aca="false">IF(AB$4&lt;Допущения!$C$42,Допущения!$C$55/(Допущения!$C$42-1),0)+AB11-AA11</f>
        <v>31792.5513095895</v>
      </c>
      <c r="AC14" s="10" t="n">
        <f aca="false">IF(AC$4&lt;Допущения!$C$42,Допущения!$C$55/(Допущения!$C$42-1),0)+AC11-AB11</f>
        <v>32082.9826947966</v>
      </c>
      <c r="AD14" s="10" t="n">
        <f aca="false">IF(AD$4&lt;Допущения!$C$42,Допущения!$C$55/(Допущения!$C$42-1),0)+AD11-AC11</f>
        <v>32363.2614963015</v>
      </c>
      <c r="AE14" s="10" t="n">
        <f aca="false">IF(AE$4&lt;Допущения!$C$42,Допущения!$C$55/(Допущения!$C$42-1),0)+AE11-AD11</f>
        <v>32634.1530598571</v>
      </c>
      <c r="AF14" s="10" t="n">
        <f aca="false">IF(AF$4&lt;Допущения!$C$42,Допущения!$C$55/(Допущения!$C$42-1),0)+AF11-AE11</f>
        <v>32896.3365653657</v>
      </c>
      <c r="AG14" s="10" t="n">
        <f aca="false">IF(AG$4&lt;Допущения!$C$42,Допущения!$C$55/(Допущения!$C$42-1),0)+AG11-AF11</f>
        <v>33150.4176869666</v>
      </c>
      <c r="AH14" s="10" t="n">
        <f aca="false">IF(AH$4&lt;Допущения!$C$42,Допущения!$C$55/(Допущения!$C$42-1),0)+AH11-AG11</f>
        <v>33396.9389904045</v>
      </c>
      <c r="AI14" s="10" t="n">
        <f aca="false">IF(AI$4&lt;Допущения!$C$42,Допущения!$C$55/(Допущения!$C$42-1),0)+AI11-AH11</f>
        <v>33636.3885389129</v>
      </c>
      <c r="AJ14" s="10" t="n">
        <f aca="false">IF(AJ$4&lt;Допущения!$C$42,Допущения!$C$55/(Допущения!$C$42-1),0)+AJ11-AI11</f>
        <v>33869.2070677491</v>
      </c>
      <c r="AK14" s="10" t="n">
        <f aca="false">IF(AK$4&lt;Допущения!$C$42,Допущения!$C$55/(Допущения!$C$42-1),0)+AK11-AJ11</f>
        <v>34095.7940054721</v>
      </c>
      <c r="AL14" s="10" t="n">
        <f aca="false">IF(AL$4&lt;Допущения!$C$42,Допущения!$C$55/(Допущения!$C$42-1),0)+AL11-AK11</f>
        <v>34316.5125587322</v>
      </c>
      <c r="AM14" s="10" t="n">
        <f aca="false">SUM(C14:N14)</f>
        <v>855000</v>
      </c>
      <c r="AN14" s="10" t="n">
        <f aca="false">SUM(O14:Z14)</f>
        <v>267274.355743107</v>
      </c>
      <c r="AO14" s="10" t="n">
        <f aca="false">SUM(AA14:AL14)</f>
        <v>395725.644256893</v>
      </c>
      <c r="AP14" s="10" t="n">
        <f aca="false">SUM(C14:AL14)</f>
        <v>1518000</v>
      </c>
    </row>
    <row r="15" customFormat="false" ht="15" hidden="false" customHeight="false" outlineLevel="0" collapsed="false">
      <c r="A15" s="1" t="s">
        <v>285</v>
      </c>
      <c r="B15" s="1" t="s">
        <v>286</v>
      </c>
      <c r="C15" s="11" t="n">
        <f aca="false">C13-C14</f>
        <v>-410000</v>
      </c>
      <c r="D15" s="11" t="n">
        <f aca="false">D13-D14</f>
        <v>-410000</v>
      </c>
      <c r="E15" s="11" t="n">
        <f aca="false">E13-E14</f>
        <v>-410000</v>
      </c>
      <c r="F15" s="11" t="n">
        <f aca="false">F13-F14</f>
        <v>-665000</v>
      </c>
      <c r="G15" s="11" t="n">
        <f aca="false">G13-G14</f>
        <v>-261921.875</v>
      </c>
      <c r="H15" s="11" t="n">
        <f aca="false">H13-H14</f>
        <v>-264415.30930202</v>
      </c>
      <c r="I15" s="11" t="n">
        <f aca="false">I13-I14</f>
        <v>-267182.417448721</v>
      </c>
      <c r="J15" s="11" t="n">
        <f aca="false">J13-J14</f>
        <v>-270143.717064067</v>
      </c>
      <c r="K15" s="11" t="n">
        <f aca="false">K13-K14</f>
        <v>-273258.339715604</v>
      </c>
      <c r="L15" s="11" t="n">
        <f aca="false">L13-L14</f>
        <v>-276500.862216495</v>
      </c>
      <c r="M15" s="11" t="n">
        <f aca="false">M13-M14</f>
        <v>-279853.760814577</v>
      </c>
      <c r="N15" s="11" t="n">
        <f aca="false">N13-N14</f>
        <v>-283304.142210097</v>
      </c>
      <c r="O15" s="11" t="n">
        <f aca="false">O13-O14</f>
        <v>-286842.078911317</v>
      </c>
      <c r="P15" s="11" t="n">
        <f aca="false">P13-P14</f>
        <v>-290459.666042612</v>
      </c>
      <c r="Q15" s="11" t="n">
        <f aca="false">Q13-Q14</f>
        <v>-345150.44440893</v>
      </c>
      <c r="R15" s="11" t="n">
        <f aca="false">R13-R14</f>
        <v>-297909.026568241</v>
      </c>
      <c r="S15" s="11" t="n">
        <f aca="false">S13-S14</f>
        <v>-352730.843220053</v>
      </c>
      <c r="T15" s="11" t="n">
        <f aca="false">T13-T14</f>
        <v>-305611.964776418</v>
      </c>
      <c r="U15" s="11" t="n">
        <f aca="false">U13-U14</f>
        <v>-360548.971974983</v>
      </c>
      <c r="V15" s="11" t="n">
        <f aca="false">V13-V14</f>
        <v>-313538.859642712</v>
      </c>
      <c r="W15" s="11" t="n">
        <f aca="false">W13-W14</f>
        <v>-339314.642743571</v>
      </c>
      <c r="X15" s="11" t="n">
        <f aca="false">X13-X14</f>
        <v>-352176.896704622</v>
      </c>
      <c r="Y15" s="11" t="n">
        <f aca="false">Y13-Y14</f>
        <v>-356651.582183992</v>
      </c>
      <c r="Z15" s="11" t="n">
        <f aca="false">Z13-Z14</f>
        <v>-361155.578130272</v>
      </c>
      <c r="AA15" s="11" t="n">
        <f aca="false">AA13-AA14</f>
        <v>-365688.432626079</v>
      </c>
      <c r="AB15" s="11" t="n">
        <f aca="false">AB13-AB14</f>
        <v>-370249.669939502</v>
      </c>
      <c r="AC15" s="11" t="n">
        <f aca="false">AC13-AC14</f>
        <v>-374838.801620417</v>
      </c>
      <c r="AD15" s="11" t="n">
        <f aca="false">AD13-AD14</f>
        <v>-379455.334413256</v>
      </c>
      <c r="AE15" s="11" t="n">
        <f aca="false">AE13-AE14</f>
        <v>-384098.775896597</v>
      </c>
      <c r="AF15" s="11" t="n">
        <f aca="false">AF13-AF14</f>
        <v>-388768.638484393</v>
      </c>
      <c r="AG15" s="11" t="n">
        <f aca="false">AG13-AG14</f>
        <v>-393464.442237254</v>
      </c>
      <c r="AH15" s="11" t="n">
        <f aca="false">AH13-AH14</f>
        <v>-398185.716804112</v>
      </c>
      <c r="AI15" s="11" t="n">
        <f aca="false">AI13-AI14</f>
        <v>-402932.002725481</v>
      </c>
      <c r="AJ15" s="11" t="n">
        <f aca="false">AJ13-AJ14</f>
        <v>-407702.852266663</v>
      </c>
      <c r="AK15" s="11" t="n">
        <f aca="false">AK13-AK14</f>
        <v>-412497.829904465</v>
      </c>
      <c r="AL15" s="11" t="n">
        <f aca="false">AL13-AL14</f>
        <v>-417316.512558732</v>
      </c>
      <c r="AM15" s="11" t="n">
        <f aca="false">SUM(C15:N15)</f>
        <v>-4071580.42377158</v>
      </c>
      <c r="AN15" s="11" t="n">
        <f aca="false">SUM(O15:Z15)</f>
        <v>-3962090.55530772</v>
      </c>
      <c r="AO15" s="11" t="n">
        <f aca="false">SUM(AA15:AL15)</f>
        <v>-4695199.00947695</v>
      </c>
      <c r="AP15" s="11" t="n">
        <f aca="false">SUM(C15:AL15)</f>
        <v>-12728869.9885563</v>
      </c>
    </row>
    <row r="16" customFormat="false" ht="15" hidden="false" customHeight="false" outlineLevel="0" collapsed="false">
      <c r="A16" s="1" t="s">
        <v>287</v>
      </c>
      <c r="B16" s="1" t="s">
        <v>288</v>
      </c>
      <c r="C16" s="11" t="n">
        <f aca="false">0+C15</f>
        <v>-410000</v>
      </c>
      <c r="D16" s="11" t="n">
        <f aca="false">C16+D15</f>
        <v>-820000</v>
      </c>
      <c r="E16" s="11" t="n">
        <f aca="false">D16+E15</f>
        <v>-1230000</v>
      </c>
      <c r="F16" s="11" t="n">
        <f aca="false">E16+F15</f>
        <v>-1895000</v>
      </c>
      <c r="G16" s="11" t="n">
        <f aca="false">F16+G15</f>
        <v>-2156921.875</v>
      </c>
      <c r="H16" s="11" t="n">
        <f aca="false">G16+H15</f>
        <v>-2421337.18430202</v>
      </c>
      <c r="I16" s="11" t="n">
        <f aca="false">H16+I15</f>
        <v>-2688519.60175074</v>
      </c>
      <c r="J16" s="11" t="n">
        <f aca="false">I16+J15</f>
        <v>-2958663.31881481</v>
      </c>
      <c r="K16" s="11" t="n">
        <f aca="false">J16+K15</f>
        <v>-3231921.65853041</v>
      </c>
      <c r="L16" s="11" t="n">
        <f aca="false">K16+L15</f>
        <v>-3508422.52074691</v>
      </c>
      <c r="M16" s="11" t="n">
        <f aca="false">L16+M15</f>
        <v>-3788276.28156148</v>
      </c>
      <c r="N16" s="11" t="n">
        <f aca="false">M16+N15</f>
        <v>-4071580.42377158</v>
      </c>
      <c r="O16" s="11" t="n">
        <f aca="false">N16+O15</f>
        <v>-4358422.5026829</v>
      </c>
      <c r="P16" s="11" t="n">
        <f aca="false">O16+P15</f>
        <v>-4648882.16872551</v>
      </c>
      <c r="Q16" s="11" t="n">
        <f aca="false">P16+Q15</f>
        <v>-4994032.61313444</v>
      </c>
      <c r="R16" s="11" t="n">
        <f aca="false">Q16+R15</f>
        <v>-5291941.63970268</v>
      </c>
      <c r="S16" s="11" t="n">
        <f aca="false">R16+S15</f>
        <v>-5644672.48292274</v>
      </c>
      <c r="T16" s="11" t="n">
        <f aca="false">S16+T15</f>
        <v>-5950284.44769915</v>
      </c>
      <c r="U16" s="11" t="n">
        <f aca="false">T16+U15</f>
        <v>-6310833.41967414</v>
      </c>
      <c r="V16" s="11" t="n">
        <f aca="false">U16+V15</f>
        <v>-6624372.27931685</v>
      </c>
      <c r="W16" s="11" t="n">
        <f aca="false">V16+W15</f>
        <v>-6963686.92206042</v>
      </c>
      <c r="X16" s="11" t="n">
        <f aca="false">W16+X15</f>
        <v>-7315863.81876504</v>
      </c>
      <c r="Y16" s="11" t="n">
        <f aca="false">X16+Y15</f>
        <v>-7672515.40094903</v>
      </c>
      <c r="Z16" s="11" t="n">
        <f aca="false">Y16+Z15</f>
        <v>-8033670.9790793</v>
      </c>
      <c r="AA16" s="11" t="n">
        <f aca="false">Z16+AA15</f>
        <v>-8399359.41170538</v>
      </c>
      <c r="AB16" s="11" t="n">
        <f aca="false">AA16+AB15</f>
        <v>-8769609.08164488</v>
      </c>
      <c r="AC16" s="11" t="n">
        <f aca="false">AB16+AC15</f>
        <v>-9144447.8832653</v>
      </c>
      <c r="AD16" s="11" t="n">
        <f aca="false">AC16+AD15</f>
        <v>-9523903.21767856</v>
      </c>
      <c r="AE16" s="11" t="n">
        <f aca="false">AD16+AE15</f>
        <v>-9908001.99357515</v>
      </c>
      <c r="AF16" s="11" t="n">
        <f aca="false">AE16+AF15</f>
        <v>-10296770.6320595</v>
      </c>
      <c r="AG16" s="11" t="n">
        <f aca="false">AF16+AG15</f>
        <v>-10690235.0742968</v>
      </c>
      <c r="AH16" s="11" t="n">
        <f aca="false">AG16+AH15</f>
        <v>-11088420.7911009</v>
      </c>
      <c r="AI16" s="11" t="n">
        <f aca="false">AH16+AI15</f>
        <v>-11491352.7938264</v>
      </c>
      <c r="AJ16" s="11" t="n">
        <f aca="false">AI16+AJ15</f>
        <v>-11899055.6460931</v>
      </c>
      <c r="AK16" s="11" t="n">
        <f aca="false">AJ16+AK15</f>
        <v>-12311553.4759975</v>
      </c>
      <c r="AL16" s="11" t="n">
        <f aca="false">AK16+AL15</f>
        <v>-12728869.9885563</v>
      </c>
      <c r="AM16" s="11" t="n">
        <f aca="false">N16</f>
        <v>-4071580.42377158</v>
      </c>
      <c r="AN16" s="11" t="n">
        <f aca="false">Z16</f>
        <v>-8033670.9790793</v>
      </c>
      <c r="AO16" s="11" t="n">
        <f aca="false">AL16</f>
        <v>-12728869.9885563</v>
      </c>
      <c r="AP16" s="1"/>
    </row>
    <row r="17" customFormat="false" ht="15" hidden="false" customHeight="false" outlineLevel="0" collapsed="false">
      <c r="A17" s="0" t="s">
        <v>289</v>
      </c>
      <c r="B17" s="0" t="s">
        <v>290</v>
      </c>
      <c r="C17" s="0" t="n">
        <f aca="false">IF(AND(C13&gt;0,COUNTIF(C13:AL13,"&lt;=0")=0),C$4,99)</f>
        <v>99</v>
      </c>
      <c r="D17" s="0" t="n">
        <f aca="false">IF(AND(D13&gt;0,COUNTIF(D13:AL13,"&lt;=0")=0),D$4,99)</f>
        <v>99</v>
      </c>
      <c r="E17" s="0" t="n">
        <f aca="false">IF(AND(E13&gt;0,COUNTIF(E13:AL13,"&lt;=0")=0),E$4,99)</f>
        <v>99</v>
      </c>
      <c r="F17" s="0" t="n">
        <f aca="false">IF(AND(F13&gt;0,COUNTIF(F13:AL13,"&lt;=0")=0),F$4,99)</f>
        <v>99</v>
      </c>
      <c r="G17" s="0" t="n">
        <f aca="false">IF(AND(G13&gt;0,COUNTIF(G13:AL13,"&lt;=0")=0),G$4,99)</f>
        <v>99</v>
      </c>
      <c r="H17" s="0" t="n">
        <f aca="false">IF(AND(H13&gt;0,COUNTIF(H13:AL13,"&lt;=0")=0),H$4,99)</f>
        <v>99</v>
      </c>
      <c r="I17" s="0" t="n">
        <f aca="false">IF(AND(I13&gt;0,COUNTIF(I13:AL13,"&lt;=0")=0),I$4,99)</f>
        <v>99</v>
      </c>
      <c r="J17" s="0" t="n">
        <f aca="false">IF(AND(J13&gt;0,COUNTIF(J13:AL13,"&lt;=0")=0),J$4,99)</f>
        <v>99</v>
      </c>
      <c r="K17" s="0" t="n">
        <f aca="false">IF(AND(K13&gt;0,COUNTIF(K13:AL13,"&lt;=0")=0),K$4,99)</f>
        <v>99</v>
      </c>
      <c r="L17" s="0" t="n">
        <f aca="false">IF(AND(L13&gt;0,COUNTIF(L13:AL13,"&lt;=0")=0),L$4,99)</f>
        <v>99</v>
      </c>
      <c r="M17" s="0" t="n">
        <f aca="false">IF(AND(M13&gt;0,COUNTIF(M13:AL13,"&lt;=0")=0),M$4,99)</f>
        <v>99</v>
      </c>
      <c r="N17" s="0" t="n">
        <f aca="false">IF(AND(N13&gt;0,COUNTIF(N13:AL13,"&lt;=0")=0),N$4,99)</f>
        <v>99</v>
      </c>
      <c r="O17" s="0" t="n">
        <f aca="false">IF(AND(O13&gt;0,COUNTIF(O13:AL13,"&lt;=0")=0),O$4,99)</f>
        <v>99</v>
      </c>
      <c r="P17" s="0" t="n">
        <f aca="false">IF(AND(P13&gt;0,COUNTIF(P13:AL13,"&lt;=0")=0),P$4,99)</f>
        <v>99</v>
      </c>
      <c r="Q17" s="0" t="n">
        <f aca="false">IF(AND(Q13&gt;0,COUNTIF(Q13:AL13,"&lt;=0")=0),Q$4,99)</f>
        <v>99</v>
      </c>
      <c r="R17" s="0" t="n">
        <f aca="false">IF(AND(R13&gt;0,COUNTIF(R13:AL13,"&lt;=0")=0),R$4,99)</f>
        <v>99</v>
      </c>
      <c r="S17" s="0" t="n">
        <f aca="false">IF(AND(S13&gt;0,COUNTIF(S13:AL13,"&lt;=0")=0),S$4,99)</f>
        <v>99</v>
      </c>
      <c r="T17" s="0" t="n">
        <f aca="false">IF(AND(T13&gt;0,COUNTIF(T13:AL13,"&lt;=0")=0),T$4,99)</f>
        <v>99</v>
      </c>
      <c r="U17" s="0" t="n">
        <f aca="false">IF(AND(U13&gt;0,COUNTIF(U13:AL13,"&lt;=0")=0),U$4,99)</f>
        <v>99</v>
      </c>
      <c r="V17" s="0" t="n">
        <f aca="false">IF(AND(V13&gt;0,COUNTIF(V13:AL13,"&lt;=0")=0),V$4,99)</f>
        <v>99</v>
      </c>
      <c r="W17" s="0" t="n">
        <f aca="false">IF(AND(W13&gt;0,COUNTIF(W13:AL13,"&lt;=0")=0),W$4,99)</f>
        <v>99</v>
      </c>
      <c r="X17" s="0" t="n">
        <f aca="false">IF(AND(X13&gt;0,COUNTIF(X13:AL13,"&lt;=0")=0),X$4,99)</f>
        <v>99</v>
      </c>
      <c r="Y17" s="0" t="n">
        <f aca="false">IF(AND(Y13&gt;0,COUNTIF(Y13:AL13,"&lt;=0")=0),Y$4,99)</f>
        <v>99</v>
      </c>
      <c r="Z17" s="0" t="n">
        <f aca="false">IF(AND(Z13&gt;0,COUNTIF(Z13:AL13,"&lt;=0")=0),Z$4,99)</f>
        <v>99</v>
      </c>
      <c r="AA17" s="0" t="n">
        <f aca="false">IF(AND(AA13&gt;0,COUNTIF(AA13:AL13,"&lt;=0")=0),AA$4,99)</f>
        <v>99</v>
      </c>
      <c r="AB17" s="0" t="n">
        <f aca="false">IF(AND(AB13&gt;0,COUNTIF(AB13:AL13,"&lt;=0")=0),AB$4,99)</f>
        <v>99</v>
      </c>
      <c r="AC17" s="0" t="n">
        <f aca="false">IF(AND(AC13&gt;0,COUNTIF(AC13:AL13,"&lt;=0")=0),AC$4,99)</f>
        <v>99</v>
      </c>
      <c r="AD17" s="0" t="n">
        <f aca="false">IF(AND(AD13&gt;0,COUNTIF(AD13:AL13,"&lt;=0")=0),AD$4,99)</f>
        <v>99</v>
      </c>
      <c r="AE17" s="0" t="n">
        <f aca="false">IF(AND(AE13&gt;0,COUNTIF(AE13:AL13,"&lt;=0")=0),AE$4,99)</f>
        <v>99</v>
      </c>
      <c r="AF17" s="0" t="n">
        <f aca="false">IF(AND(AF13&gt;0,COUNTIF(AF13:AL13,"&lt;=0")=0),AF$4,99)</f>
        <v>99</v>
      </c>
      <c r="AG17" s="0" t="n">
        <f aca="false">IF(AND(AG13&gt;0,COUNTIF(AG13:AL13,"&lt;=0")=0),AG$4,99)</f>
        <v>99</v>
      </c>
      <c r="AH17" s="0" t="n">
        <f aca="false">IF(AND(AH13&gt;0,COUNTIF(AH13:AL13,"&lt;=0")=0),AH$4,99)</f>
        <v>99</v>
      </c>
      <c r="AI17" s="0" t="n">
        <f aca="false">IF(AND(AI13&gt;0,COUNTIF(AI13:AL13,"&lt;=0")=0),AI$4,99)</f>
        <v>99</v>
      </c>
      <c r="AJ17" s="0" t="n">
        <f aca="false">IF(AND(AJ13&gt;0,COUNTIF(AJ13:AL13,"&lt;=0")=0),AJ$4,99)</f>
        <v>99</v>
      </c>
      <c r="AK17" s="0" t="n">
        <f aca="false">IF(AND(AK13&gt;0,COUNTIF(AK13:AL13,"&lt;=0")=0),AK$4,99)</f>
        <v>99</v>
      </c>
      <c r="AL17" s="0" t="n">
        <f aca="false">IF(AND(AL13&gt;0,COUNTIF(AL13:AL13,"&lt;=0")=0),AL$4,99)</f>
        <v>99</v>
      </c>
    </row>
    <row r="18" customFormat="false" ht="15" hidden="false" customHeight="false" outlineLevel="0" collapsed="false">
      <c r="A18" s="0" t="s">
        <v>291</v>
      </c>
      <c r="B18" s="0" t="s">
        <v>292</v>
      </c>
      <c r="C18" s="0" t="n">
        <f aca="false">IF(AND(C16&gt;=0,COUNTIF(C16:AL16,"&lt;0")=0),C$4,99)</f>
        <v>99</v>
      </c>
      <c r="D18" s="0" t="n">
        <f aca="false">IF(AND(D16&gt;=0,COUNTIF(D16:AL16,"&lt;0")=0),D$4,99)</f>
        <v>99</v>
      </c>
      <c r="E18" s="0" t="n">
        <f aca="false">IF(AND(E16&gt;=0,COUNTIF(E16:AL16,"&lt;0")=0),E$4,99)</f>
        <v>99</v>
      </c>
      <c r="F18" s="0" t="n">
        <f aca="false">IF(AND(F16&gt;=0,COUNTIF(F16:AL16,"&lt;0")=0),F$4,99)</f>
        <v>99</v>
      </c>
      <c r="G18" s="0" t="n">
        <f aca="false">IF(AND(G16&gt;=0,COUNTIF(G16:AL16,"&lt;0")=0),G$4,99)</f>
        <v>99</v>
      </c>
      <c r="H18" s="0" t="n">
        <f aca="false">IF(AND(H16&gt;=0,COUNTIF(H16:AL16,"&lt;0")=0),H$4,99)</f>
        <v>99</v>
      </c>
      <c r="I18" s="0" t="n">
        <f aca="false">IF(AND(I16&gt;=0,COUNTIF(I16:AL16,"&lt;0")=0),I$4,99)</f>
        <v>99</v>
      </c>
      <c r="J18" s="0" t="n">
        <f aca="false">IF(AND(J16&gt;=0,COUNTIF(J16:AL16,"&lt;0")=0),J$4,99)</f>
        <v>99</v>
      </c>
      <c r="K18" s="0" t="n">
        <f aca="false">IF(AND(K16&gt;=0,COUNTIF(K16:AL16,"&lt;0")=0),K$4,99)</f>
        <v>99</v>
      </c>
      <c r="L18" s="0" t="n">
        <f aca="false">IF(AND(L16&gt;=0,COUNTIF(L16:AL16,"&lt;0")=0),L$4,99)</f>
        <v>99</v>
      </c>
      <c r="M18" s="0" t="n">
        <f aca="false">IF(AND(M16&gt;=0,COUNTIF(M16:AL16,"&lt;0")=0),M$4,99)</f>
        <v>99</v>
      </c>
      <c r="N18" s="0" t="n">
        <f aca="false">IF(AND(N16&gt;=0,COUNTIF(N16:AL16,"&lt;0")=0),N$4,99)</f>
        <v>99</v>
      </c>
      <c r="O18" s="0" t="n">
        <f aca="false">IF(AND(O16&gt;=0,COUNTIF(O16:AL16,"&lt;0")=0),O$4,99)</f>
        <v>99</v>
      </c>
      <c r="P18" s="0" t="n">
        <f aca="false">IF(AND(P16&gt;=0,COUNTIF(P16:AL16,"&lt;0")=0),P$4,99)</f>
        <v>99</v>
      </c>
      <c r="Q18" s="0" t="n">
        <f aca="false">IF(AND(Q16&gt;=0,COUNTIF(Q16:AL16,"&lt;0")=0),Q$4,99)</f>
        <v>99</v>
      </c>
      <c r="R18" s="0" t="n">
        <f aca="false">IF(AND(R16&gt;=0,COUNTIF(R16:AL16,"&lt;0")=0),R$4,99)</f>
        <v>99</v>
      </c>
      <c r="S18" s="0" t="n">
        <f aca="false">IF(AND(S16&gt;=0,COUNTIF(S16:AL16,"&lt;0")=0),S$4,99)</f>
        <v>99</v>
      </c>
      <c r="T18" s="0" t="n">
        <f aca="false">IF(AND(T16&gt;=0,COUNTIF(T16:AL16,"&lt;0")=0),T$4,99)</f>
        <v>99</v>
      </c>
      <c r="U18" s="0" t="n">
        <f aca="false">IF(AND(U16&gt;=0,COUNTIF(U16:AL16,"&lt;0")=0),U$4,99)</f>
        <v>99</v>
      </c>
      <c r="V18" s="0" t="n">
        <f aca="false">IF(AND(V16&gt;=0,COUNTIF(V16:AL16,"&lt;0")=0),V$4,99)</f>
        <v>99</v>
      </c>
      <c r="W18" s="0" t="n">
        <f aca="false">IF(AND(W16&gt;=0,COUNTIF(W16:AL16,"&lt;0")=0),W$4,99)</f>
        <v>99</v>
      </c>
      <c r="X18" s="0" t="n">
        <f aca="false">IF(AND(X16&gt;=0,COUNTIF(X16:AL16,"&lt;0")=0),X$4,99)</f>
        <v>99</v>
      </c>
      <c r="Y18" s="0" t="n">
        <f aca="false">IF(AND(Y16&gt;=0,COUNTIF(Y16:AL16,"&lt;0")=0),Y$4,99)</f>
        <v>99</v>
      </c>
      <c r="Z18" s="0" t="n">
        <f aca="false">IF(AND(Z16&gt;=0,COUNTIF(Z16:AL16,"&lt;0")=0),Z$4,99)</f>
        <v>99</v>
      </c>
      <c r="AA18" s="0" t="n">
        <f aca="false">IF(AND(AA16&gt;=0,COUNTIF(AA16:AL16,"&lt;0")=0),AA$4,99)</f>
        <v>99</v>
      </c>
      <c r="AB18" s="0" t="n">
        <f aca="false">IF(AND(AB16&gt;=0,COUNTIF(AB16:AL16,"&lt;0")=0),AB$4,99)</f>
        <v>99</v>
      </c>
      <c r="AC18" s="0" t="n">
        <f aca="false">IF(AND(AC16&gt;=0,COUNTIF(AC16:AL16,"&lt;0")=0),AC$4,99)</f>
        <v>99</v>
      </c>
      <c r="AD18" s="0" t="n">
        <f aca="false">IF(AND(AD16&gt;=0,COUNTIF(AD16:AL16,"&lt;0")=0),AD$4,99)</f>
        <v>99</v>
      </c>
      <c r="AE18" s="0" t="n">
        <f aca="false">IF(AND(AE16&gt;=0,COUNTIF(AE16:AL16,"&lt;0")=0),AE$4,99)</f>
        <v>99</v>
      </c>
      <c r="AF18" s="0" t="n">
        <f aca="false">IF(AND(AF16&gt;=0,COUNTIF(AF16:AL16,"&lt;0")=0),AF$4,99)</f>
        <v>99</v>
      </c>
      <c r="AG18" s="0" t="n">
        <f aca="false">IF(AND(AG16&gt;=0,COUNTIF(AG16:AL16,"&lt;0")=0),AG$4,99)</f>
        <v>99</v>
      </c>
      <c r="AH18" s="0" t="n">
        <f aca="false">IF(AND(AH16&gt;=0,COUNTIF(AH16:AL16,"&lt;0")=0),AH$4,99)</f>
        <v>99</v>
      </c>
      <c r="AI18" s="0" t="n">
        <f aca="false">IF(AND(AI16&gt;=0,COUNTIF(AI16:AL16,"&lt;0")=0),AI$4,99)</f>
        <v>99</v>
      </c>
      <c r="AJ18" s="0" t="n">
        <f aca="false">IF(AND(AJ16&gt;=0,COUNTIF(AJ16:AL16,"&lt;0")=0),AJ$4,99)</f>
        <v>99</v>
      </c>
      <c r="AK18" s="0" t="n">
        <f aca="false">IF(AND(AK16&gt;=0,COUNTIF(AK16:AL16,"&lt;0")=0),AK$4,99)</f>
        <v>99</v>
      </c>
      <c r="AL18" s="0" t="n">
        <f aca="false">IF(AND(AL16&gt;=0,COUNTIF(AL16:AL16,"&lt;0")=0),AL$4,99)</f>
        <v>99</v>
      </c>
    </row>
    <row r="20" customFormat="false" ht="15" hidden="false" customHeight="false" outlineLevel="0" collapsed="false">
      <c r="A20" s="1" t="s">
        <v>293</v>
      </c>
      <c r="B20" s="1" t="s">
        <v>252</v>
      </c>
      <c r="C20" s="1" t="n">
        <v>1</v>
      </c>
      <c r="D20" s="1" t="n">
        <v>2</v>
      </c>
      <c r="E20" s="1" t="n">
        <v>3</v>
      </c>
      <c r="F20" s="1" t="n">
        <v>4</v>
      </c>
      <c r="G20" s="1" t="n">
        <v>5</v>
      </c>
      <c r="H20" s="1" t="n">
        <v>6</v>
      </c>
      <c r="I20" s="1" t="n">
        <v>7</v>
      </c>
      <c r="J20" s="1" t="n">
        <v>8</v>
      </c>
      <c r="K20" s="1" t="n">
        <v>9</v>
      </c>
      <c r="L20" s="1" t="n">
        <v>10</v>
      </c>
      <c r="M20" s="1" t="n">
        <v>11</v>
      </c>
      <c r="N20" s="1" t="n">
        <v>12</v>
      </c>
      <c r="O20" s="1" t="n">
        <v>13</v>
      </c>
      <c r="P20" s="1" t="n">
        <v>14</v>
      </c>
      <c r="Q20" s="1" t="n">
        <v>15</v>
      </c>
      <c r="R20" s="1" t="n">
        <v>16</v>
      </c>
      <c r="S20" s="1" t="n">
        <v>17</v>
      </c>
      <c r="T20" s="1" t="n">
        <v>18</v>
      </c>
      <c r="U20" s="1" t="n">
        <v>19</v>
      </c>
      <c r="V20" s="1" t="n">
        <v>20</v>
      </c>
      <c r="W20" s="1" t="n">
        <v>21</v>
      </c>
      <c r="X20" s="1" t="n">
        <v>22</v>
      </c>
      <c r="Y20" s="1" t="n">
        <v>23</v>
      </c>
      <c r="Z20" s="1" t="n">
        <v>24</v>
      </c>
      <c r="AA20" s="1" t="n">
        <v>25</v>
      </c>
      <c r="AB20" s="1" t="n">
        <v>26</v>
      </c>
      <c r="AC20" s="1" t="n">
        <v>27</v>
      </c>
      <c r="AD20" s="1" t="n">
        <v>28</v>
      </c>
      <c r="AE20" s="1" t="n">
        <v>29</v>
      </c>
      <c r="AF20" s="1" t="n">
        <v>30</v>
      </c>
      <c r="AG20" s="1" t="n">
        <v>31</v>
      </c>
      <c r="AH20" s="1" t="n">
        <v>32</v>
      </c>
      <c r="AI20" s="1" t="n">
        <v>33</v>
      </c>
      <c r="AJ20" s="1" t="n">
        <v>34</v>
      </c>
      <c r="AK20" s="1" t="n">
        <v>35</v>
      </c>
      <c r="AL20" s="1" t="n">
        <v>36</v>
      </c>
      <c r="AM20" s="1" t="s">
        <v>253</v>
      </c>
      <c r="AN20" s="1" t="s">
        <v>254</v>
      </c>
      <c r="AO20" s="1" t="s">
        <v>255</v>
      </c>
      <c r="AP20" s="1" t="s">
        <v>256</v>
      </c>
    </row>
    <row r="21" customFormat="false" ht="15" hidden="false" customHeight="false" outlineLevel="0" collapsed="false">
      <c r="A21" s="0" t="s">
        <v>308</v>
      </c>
      <c r="B21" s="0" t="s">
        <v>309</v>
      </c>
      <c r="C21" s="10" t="n">
        <f aca="false">Допущения!$D$43*Допущения!$D$44*IF(C$20&lt;Допущения!$D$42,0,((C$20-Допущения!$D$42+1)/(36-Допущения!$D$42+1))^Допущения!$D$56)</f>
        <v>0</v>
      </c>
      <c r="D21" s="10" t="n">
        <f aca="false">Допущения!$D$43*Допущения!$D$44*IF(D$20&lt;Допущения!$D$42,0,((D$20-Допущения!$D$42+1)/(36-Допущения!$D$42+1))^Допущения!$D$56)</f>
        <v>0</v>
      </c>
      <c r="E21" s="10" t="n">
        <f aca="false">Допущения!$D$43*Допущения!$D$44*IF(E$20&lt;Допущения!$D$42,0,((E$20-Допущения!$D$42+1)/(36-Допущения!$D$42+1))^Допущения!$D$56)</f>
        <v>0</v>
      </c>
      <c r="F21" s="10" t="n">
        <f aca="false">Допущения!$D$43*Допущения!$D$44*IF(F$20&lt;Допущения!$D$42,0,((F$20-Допущения!$D$42+1)/(36-Допущения!$D$42+1))^Допущения!$D$56)</f>
        <v>81.8181818181818</v>
      </c>
      <c r="G21" s="10" t="n">
        <f aca="false">Допущения!$D$43*Допущения!$D$44*IF(G$20&lt;Допущения!$D$42,0,((G$20-Допущения!$D$42+1)/(36-Допущения!$D$42+1))^Допущения!$D$56)</f>
        <v>163.636363636364</v>
      </c>
      <c r="H21" s="10" t="n">
        <f aca="false">Допущения!$D$43*Допущения!$D$44*IF(H$20&lt;Допущения!$D$42,0,((H$20-Допущения!$D$42+1)/(36-Допущения!$D$42+1))^Допущения!$D$56)</f>
        <v>245.454545454545</v>
      </c>
      <c r="I21" s="10" t="n">
        <f aca="false">Допущения!$D$43*Допущения!$D$44*IF(I$20&lt;Допущения!$D$42,0,((I$20-Допущения!$D$42+1)/(36-Допущения!$D$42+1))^Допущения!$D$56)</f>
        <v>327.272727272727</v>
      </c>
      <c r="J21" s="10" t="n">
        <f aca="false">Допущения!$D$43*Допущения!$D$44*IF(J$20&lt;Допущения!$D$42,0,((J$20-Допущения!$D$42+1)/(36-Допущения!$D$42+1))^Допущения!$D$56)</f>
        <v>409.090909090909</v>
      </c>
      <c r="K21" s="10" t="n">
        <f aca="false">Допущения!$D$43*Допущения!$D$44*IF(K$20&lt;Допущения!$D$42,0,((K$20-Допущения!$D$42+1)/(36-Допущения!$D$42+1))^Допущения!$D$56)</f>
        <v>490.909090909091</v>
      </c>
      <c r="L21" s="10" t="n">
        <f aca="false">Допущения!$D$43*Допущения!$D$44*IF(L$20&lt;Допущения!$D$42,0,((L$20-Допущения!$D$42+1)/(36-Допущения!$D$42+1))^Допущения!$D$56)</f>
        <v>572.727272727273</v>
      </c>
      <c r="M21" s="10" t="n">
        <f aca="false">Допущения!$D$43*Допущения!$D$44*IF(M$20&lt;Допущения!$D$42,0,((M$20-Допущения!$D$42+1)/(36-Допущения!$D$42+1))^Допущения!$D$56)</f>
        <v>654.545454545455</v>
      </c>
      <c r="N21" s="10" t="n">
        <f aca="false">Допущения!$D$43*Допущения!$D$44*IF(N$20&lt;Допущения!$D$42,0,((N$20-Допущения!$D$42+1)/(36-Допущения!$D$42+1))^Допущения!$D$56)</f>
        <v>736.363636363636</v>
      </c>
      <c r="O21" s="10" t="n">
        <f aca="false">Допущения!$D$43*Допущения!$D$44*IF(O$20&lt;Допущения!$D$42,0,((O$20-Допущения!$D$42+1)/(36-Допущения!$D$42+1))^Допущения!$D$56)</f>
        <v>818.181818181818</v>
      </c>
      <c r="P21" s="10" t="n">
        <f aca="false">Допущения!$D$43*Допущения!$D$44*IF(P$20&lt;Допущения!$D$42,0,((P$20-Допущения!$D$42+1)/(36-Допущения!$D$42+1))^Допущения!$D$56)</f>
        <v>900</v>
      </c>
      <c r="Q21" s="10" t="n">
        <f aca="false">Допущения!$D$43*Допущения!$D$44*IF(Q$20&lt;Допущения!$D$42,0,((Q$20-Допущения!$D$42+1)/(36-Допущения!$D$42+1))^Допущения!$D$56)</f>
        <v>981.818181818182</v>
      </c>
      <c r="R21" s="10" t="n">
        <f aca="false">Допущения!$D$43*Допущения!$D$44*IF(R$20&lt;Допущения!$D$42,0,((R$20-Допущения!$D$42+1)/(36-Допущения!$D$42+1))^Допущения!$D$56)</f>
        <v>1063.63636363636</v>
      </c>
      <c r="S21" s="10" t="n">
        <f aca="false">Допущения!$D$43*Допущения!$D$44*IF(S$20&lt;Допущения!$D$42,0,((S$20-Допущения!$D$42+1)/(36-Допущения!$D$42+1))^Допущения!$D$56)</f>
        <v>1145.45454545455</v>
      </c>
      <c r="T21" s="10" t="n">
        <f aca="false">Допущения!$D$43*Допущения!$D$44*IF(T$20&lt;Допущения!$D$42,0,((T$20-Допущения!$D$42+1)/(36-Допущения!$D$42+1))^Допущения!$D$56)</f>
        <v>1227.27272727273</v>
      </c>
      <c r="U21" s="10" t="n">
        <f aca="false">Допущения!$D$43*Допущения!$D$44*IF(U$20&lt;Допущения!$D$42,0,((U$20-Допущения!$D$42+1)/(36-Допущения!$D$42+1))^Допущения!$D$56)</f>
        <v>1309.09090909091</v>
      </c>
      <c r="V21" s="10" t="n">
        <f aca="false">Допущения!$D$43*Допущения!$D$44*IF(V$20&lt;Допущения!$D$42,0,((V$20-Допущения!$D$42+1)/(36-Допущения!$D$42+1))^Допущения!$D$56)</f>
        <v>1390.90909090909</v>
      </c>
      <c r="W21" s="10" t="n">
        <f aca="false">Допущения!$D$43*Допущения!$D$44*IF(W$20&lt;Допущения!$D$42,0,((W$20-Допущения!$D$42+1)/(36-Допущения!$D$42+1))^Допущения!$D$56)</f>
        <v>1472.72727272727</v>
      </c>
      <c r="X21" s="10" t="n">
        <f aca="false">Допущения!$D$43*Допущения!$D$44*IF(X$20&lt;Допущения!$D$42,0,((X$20-Допущения!$D$42+1)/(36-Допущения!$D$42+1))^Допущения!$D$56)</f>
        <v>1554.54545454545</v>
      </c>
      <c r="Y21" s="10" t="n">
        <f aca="false">Допущения!$D$43*Допущения!$D$44*IF(Y$20&lt;Допущения!$D$42,0,((Y$20-Допущения!$D$42+1)/(36-Допущения!$D$42+1))^Допущения!$D$56)</f>
        <v>1636.36363636364</v>
      </c>
      <c r="Z21" s="10" t="n">
        <f aca="false">Допущения!$D$43*Допущения!$D$44*IF(Z$20&lt;Допущения!$D$42,0,((Z$20-Допущения!$D$42+1)/(36-Допущения!$D$42+1))^Допущения!$D$56)</f>
        <v>1718.18181818182</v>
      </c>
      <c r="AA21" s="10" t="n">
        <f aca="false">Допущения!$D$43*Допущения!$D$44*IF(AA$20&lt;Допущения!$D$42,0,((AA$20-Допущения!$D$42+1)/(36-Допущения!$D$42+1))^Допущения!$D$56)</f>
        <v>1800</v>
      </c>
      <c r="AB21" s="10" t="n">
        <f aca="false">Допущения!$D$43*Допущения!$D$44*IF(AB$20&lt;Допущения!$D$42,0,((AB$20-Допущения!$D$42+1)/(36-Допущения!$D$42+1))^Допущения!$D$56)</f>
        <v>1881.81818181818</v>
      </c>
      <c r="AC21" s="10" t="n">
        <f aca="false">Допущения!$D$43*Допущения!$D$44*IF(AC$20&lt;Допущения!$D$42,0,((AC$20-Допущения!$D$42+1)/(36-Допущения!$D$42+1))^Допущения!$D$56)</f>
        <v>1963.63636363636</v>
      </c>
      <c r="AD21" s="10" t="n">
        <f aca="false">Допущения!$D$43*Допущения!$D$44*IF(AD$20&lt;Допущения!$D$42,0,((AD$20-Допущения!$D$42+1)/(36-Допущения!$D$42+1))^Допущения!$D$56)</f>
        <v>2045.45454545455</v>
      </c>
      <c r="AE21" s="10" t="n">
        <f aca="false">Допущения!$D$43*Допущения!$D$44*IF(AE$20&lt;Допущения!$D$42,0,((AE$20-Допущения!$D$42+1)/(36-Допущения!$D$42+1))^Допущения!$D$56)</f>
        <v>2127.27272727273</v>
      </c>
      <c r="AF21" s="10" t="n">
        <f aca="false">Допущения!$D$43*Допущения!$D$44*IF(AF$20&lt;Допущения!$D$42,0,((AF$20-Допущения!$D$42+1)/(36-Допущения!$D$42+1))^Допущения!$D$56)</f>
        <v>2209.09090909091</v>
      </c>
      <c r="AG21" s="10" t="n">
        <f aca="false">Допущения!$D$43*Допущения!$D$44*IF(AG$20&lt;Допущения!$D$42,0,((AG$20-Допущения!$D$42+1)/(36-Допущения!$D$42+1))^Допущения!$D$56)</f>
        <v>2290.90909090909</v>
      </c>
      <c r="AH21" s="10" t="n">
        <f aca="false">Допущения!$D$43*Допущения!$D$44*IF(AH$20&lt;Допущения!$D$42,0,((AH$20-Допущения!$D$42+1)/(36-Допущения!$D$42+1))^Допущения!$D$56)</f>
        <v>2372.72727272727</v>
      </c>
      <c r="AI21" s="10" t="n">
        <f aca="false">Допущения!$D$43*Допущения!$D$44*IF(AI$20&lt;Допущения!$D$42,0,((AI$20-Допущения!$D$42+1)/(36-Допущения!$D$42+1))^Допущения!$D$56)</f>
        <v>2454.54545454545</v>
      </c>
      <c r="AJ21" s="10" t="n">
        <f aca="false">Допущения!$D$43*Допущения!$D$44*IF(AJ$20&lt;Допущения!$D$42,0,((AJ$20-Допущения!$D$42+1)/(36-Допущения!$D$42+1))^Допущения!$D$56)</f>
        <v>2536.36363636364</v>
      </c>
      <c r="AK21" s="10" t="n">
        <f aca="false">Допущения!$D$43*Допущения!$D$44*IF(AK$20&lt;Допущения!$D$42,0,((AK$20-Допущения!$D$42+1)/(36-Допущения!$D$42+1))^Допущения!$D$56)</f>
        <v>2618.18181818182</v>
      </c>
      <c r="AL21" s="10" t="n">
        <f aca="false">Допущения!$D$43*Допущения!$D$44*IF(AL$20&lt;Допущения!$D$42,0,((AL$20-Допущения!$D$42+1)/(36-Допущения!$D$42+1))^Допущения!$D$56)</f>
        <v>2700</v>
      </c>
      <c r="AM21" s="10" t="n">
        <f aca="false">SUM(C21:N21)</f>
        <v>3681.81818181818</v>
      </c>
      <c r="AN21" s="10" t="n">
        <f aca="false">SUM(O21:Z21)</f>
        <v>15218.1818181818</v>
      </c>
      <c r="AO21" s="10" t="n">
        <f aca="false">SUM(AA21:AL21)</f>
        <v>27000</v>
      </c>
      <c r="AP21" s="10" t="n">
        <f aca="false">SUM(C21:AL21)</f>
        <v>45900</v>
      </c>
    </row>
    <row r="22" customFormat="false" ht="15" hidden="false" customHeight="false" outlineLevel="0" collapsed="false">
      <c r="A22" s="0" t="s">
        <v>267</v>
      </c>
      <c r="B22" s="0" t="s">
        <v>310</v>
      </c>
      <c r="C22" s="10" t="n">
        <f aca="false">C21*Допущения!$D$45</f>
        <v>0</v>
      </c>
      <c r="D22" s="10" t="n">
        <f aca="false">D21*Допущения!$D$45</f>
        <v>0</v>
      </c>
      <c r="E22" s="10" t="n">
        <f aca="false">E21*Допущения!$D$45</f>
        <v>0</v>
      </c>
      <c r="F22" s="10" t="n">
        <f aca="false">F21*Допущения!$D$45</f>
        <v>155454.545454545</v>
      </c>
      <c r="G22" s="10" t="n">
        <f aca="false">G21*Допущения!$D$45</f>
        <v>310909.090909091</v>
      </c>
      <c r="H22" s="10" t="n">
        <f aca="false">H21*Допущения!$D$45</f>
        <v>466363.636363636</v>
      </c>
      <c r="I22" s="10" t="n">
        <f aca="false">I21*Допущения!$D$45</f>
        <v>621818.181818182</v>
      </c>
      <c r="J22" s="10" t="n">
        <f aca="false">J21*Допущения!$D$45</f>
        <v>777272.727272727</v>
      </c>
      <c r="K22" s="10" t="n">
        <f aca="false">K21*Допущения!$D$45</f>
        <v>932727.272727273</v>
      </c>
      <c r="L22" s="10" t="n">
        <f aca="false">L21*Допущения!$D$45</f>
        <v>1088181.81818182</v>
      </c>
      <c r="M22" s="10" t="n">
        <f aca="false">M21*Допущения!$D$45</f>
        <v>1243636.36363636</v>
      </c>
      <c r="N22" s="10" t="n">
        <f aca="false">N21*Допущения!$D$45</f>
        <v>1399090.90909091</v>
      </c>
      <c r="O22" s="10" t="n">
        <f aca="false">O21*Допущения!$D$45</f>
        <v>1554545.45454545</v>
      </c>
      <c r="P22" s="10" t="n">
        <f aca="false">P21*Допущения!$D$45</f>
        <v>1710000</v>
      </c>
      <c r="Q22" s="10" t="n">
        <f aca="false">Q21*Допущения!$D$45</f>
        <v>1865454.54545455</v>
      </c>
      <c r="R22" s="10" t="n">
        <f aca="false">R21*Допущения!$D$45</f>
        <v>2020909.09090909</v>
      </c>
      <c r="S22" s="10" t="n">
        <f aca="false">S21*Допущения!$D$45</f>
        <v>2176363.63636364</v>
      </c>
      <c r="T22" s="10" t="n">
        <f aca="false">T21*Допущения!$D$45</f>
        <v>2331818.18181818</v>
      </c>
      <c r="U22" s="10" t="n">
        <f aca="false">U21*Допущения!$D$45</f>
        <v>2487272.72727273</v>
      </c>
      <c r="V22" s="10" t="n">
        <f aca="false">V21*Допущения!$D$45</f>
        <v>2642727.27272727</v>
      </c>
      <c r="W22" s="10" t="n">
        <f aca="false">W21*Допущения!$D$45</f>
        <v>2798181.81818182</v>
      </c>
      <c r="X22" s="10" t="n">
        <f aca="false">X21*Допущения!$D$45</f>
        <v>2953636.36363636</v>
      </c>
      <c r="Y22" s="10" t="n">
        <f aca="false">Y21*Допущения!$D$45</f>
        <v>3109090.90909091</v>
      </c>
      <c r="Z22" s="10" t="n">
        <f aca="false">Z21*Допущения!$D$45</f>
        <v>3264545.45454545</v>
      </c>
      <c r="AA22" s="10" t="n">
        <f aca="false">AA21*Допущения!$D$45</f>
        <v>3420000</v>
      </c>
      <c r="AB22" s="10" t="n">
        <f aca="false">AB21*Допущения!$D$45</f>
        <v>3575454.54545455</v>
      </c>
      <c r="AC22" s="10" t="n">
        <f aca="false">AC21*Допущения!$D$45</f>
        <v>3730909.09090909</v>
      </c>
      <c r="AD22" s="10" t="n">
        <f aca="false">AD21*Допущения!$D$45</f>
        <v>3886363.63636364</v>
      </c>
      <c r="AE22" s="10" t="n">
        <f aca="false">AE21*Допущения!$D$45</f>
        <v>4041818.18181818</v>
      </c>
      <c r="AF22" s="10" t="n">
        <f aca="false">AF21*Допущения!$D$45</f>
        <v>4197272.72727273</v>
      </c>
      <c r="AG22" s="10" t="n">
        <f aca="false">AG21*Допущения!$D$45</f>
        <v>4352727.27272727</v>
      </c>
      <c r="AH22" s="10" t="n">
        <f aca="false">AH21*Допущения!$D$45</f>
        <v>4508181.81818182</v>
      </c>
      <c r="AI22" s="10" t="n">
        <f aca="false">AI21*Допущения!$D$45</f>
        <v>4663636.36363636</v>
      </c>
      <c r="AJ22" s="10" t="n">
        <f aca="false">AJ21*Допущения!$D$45</f>
        <v>4819090.90909091</v>
      </c>
      <c r="AK22" s="10" t="n">
        <f aca="false">AK21*Допущения!$D$45</f>
        <v>4974545.45454546</v>
      </c>
      <c r="AL22" s="10" t="n">
        <f aca="false">AL21*Допущения!$D$45</f>
        <v>5130000</v>
      </c>
      <c r="AM22" s="10" t="n">
        <f aca="false">SUM(C22:N22)</f>
        <v>6995454.54545455</v>
      </c>
      <c r="AN22" s="10" t="n">
        <f aca="false">SUM(O22:Z22)</f>
        <v>28914545.4545455</v>
      </c>
      <c r="AO22" s="10" t="n">
        <f aca="false">SUM(AA22:AL22)</f>
        <v>51300000</v>
      </c>
      <c r="AP22" s="10" t="n">
        <f aca="false">SUM(C22:AL22)</f>
        <v>87210000</v>
      </c>
    </row>
    <row r="23" customFormat="false" ht="15" hidden="false" customHeight="false" outlineLevel="0" collapsed="false">
      <c r="A23" s="0" t="s">
        <v>311</v>
      </c>
      <c r="B23" s="0" t="s">
        <v>312</v>
      </c>
      <c r="C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D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E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F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G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H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I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J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K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L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M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N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O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P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Q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R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S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T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U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V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W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X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Y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Z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A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B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C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D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E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F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G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H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I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J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K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L23" s="10" t="n">
        <f aca="false">Допущения!$D$45*(1-Допущения!$D$47-Допущения!$D$46-Допущения!$D$49-Допущения!$D$50-Допущения!$D$52)-Допущения!$D$48-Допущения!$D$51</f>
        <v>95.0000000000001</v>
      </c>
      <c r="AM23" s="10" t="n">
        <f aca="false">N23</f>
        <v>95.0000000000001</v>
      </c>
      <c r="AN23" s="10" t="n">
        <f aca="false">Z23</f>
        <v>95.0000000000001</v>
      </c>
      <c r="AO23" s="10" t="n">
        <f aca="false">AL23</f>
        <v>95.0000000000001</v>
      </c>
    </row>
    <row r="24" customFormat="false" ht="15" hidden="false" customHeight="false" outlineLevel="0" collapsed="false">
      <c r="A24" s="0" t="s">
        <v>275</v>
      </c>
      <c r="B24" s="0" t="s">
        <v>276</v>
      </c>
      <c r="C24" s="10" t="n">
        <f aca="false">C21*C23</f>
        <v>0</v>
      </c>
      <c r="D24" s="10" t="n">
        <f aca="false">D21*D23</f>
        <v>0</v>
      </c>
      <c r="E24" s="10" t="n">
        <f aca="false">E21*E23</f>
        <v>0</v>
      </c>
      <c r="F24" s="10" t="n">
        <f aca="false">F21*F23</f>
        <v>7772.72727272728</v>
      </c>
      <c r="G24" s="10" t="n">
        <f aca="false">G21*G23</f>
        <v>15545.4545454546</v>
      </c>
      <c r="H24" s="10" t="n">
        <f aca="false">H21*H23</f>
        <v>23318.1818181818</v>
      </c>
      <c r="I24" s="10" t="n">
        <f aca="false">I21*I23</f>
        <v>31090.9090909091</v>
      </c>
      <c r="J24" s="10" t="n">
        <f aca="false">J21*J23</f>
        <v>38863.6363636364</v>
      </c>
      <c r="K24" s="10" t="n">
        <f aca="false">K21*K23</f>
        <v>46636.3636363637</v>
      </c>
      <c r="L24" s="10" t="n">
        <f aca="false">L21*L23</f>
        <v>54409.0909090909</v>
      </c>
      <c r="M24" s="10" t="n">
        <f aca="false">M21*M23</f>
        <v>62181.8181818182</v>
      </c>
      <c r="N24" s="10" t="n">
        <f aca="false">N21*N23</f>
        <v>69954.5454545455</v>
      </c>
      <c r="O24" s="10" t="n">
        <f aca="false">O21*O23</f>
        <v>77727.2727272728</v>
      </c>
      <c r="P24" s="10" t="n">
        <f aca="false">P21*P23</f>
        <v>85500.0000000001</v>
      </c>
      <c r="Q24" s="10" t="n">
        <f aca="false">Q21*Q23</f>
        <v>93272.7272727273</v>
      </c>
      <c r="R24" s="10" t="n">
        <f aca="false">R21*R23</f>
        <v>101045.454545455</v>
      </c>
      <c r="S24" s="10" t="n">
        <f aca="false">S21*S23</f>
        <v>108818.181818182</v>
      </c>
      <c r="T24" s="10" t="n">
        <f aca="false">T21*T23</f>
        <v>116590.909090909</v>
      </c>
      <c r="U24" s="10" t="n">
        <f aca="false">U21*U23</f>
        <v>124363.636363636</v>
      </c>
      <c r="V24" s="10" t="n">
        <f aca="false">V21*V23</f>
        <v>132136.363636364</v>
      </c>
      <c r="W24" s="10" t="n">
        <f aca="false">W21*W23</f>
        <v>139909.090909091</v>
      </c>
      <c r="X24" s="10" t="n">
        <f aca="false">X21*X23</f>
        <v>147681.818181818</v>
      </c>
      <c r="Y24" s="10" t="n">
        <f aca="false">Y21*Y23</f>
        <v>155454.545454546</v>
      </c>
      <c r="Z24" s="10" t="n">
        <f aca="false">Z21*Z23</f>
        <v>163227.272727273</v>
      </c>
      <c r="AA24" s="10" t="n">
        <f aca="false">AA21*AA23</f>
        <v>171000</v>
      </c>
      <c r="AB24" s="10" t="n">
        <f aca="false">AB21*AB23</f>
        <v>178772.727272727</v>
      </c>
      <c r="AC24" s="10" t="n">
        <f aca="false">AC21*AC23</f>
        <v>186545.454545455</v>
      </c>
      <c r="AD24" s="10" t="n">
        <f aca="false">AD21*AD23</f>
        <v>194318.181818182</v>
      </c>
      <c r="AE24" s="10" t="n">
        <f aca="false">AE21*AE23</f>
        <v>202090.909090909</v>
      </c>
      <c r="AF24" s="10" t="n">
        <f aca="false">AF21*AF23</f>
        <v>209863.636363636</v>
      </c>
      <c r="AG24" s="10" t="n">
        <f aca="false">AG21*AG23</f>
        <v>217636.363636364</v>
      </c>
      <c r="AH24" s="10" t="n">
        <f aca="false">AH21*AH23</f>
        <v>225409.090909091</v>
      </c>
      <c r="AI24" s="10" t="n">
        <f aca="false">AI21*AI23</f>
        <v>233181.818181818</v>
      </c>
      <c r="AJ24" s="10" t="n">
        <f aca="false">AJ21*AJ23</f>
        <v>240954.545454546</v>
      </c>
      <c r="AK24" s="10" t="n">
        <f aca="false">AK21*AK23</f>
        <v>248727.272727273</v>
      </c>
      <c r="AL24" s="10" t="n">
        <f aca="false">AL21*AL23</f>
        <v>256500</v>
      </c>
      <c r="AM24" s="10" t="n">
        <f aca="false">SUM(C24:N24)</f>
        <v>349772.727272727</v>
      </c>
      <c r="AN24" s="10" t="n">
        <f aca="false">SUM(O24:Z24)</f>
        <v>1445727.27272727</v>
      </c>
      <c r="AO24" s="10" t="n">
        <f aca="false">SUM(AA24:AL24)</f>
        <v>2565000</v>
      </c>
      <c r="AP24" s="10" t="n">
        <f aca="false">SUM(C24:AL24)</f>
        <v>4360500</v>
      </c>
    </row>
    <row r="25" customFormat="false" ht="15" hidden="false" customHeight="false" outlineLevel="0" collapsed="false">
      <c r="A25" s="0" t="s">
        <v>277</v>
      </c>
      <c r="B25" s="0" t="s">
        <v>313</v>
      </c>
      <c r="C25" s="10" t="n">
        <f aca="false">0</f>
        <v>0</v>
      </c>
      <c r="D25" s="10" t="n">
        <f aca="false">0</f>
        <v>0</v>
      </c>
      <c r="E25" s="10" t="n">
        <f aca="false">0</f>
        <v>0</v>
      </c>
      <c r="F25" s="10" t="n">
        <f aca="false">0</f>
        <v>0</v>
      </c>
      <c r="G25" s="10" t="n">
        <f aca="false">0</f>
        <v>0</v>
      </c>
      <c r="H25" s="10" t="n">
        <f aca="false">0</f>
        <v>0</v>
      </c>
      <c r="I25" s="10" t="n">
        <f aca="false">0</f>
        <v>0</v>
      </c>
      <c r="J25" s="10" t="n">
        <f aca="false">0</f>
        <v>0</v>
      </c>
      <c r="K25" s="10" t="n">
        <f aca="false">0</f>
        <v>0</v>
      </c>
      <c r="L25" s="10" t="n">
        <f aca="false">0</f>
        <v>0</v>
      </c>
      <c r="M25" s="10" t="n">
        <f aca="false">0</f>
        <v>0</v>
      </c>
      <c r="N25" s="10" t="n">
        <f aca="false">0</f>
        <v>0</v>
      </c>
      <c r="O25" s="10" t="n">
        <f aca="false">0</f>
        <v>0</v>
      </c>
      <c r="P25" s="10" t="n">
        <f aca="false">0</f>
        <v>0</v>
      </c>
      <c r="Q25" s="10" t="n">
        <f aca="false">0</f>
        <v>0</v>
      </c>
      <c r="R25" s="10" t="n">
        <f aca="false">0</f>
        <v>0</v>
      </c>
      <c r="S25" s="10" t="n">
        <f aca="false">0</f>
        <v>0</v>
      </c>
      <c r="T25" s="10" t="n">
        <f aca="false">0</f>
        <v>0</v>
      </c>
      <c r="U25" s="10" t="n">
        <f aca="false">0</f>
        <v>0</v>
      </c>
      <c r="V25" s="10" t="n">
        <f aca="false">0</f>
        <v>0</v>
      </c>
      <c r="W25" s="10" t="n">
        <f aca="false">0</f>
        <v>0</v>
      </c>
      <c r="X25" s="10" t="n">
        <f aca="false">0</f>
        <v>0</v>
      </c>
      <c r="Y25" s="10" t="n">
        <f aca="false">0</f>
        <v>0</v>
      </c>
      <c r="Z25" s="10" t="n">
        <f aca="false">0</f>
        <v>0</v>
      </c>
      <c r="AA25" s="10" t="n">
        <f aca="false">0</f>
        <v>0</v>
      </c>
      <c r="AB25" s="10" t="n">
        <f aca="false">0</f>
        <v>0</v>
      </c>
      <c r="AC25" s="10" t="n">
        <f aca="false">0</f>
        <v>0</v>
      </c>
      <c r="AD25" s="10" t="n">
        <f aca="false">0</f>
        <v>0</v>
      </c>
      <c r="AE25" s="10" t="n">
        <f aca="false">0</f>
        <v>0</v>
      </c>
      <c r="AF25" s="10" t="n">
        <f aca="false">0</f>
        <v>0</v>
      </c>
      <c r="AG25" s="10" t="n">
        <f aca="false">0</f>
        <v>0</v>
      </c>
      <c r="AH25" s="10" t="n">
        <f aca="false">0</f>
        <v>0</v>
      </c>
      <c r="AI25" s="10" t="n">
        <f aca="false">0</f>
        <v>0</v>
      </c>
      <c r="AJ25" s="10" t="n">
        <f aca="false">0</f>
        <v>0</v>
      </c>
      <c r="AK25" s="10" t="n">
        <f aca="false">0</f>
        <v>0</v>
      </c>
      <c r="AL25" s="10" t="n">
        <f aca="false">0</f>
        <v>0</v>
      </c>
      <c r="AM25" s="10" t="n">
        <f aca="false">SUM(C25:N25)</f>
        <v>0</v>
      </c>
      <c r="AN25" s="10" t="n">
        <f aca="false">SUM(O25:Z25)</f>
        <v>0</v>
      </c>
      <c r="AO25" s="10" t="n">
        <f aca="false">SUM(AA25:AL25)</f>
        <v>0</v>
      </c>
      <c r="AP25" s="10" t="n">
        <f aca="false">SUM(C25:AL25)</f>
        <v>0</v>
      </c>
    </row>
    <row r="26" customFormat="false" ht="15" hidden="false" customHeight="false" outlineLevel="0" collapsed="false">
      <c r="A26" s="0" t="s">
        <v>314</v>
      </c>
      <c r="B26" s="0" t="s">
        <v>315</v>
      </c>
      <c r="C26" s="10" t="n">
        <f aca="false">IF(C$20&gt;=Допущения!$D$42-1,MAX(5,ROUNDUP(Допущения!$D$43*IF(C$20&lt;Допущения!$D$42,0,((C$20-Допущения!$D$42+1)/(36-Допущения!$D$42+1))^1),0)),0)</f>
        <v>0</v>
      </c>
      <c r="D26" s="10" t="n">
        <f aca="false">IF(D$20&gt;=Допущения!$D$42-1,MAX(5,ROUNDUP(Допущения!$D$43*IF(D$20&lt;Допущения!$D$42,0,((D$20-Допущения!$D$42+1)/(36-Допущения!$D$42+1))^1),0)),0)</f>
        <v>0</v>
      </c>
      <c r="E26" s="10" t="n">
        <f aca="false">IF(E$20&gt;=Допущения!$D$42-1,MAX(5,ROUNDUP(Допущения!$D$43*IF(E$20&lt;Допущения!$D$42,0,((E$20-Допущения!$D$42+1)/(36-Допущения!$D$42+1))^1),0)),0)</f>
        <v>5</v>
      </c>
      <c r="F26" s="10" t="n">
        <f aca="false">IF(F$20&gt;=Допущения!$D$42-1,MAX(5,ROUNDUP(Допущения!$D$43*IF(F$20&lt;Допущения!$D$42,0,((F$20-Допущения!$D$42+1)/(36-Допущения!$D$42+1))^1),0)),0)</f>
        <v>5</v>
      </c>
      <c r="G26" s="10" t="n">
        <f aca="false">IF(G$20&gt;=Допущения!$D$42-1,MAX(5,ROUNDUP(Допущения!$D$43*IF(G$20&lt;Допущения!$D$42,0,((G$20-Допущения!$D$42+1)/(36-Допущения!$D$42+1))^1),0)),0)</f>
        <v>5</v>
      </c>
      <c r="H26" s="10" t="n">
        <f aca="false">IF(H$20&gt;=Допущения!$D$42-1,MAX(5,ROUNDUP(Допущения!$D$43*IF(H$20&lt;Допущения!$D$42,0,((H$20-Допущения!$D$42+1)/(36-Допущения!$D$42+1))^1),0)),0)</f>
        <v>5</v>
      </c>
      <c r="I26" s="10" t="n">
        <f aca="false">IF(I$20&gt;=Допущения!$D$42-1,MAX(5,ROUNDUP(Допущения!$D$43*IF(I$20&lt;Допущения!$D$42,0,((I$20-Допущения!$D$42+1)/(36-Допущения!$D$42+1))^1),0)),0)</f>
        <v>5</v>
      </c>
      <c r="J26" s="10" t="n">
        <f aca="false">IF(J$20&gt;=Допущения!$D$42-1,MAX(5,ROUNDUP(Допущения!$D$43*IF(J$20&lt;Допущения!$D$42,0,((J$20-Допущения!$D$42+1)/(36-Допущения!$D$42+1))^1),0)),0)</f>
        <v>5</v>
      </c>
      <c r="K26" s="10" t="n">
        <f aca="false">IF(K$20&gt;=Допущения!$D$42-1,MAX(5,ROUNDUP(Допущения!$D$43*IF(K$20&lt;Допущения!$D$42,0,((K$20-Допущения!$D$42+1)/(36-Допущения!$D$42+1))^1),0)),0)</f>
        <v>6</v>
      </c>
      <c r="L26" s="10" t="n">
        <f aca="false">IF(L$20&gt;=Допущения!$D$42-1,MAX(5,ROUNDUP(Допущения!$D$43*IF(L$20&lt;Допущения!$D$42,0,((L$20-Допущения!$D$42+1)/(36-Допущения!$D$42+1))^1),0)),0)</f>
        <v>7</v>
      </c>
      <c r="M26" s="10" t="n">
        <f aca="false">IF(M$20&gt;=Допущения!$D$42-1,MAX(5,ROUNDUP(Допущения!$D$43*IF(M$20&lt;Допущения!$D$42,0,((M$20-Допущения!$D$42+1)/(36-Допущения!$D$42+1))^1),0)),0)</f>
        <v>8</v>
      </c>
      <c r="N26" s="10" t="n">
        <f aca="false">IF(N$20&gt;=Допущения!$D$42-1,MAX(5,ROUNDUP(Допущения!$D$43*IF(N$20&lt;Допущения!$D$42,0,((N$20-Допущения!$D$42+1)/(36-Допущения!$D$42+1))^1),0)),0)</f>
        <v>9</v>
      </c>
      <c r="O26" s="10" t="n">
        <f aca="false">IF(O$20&gt;=Допущения!$D$42-1,MAX(5,ROUNDUP(Допущения!$D$43*IF(O$20&lt;Допущения!$D$42,0,((O$20-Допущения!$D$42+1)/(36-Допущения!$D$42+1))^1),0)),0)</f>
        <v>10</v>
      </c>
      <c r="P26" s="10" t="n">
        <f aca="false">IF(P$20&gt;=Допущения!$D$42-1,MAX(5,ROUNDUP(Допущения!$D$43*IF(P$20&lt;Допущения!$D$42,0,((P$20-Допущения!$D$42+1)/(36-Допущения!$D$42+1))^1),0)),0)</f>
        <v>10</v>
      </c>
      <c r="Q26" s="10" t="n">
        <f aca="false">IF(Q$20&gt;=Допущения!$D$42-1,MAX(5,ROUNDUP(Допущения!$D$43*IF(Q$20&lt;Допущения!$D$42,0,((Q$20-Допущения!$D$42+1)/(36-Допущения!$D$42+1))^1),0)),0)</f>
        <v>11</v>
      </c>
      <c r="R26" s="10" t="n">
        <f aca="false">IF(R$20&gt;=Допущения!$D$42-1,MAX(5,ROUNDUP(Допущения!$D$43*IF(R$20&lt;Допущения!$D$42,0,((R$20-Допущения!$D$42+1)/(36-Допущения!$D$42+1))^1),0)),0)</f>
        <v>12</v>
      </c>
      <c r="S26" s="10" t="n">
        <f aca="false">IF(S$20&gt;=Допущения!$D$42-1,MAX(5,ROUNDUP(Допущения!$D$43*IF(S$20&lt;Допущения!$D$42,0,((S$20-Допущения!$D$42+1)/(36-Допущения!$D$42+1))^1),0)),0)</f>
        <v>13</v>
      </c>
      <c r="T26" s="10" t="n">
        <f aca="false">IF(T$20&gt;=Допущения!$D$42-1,MAX(5,ROUNDUP(Допущения!$D$43*IF(T$20&lt;Допущения!$D$42,0,((T$20-Допущения!$D$42+1)/(36-Допущения!$D$42+1))^1),0)),0)</f>
        <v>14</v>
      </c>
      <c r="U26" s="10" t="n">
        <f aca="false">IF(U$20&gt;=Допущения!$D$42-1,MAX(5,ROUNDUP(Допущения!$D$43*IF(U$20&lt;Допущения!$D$42,0,((U$20-Допущения!$D$42+1)/(36-Допущения!$D$42+1))^1),0)),0)</f>
        <v>15</v>
      </c>
      <c r="V26" s="10" t="n">
        <f aca="false">IF(V$20&gt;=Допущения!$D$42-1,MAX(5,ROUNDUP(Допущения!$D$43*IF(V$20&lt;Допущения!$D$42,0,((V$20-Допущения!$D$42+1)/(36-Допущения!$D$42+1))^1),0)),0)</f>
        <v>16</v>
      </c>
      <c r="W26" s="10" t="n">
        <f aca="false">IF(W$20&gt;=Допущения!$D$42-1,MAX(5,ROUNDUP(Допущения!$D$43*IF(W$20&lt;Допущения!$D$42,0,((W$20-Допущения!$D$42+1)/(36-Допущения!$D$42+1))^1),0)),0)</f>
        <v>17</v>
      </c>
      <c r="X26" s="10" t="n">
        <f aca="false">IF(X$20&gt;=Допущения!$D$42-1,MAX(5,ROUNDUP(Допущения!$D$43*IF(X$20&lt;Допущения!$D$42,0,((X$20-Допущения!$D$42+1)/(36-Допущения!$D$42+1))^1),0)),0)</f>
        <v>18</v>
      </c>
      <c r="Y26" s="10" t="n">
        <f aca="false">IF(Y$20&gt;=Допущения!$D$42-1,MAX(5,ROUNDUP(Допущения!$D$43*IF(Y$20&lt;Допущения!$D$42,0,((Y$20-Допущения!$D$42+1)/(36-Допущения!$D$42+1))^1),0)),0)</f>
        <v>19</v>
      </c>
      <c r="Z26" s="10" t="n">
        <f aca="false">IF(Z$20&gt;=Допущения!$D$42-1,MAX(5,ROUNDUP(Допущения!$D$43*IF(Z$20&lt;Допущения!$D$42,0,((Z$20-Допущения!$D$42+1)/(36-Допущения!$D$42+1))^1),0)),0)</f>
        <v>20</v>
      </c>
      <c r="AA26" s="10" t="n">
        <f aca="false">IF(AA$20&gt;=Допущения!$D$42-1,MAX(5,ROUNDUP(Допущения!$D$43*IF(AA$20&lt;Допущения!$D$42,0,((AA$20-Допущения!$D$42+1)/(36-Допущения!$D$42+1))^1),0)),0)</f>
        <v>20</v>
      </c>
      <c r="AB26" s="10" t="n">
        <f aca="false">IF(AB$20&gt;=Допущения!$D$42-1,MAX(5,ROUNDUP(Допущения!$D$43*IF(AB$20&lt;Допущения!$D$42,0,((AB$20-Допущения!$D$42+1)/(36-Допущения!$D$42+1))^1),0)),0)</f>
        <v>21</v>
      </c>
      <c r="AC26" s="10" t="n">
        <f aca="false">IF(AC$20&gt;=Допущения!$D$42-1,MAX(5,ROUNDUP(Допущения!$D$43*IF(AC$20&lt;Допущения!$D$42,0,((AC$20-Допущения!$D$42+1)/(36-Допущения!$D$42+1))^1),0)),0)</f>
        <v>22</v>
      </c>
      <c r="AD26" s="10" t="n">
        <f aca="false">IF(AD$20&gt;=Допущения!$D$42-1,MAX(5,ROUNDUP(Допущения!$D$43*IF(AD$20&lt;Допущения!$D$42,0,((AD$20-Допущения!$D$42+1)/(36-Допущения!$D$42+1))^1),0)),0)</f>
        <v>23</v>
      </c>
      <c r="AE26" s="10" t="n">
        <f aca="false">IF(AE$20&gt;=Допущения!$D$42-1,MAX(5,ROUNDUP(Допущения!$D$43*IF(AE$20&lt;Допущения!$D$42,0,((AE$20-Допущения!$D$42+1)/(36-Допущения!$D$42+1))^1),0)),0)</f>
        <v>24</v>
      </c>
      <c r="AF26" s="10" t="n">
        <f aca="false">IF(AF$20&gt;=Допущения!$D$42-1,MAX(5,ROUNDUP(Допущения!$D$43*IF(AF$20&lt;Допущения!$D$42,0,((AF$20-Допущения!$D$42+1)/(36-Допущения!$D$42+1))^1),0)),0)</f>
        <v>25</v>
      </c>
      <c r="AG26" s="10" t="n">
        <f aca="false">IF(AG$20&gt;=Допущения!$D$42-1,MAX(5,ROUNDUP(Допущения!$D$43*IF(AG$20&lt;Допущения!$D$42,0,((AG$20-Допущения!$D$42+1)/(36-Допущения!$D$42+1))^1),0)),0)</f>
        <v>26</v>
      </c>
      <c r="AH26" s="10" t="n">
        <f aca="false">IF(AH$20&gt;=Допущения!$D$42-1,MAX(5,ROUNDUP(Допущения!$D$43*IF(AH$20&lt;Допущения!$D$42,0,((AH$20-Допущения!$D$42+1)/(36-Допущения!$D$42+1))^1),0)),0)</f>
        <v>27</v>
      </c>
      <c r="AI26" s="10" t="n">
        <f aca="false">IF(AI$20&gt;=Допущения!$D$42-1,MAX(5,ROUNDUP(Допущения!$D$43*IF(AI$20&lt;Допущения!$D$42,0,((AI$20-Допущения!$D$42+1)/(36-Допущения!$D$42+1))^1),0)),0)</f>
        <v>28</v>
      </c>
      <c r="AJ26" s="10" t="n">
        <f aca="false">IF(AJ$20&gt;=Допущения!$D$42-1,MAX(5,ROUNDUP(Допущения!$D$43*IF(AJ$20&lt;Допущения!$D$42,0,((AJ$20-Допущения!$D$42+1)/(36-Допущения!$D$42+1))^1),0)),0)</f>
        <v>29</v>
      </c>
      <c r="AK26" s="10" t="n">
        <f aca="false">IF(AK$20&gt;=Допущения!$D$42-1,MAX(5,ROUNDUP(Допущения!$D$43*IF(AK$20&lt;Допущения!$D$42,0,((AK$20-Допущения!$D$42+1)/(36-Допущения!$D$42+1))^1),0)),0)</f>
        <v>30</v>
      </c>
      <c r="AL26" s="10" t="n">
        <f aca="false">IF(AL$20&gt;=Допущения!$D$42-1,MAX(5,ROUNDUP(Допущения!$D$43*IF(AL$20&lt;Допущения!$D$42,0,((AL$20-Допущения!$D$42+1)/(36-Допущения!$D$42+1))^1),0)),0)</f>
        <v>30</v>
      </c>
      <c r="AM26" s="10" t="n">
        <f aca="false">N26</f>
        <v>9</v>
      </c>
      <c r="AN26" s="10" t="n">
        <f aca="false">Z26</f>
        <v>20</v>
      </c>
      <c r="AO26" s="10" t="n">
        <f aca="false">AL26</f>
        <v>30</v>
      </c>
    </row>
    <row r="27" customFormat="false" ht="15" hidden="false" customHeight="false" outlineLevel="0" collapsed="false">
      <c r="A27" s="0" t="s">
        <v>316</v>
      </c>
      <c r="B27" s="0" t="s">
        <v>317</v>
      </c>
      <c r="C27" s="10" t="n">
        <f aca="false">IF(C$20&gt;=Допущения!$D$42-1,MAX(C21*Допущения!$D$53,C26*100)*Допущения!$D$45*Допущения!$D$46,0)</f>
        <v>0</v>
      </c>
      <c r="D27" s="10" t="n">
        <f aca="false">IF(D$20&gt;=Допущения!$D$42-1,MAX(D21*Допущения!$D$53,D26*100)*Допущения!$D$45*Допущения!$D$46,0)</f>
        <v>0</v>
      </c>
      <c r="E27" s="10" t="n">
        <f aca="false">IF(E$20&gt;=Допущения!$D$42-1,MAX(E21*Допущения!$D$53,E26*100)*Допущения!$D$45*Допущения!$D$46,0)</f>
        <v>247000</v>
      </c>
      <c r="F27" s="10" t="n">
        <f aca="false">IF(F$20&gt;=Допущения!$D$42-1,MAX(F21*Допущения!$D$53,F26*100)*Допущения!$D$45*Допущения!$D$46,0)</f>
        <v>247000</v>
      </c>
      <c r="G27" s="10" t="n">
        <f aca="false">IF(G$20&gt;=Допущения!$D$42-1,MAX(G21*Допущения!$D$53,G26*100)*Допущения!$D$45*Допущения!$D$46,0)</f>
        <v>247000</v>
      </c>
      <c r="H27" s="10" t="n">
        <f aca="false">IF(H$20&gt;=Допущения!$D$42-1,MAX(H21*Допущения!$D$53,H26*100)*Допущения!$D$45*Допущения!$D$46,0)</f>
        <v>303136.363636364</v>
      </c>
      <c r="I27" s="10" t="n">
        <f aca="false">IF(I$20&gt;=Допущения!$D$42-1,MAX(I21*Допущения!$D$53,I26*100)*Допущения!$D$45*Допущения!$D$46,0)</f>
        <v>404181.818181818</v>
      </c>
      <c r="J27" s="10" t="n">
        <f aca="false">IF(J$20&gt;=Допущения!$D$42-1,MAX(J21*Допущения!$D$53,J26*100)*Допущения!$D$45*Допущения!$D$46,0)</f>
        <v>505227.272727273</v>
      </c>
      <c r="K27" s="10" t="n">
        <f aca="false">IF(K$20&gt;=Допущения!$D$42-1,MAX(K21*Допущения!$D$53,K26*100)*Допущения!$D$45*Допущения!$D$46,0)</f>
        <v>606272.727272727</v>
      </c>
      <c r="L27" s="10" t="n">
        <f aca="false">IF(L$20&gt;=Допущения!$D$42-1,MAX(L21*Допущения!$D$53,L26*100)*Допущения!$D$45*Допущения!$D$46,0)</f>
        <v>707318.181818182</v>
      </c>
      <c r="M27" s="10" t="n">
        <f aca="false">IF(M$20&gt;=Допущения!$D$42-1,MAX(M21*Допущения!$D$53,M26*100)*Допущения!$D$45*Допущения!$D$46,0)</f>
        <v>808363.636363637</v>
      </c>
      <c r="N27" s="10" t="n">
        <f aca="false">IF(N$20&gt;=Допущения!$D$42-1,MAX(N21*Допущения!$D$53,N26*100)*Допущения!$D$45*Допущения!$D$46,0)</f>
        <v>909409.090909091</v>
      </c>
      <c r="O27" s="10" t="n">
        <f aca="false">IF(O$20&gt;=Допущения!$D$42-1,MAX(O21*Допущения!$D$53,O26*100)*Допущения!$D$45*Допущения!$D$46,0)</f>
        <v>1010454.54545455</v>
      </c>
      <c r="P27" s="10" t="n">
        <f aca="false">IF(P$20&gt;=Допущения!$D$42-1,MAX(P21*Допущения!$D$53,P26*100)*Допущения!$D$45*Допущения!$D$46,0)</f>
        <v>1111500</v>
      </c>
      <c r="Q27" s="10" t="n">
        <f aca="false">IF(Q$20&gt;=Допущения!$D$42-1,MAX(Q21*Допущения!$D$53,Q26*100)*Допущения!$D$45*Допущения!$D$46,0)</f>
        <v>1212545.45454545</v>
      </c>
      <c r="R27" s="10" t="n">
        <f aca="false">IF(R$20&gt;=Допущения!$D$42-1,MAX(R21*Допущения!$D$53,R26*100)*Допущения!$D$45*Допущения!$D$46,0)</f>
        <v>1313590.90909091</v>
      </c>
      <c r="S27" s="10" t="n">
        <f aca="false">IF(S$20&gt;=Допущения!$D$42-1,MAX(S21*Допущения!$D$53,S26*100)*Допущения!$D$45*Допущения!$D$46,0)</f>
        <v>1414636.36363636</v>
      </c>
      <c r="T27" s="10" t="n">
        <f aca="false">IF(T$20&gt;=Допущения!$D$42-1,MAX(T21*Допущения!$D$53,T26*100)*Допущения!$D$45*Допущения!$D$46,0)</f>
        <v>1515681.81818182</v>
      </c>
      <c r="U27" s="10" t="n">
        <f aca="false">IF(U$20&gt;=Допущения!$D$42-1,MAX(U21*Допущения!$D$53,U26*100)*Допущения!$D$45*Допущения!$D$46,0)</f>
        <v>1616727.27272727</v>
      </c>
      <c r="V27" s="10" t="n">
        <f aca="false">IF(V$20&gt;=Допущения!$D$42-1,MAX(V21*Допущения!$D$53,V26*100)*Допущения!$D$45*Допущения!$D$46,0)</f>
        <v>1717772.72727273</v>
      </c>
      <c r="W27" s="10" t="n">
        <f aca="false">IF(W$20&gt;=Допущения!$D$42-1,MAX(W21*Допущения!$D$53,W26*100)*Допущения!$D$45*Допущения!$D$46,0)</f>
        <v>1818818.18181818</v>
      </c>
      <c r="X27" s="10" t="n">
        <f aca="false">IF(X$20&gt;=Допущения!$D$42-1,MAX(X21*Допущения!$D$53,X26*100)*Допущения!$D$45*Допущения!$D$46,0)</f>
        <v>1919863.63636364</v>
      </c>
      <c r="Y27" s="10" t="n">
        <f aca="false">IF(Y$20&gt;=Допущения!$D$42-1,MAX(Y21*Допущения!$D$53,Y26*100)*Допущения!$D$45*Допущения!$D$46,0)</f>
        <v>2020909.09090909</v>
      </c>
      <c r="Z27" s="10" t="n">
        <f aca="false">IF(Z$20&gt;=Допущения!$D$42-1,MAX(Z21*Допущения!$D$53,Z26*100)*Допущения!$D$45*Допущения!$D$46,0)</f>
        <v>2121954.54545455</v>
      </c>
      <c r="AA27" s="10" t="n">
        <f aca="false">IF(AA$20&gt;=Допущения!$D$42-1,MAX(AA21*Допущения!$D$53,AA26*100)*Допущения!$D$45*Допущения!$D$46,0)</f>
        <v>2223000</v>
      </c>
      <c r="AB27" s="10" t="n">
        <f aca="false">IF(AB$20&gt;=Допущения!$D$42-1,MAX(AB21*Допущения!$D$53,AB26*100)*Допущения!$D$45*Допущения!$D$46,0)</f>
        <v>2324045.45454546</v>
      </c>
      <c r="AC27" s="10" t="n">
        <f aca="false">IF(AC$20&gt;=Допущения!$D$42-1,MAX(AC21*Допущения!$D$53,AC26*100)*Допущения!$D$45*Допущения!$D$46,0)</f>
        <v>2425090.90909091</v>
      </c>
      <c r="AD27" s="10" t="n">
        <f aca="false">IF(AD$20&gt;=Допущения!$D$42-1,MAX(AD21*Допущения!$D$53,AD26*100)*Допущения!$D$45*Допущения!$D$46,0)</f>
        <v>2526136.36363636</v>
      </c>
      <c r="AE27" s="10" t="n">
        <f aca="false">IF(AE$20&gt;=Допущения!$D$42-1,MAX(AE21*Допущения!$D$53,AE26*100)*Допущения!$D$45*Допущения!$D$46,0)</f>
        <v>2627181.81818182</v>
      </c>
      <c r="AF27" s="10" t="n">
        <f aca="false">IF(AF$20&gt;=Допущения!$D$42-1,MAX(AF21*Допущения!$D$53,AF26*100)*Допущения!$D$45*Допущения!$D$46,0)</f>
        <v>2728227.27272727</v>
      </c>
      <c r="AG27" s="10" t="n">
        <f aca="false">IF(AG$20&gt;=Допущения!$D$42-1,MAX(AG21*Допущения!$D$53,AG26*100)*Допущения!$D$45*Допущения!$D$46,0)</f>
        <v>2829272.72727273</v>
      </c>
      <c r="AH27" s="10" t="n">
        <f aca="false">IF(AH$20&gt;=Допущения!$D$42-1,MAX(AH21*Допущения!$D$53,AH26*100)*Допущения!$D$45*Допущения!$D$46,0)</f>
        <v>2930318.18181818</v>
      </c>
      <c r="AI27" s="10" t="n">
        <f aca="false">IF(AI$20&gt;=Допущения!$D$42-1,MAX(AI21*Допущения!$D$53,AI26*100)*Допущения!$D$45*Допущения!$D$46,0)</f>
        <v>3031363.63636364</v>
      </c>
      <c r="AJ27" s="10" t="n">
        <f aca="false">IF(AJ$20&gt;=Допущения!$D$42-1,MAX(AJ21*Допущения!$D$53,AJ26*100)*Допущения!$D$45*Допущения!$D$46,0)</f>
        <v>3132409.09090909</v>
      </c>
      <c r="AK27" s="10" t="n">
        <f aca="false">IF(AK$20&gt;=Допущения!$D$42-1,MAX(AK21*Допущения!$D$53,AK26*100)*Допущения!$D$45*Допущения!$D$46,0)</f>
        <v>3233454.54545455</v>
      </c>
      <c r="AL27" s="10" t="n">
        <f aca="false">IF(AL$20&gt;=Допущения!$D$42-1,MAX(AL21*Допущения!$D$53,AL26*100)*Допущения!$D$45*Допущения!$D$46,0)</f>
        <v>3334500</v>
      </c>
      <c r="AM27" s="10" t="n">
        <f aca="false">N27</f>
        <v>909409.090909091</v>
      </c>
      <c r="AN27" s="10" t="n">
        <f aca="false">Z27</f>
        <v>2121954.54545455</v>
      </c>
      <c r="AO27" s="10" t="n">
        <f aca="false">AL27</f>
        <v>3334500</v>
      </c>
    </row>
    <row r="28" customFormat="false" ht="15" hidden="false" customHeight="false" outlineLevel="0" collapsed="false">
      <c r="A28" s="0" t="s">
        <v>279</v>
      </c>
      <c r="B28" s="0" t="s">
        <v>280</v>
      </c>
      <c r="C28" s="10" t="n">
        <f aca="false">Допущения!$D$54</f>
        <v>220000</v>
      </c>
      <c r="D28" s="10" t="n">
        <f aca="false">Допущения!$D$54</f>
        <v>220000</v>
      </c>
      <c r="E28" s="10" t="n">
        <f aca="false">Допущения!$D$54</f>
        <v>220000</v>
      </c>
      <c r="F28" s="10" t="n">
        <f aca="false">Допущения!$D$54</f>
        <v>220000</v>
      </c>
      <c r="G28" s="10" t="n">
        <f aca="false">Допущения!$D$54</f>
        <v>220000</v>
      </c>
      <c r="H28" s="10" t="n">
        <f aca="false">Допущения!$D$54</f>
        <v>220000</v>
      </c>
      <c r="I28" s="10" t="n">
        <f aca="false">Допущения!$D$54</f>
        <v>220000</v>
      </c>
      <c r="J28" s="10" t="n">
        <f aca="false">Допущения!$D$54</f>
        <v>220000</v>
      </c>
      <c r="K28" s="10" t="n">
        <f aca="false">Допущения!$D$54</f>
        <v>220000</v>
      </c>
      <c r="L28" s="10" t="n">
        <f aca="false">Допущения!$D$54</f>
        <v>220000</v>
      </c>
      <c r="M28" s="10" t="n">
        <f aca="false">Допущения!$D$54</f>
        <v>220000</v>
      </c>
      <c r="N28" s="10" t="n">
        <f aca="false">Допущения!$D$54</f>
        <v>220000</v>
      </c>
      <c r="O28" s="10" t="n">
        <f aca="false">Допущения!$D$54</f>
        <v>220000</v>
      </c>
      <c r="P28" s="10" t="n">
        <f aca="false">Допущения!$D$54</f>
        <v>220000</v>
      </c>
      <c r="Q28" s="10" t="n">
        <f aca="false">Допущения!$D$54</f>
        <v>220000</v>
      </c>
      <c r="R28" s="10" t="n">
        <f aca="false">Допущения!$D$54</f>
        <v>220000</v>
      </c>
      <c r="S28" s="10" t="n">
        <f aca="false">Допущения!$D$54</f>
        <v>220000</v>
      </c>
      <c r="T28" s="10" t="n">
        <f aca="false">Допущения!$D$54</f>
        <v>220000</v>
      </c>
      <c r="U28" s="10" t="n">
        <f aca="false">Допущения!$D$54</f>
        <v>220000</v>
      </c>
      <c r="V28" s="10" t="n">
        <f aca="false">Допущения!$D$54</f>
        <v>220000</v>
      </c>
      <c r="W28" s="10" t="n">
        <f aca="false">Допущения!$D$54</f>
        <v>220000</v>
      </c>
      <c r="X28" s="10" t="n">
        <f aca="false">Допущения!$D$54</f>
        <v>220000</v>
      </c>
      <c r="Y28" s="10" t="n">
        <f aca="false">Допущения!$D$54</f>
        <v>220000</v>
      </c>
      <c r="Z28" s="10" t="n">
        <f aca="false">Допущения!$D$54</f>
        <v>220000</v>
      </c>
      <c r="AA28" s="10" t="n">
        <f aca="false">Допущения!$D$54</f>
        <v>220000</v>
      </c>
      <c r="AB28" s="10" t="n">
        <f aca="false">Допущения!$D$54</f>
        <v>220000</v>
      </c>
      <c r="AC28" s="10" t="n">
        <f aca="false">Допущения!$D$54</f>
        <v>220000</v>
      </c>
      <c r="AD28" s="10" t="n">
        <f aca="false">Допущения!$D$54</f>
        <v>220000</v>
      </c>
      <c r="AE28" s="10" t="n">
        <f aca="false">Допущения!$D$54</f>
        <v>220000</v>
      </c>
      <c r="AF28" s="10" t="n">
        <f aca="false">Допущения!$D$54</f>
        <v>220000</v>
      </c>
      <c r="AG28" s="10" t="n">
        <f aca="false">Допущения!$D$54</f>
        <v>220000</v>
      </c>
      <c r="AH28" s="10" t="n">
        <f aca="false">Допущения!$D$54</f>
        <v>220000</v>
      </c>
      <c r="AI28" s="10" t="n">
        <f aca="false">Допущения!$D$54</f>
        <v>220000</v>
      </c>
      <c r="AJ28" s="10" t="n">
        <f aca="false">Допущения!$D$54</f>
        <v>220000</v>
      </c>
      <c r="AK28" s="10" t="n">
        <f aca="false">Допущения!$D$54</f>
        <v>220000</v>
      </c>
      <c r="AL28" s="10" t="n">
        <f aca="false">Допущения!$D$54</f>
        <v>220000</v>
      </c>
      <c r="AM28" s="10" t="n">
        <f aca="false">SUM(C28:N28)</f>
        <v>2640000</v>
      </c>
      <c r="AN28" s="10" t="n">
        <f aca="false">SUM(O28:Z28)</f>
        <v>2640000</v>
      </c>
      <c r="AO28" s="10" t="n">
        <f aca="false">SUM(AA28:AL28)</f>
        <v>2640000</v>
      </c>
      <c r="AP28" s="10" t="n">
        <f aca="false">SUM(C28:AL28)</f>
        <v>7920000</v>
      </c>
    </row>
    <row r="29" customFormat="false" ht="15" hidden="false" customHeight="false" outlineLevel="0" collapsed="false">
      <c r="A29" s="1" t="s">
        <v>281</v>
      </c>
      <c r="B29" s="1" t="s">
        <v>282</v>
      </c>
      <c r="C29" s="11" t="n">
        <f aca="false">C24-C28-C25</f>
        <v>-220000</v>
      </c>
      <c r="D29" s="11" t="n">
        <f aca="false">D24-D28-D25</f>
        <v>-220000</v>
      </c>
      <c r="E29" s="11" t="n">
        <f aca="false">E24-E28-E25</f>
        <v>-220000</v>
      </c>
      <c r="F29" s="11" t="n">
        <f aca="false">F24-F28-F25</f>
        <v>-212227.272727273</v>
      </c>
      <c r="G29" s="11" t="n">
        <f aca="false">G24-G28-G25</f>
        <v>-204454.545454545</v>
      </c>
      <c r="H29" s="11" t="n">
        <f aca="false">H24-H28-H25</f>
        <v>-196681.818181818</v>
      </c>
      <c r="I29" s="11" t="n">
        <f aca="false">I24-I28-I25</f>
        <v>-188909.090909091</v>
      </c>
      <c r="J29" s="11" t="n">
        <f aca="false">J24-J28-J25</f>
        <v>-181136.363636364</v>
      </c>
      <c r="K29" s="11" t="n">
        <f aca="false">K24-K28-K25</f>
        <v>-173363.636363636</v>
      </c>
      <c r="L29" s="11" t="n">
        <f aca="false">L24-L28-L25</f>
        <v>-165590.909090909</v>
      </c>
      <c r="M29" s="11" t="n">
        <f aca="false">M24-M28-M25</f>
        <v>-157818.181818182</v>
      </c>
      <c r="N29" s="11" t="n">
        <f aca="false">N24-N28-N25</f>
        <v>-150045.454545455</v>
      </c>
      <c r="O29" s="11" t="n">
        <f aca="false">O24-O28-O25</f>
        <v>-142272.727272727</v>
      </c>
      <c r="P29" s="11" t="n">
        <f aca="false">P24-P28-P25</f>
        <v>-134500</v>
      </c>
      <c r="Q29" s="11" t="n">
        <f aca="false">Q24-Q28-Q25</f>
        <v>-126727.272727273</v>
      </c>
      <c r="R29" s="11" t="n">
        <f aca="false">R24-R28-R25</f>
        <v>-118954.545454545</v>
      </c>
      <c r="S29" s="11" t="n">
        <f aca="false">S24-S28-S25</f>
        <v>-111181.818181818</v>
      </c>
      <c r="T29" s="11" t="n">
        <f aca="false">T24-T28-T25</f>
        <v>-103409.090909091</v>
      </c>
      <c r="U29" s="11" t="n">
        <f aca="false">U24-U28-U25</f>
        <v>-95636.3636363636</v>
      </c>
      <c r="V29" s="11" t="n">
        <f aca="false">V24-V28-V25</f>
        <v>-87863.6363636363</v>
      </c>
      <c r="W29" s="11" t="n">
        <f aca="false">W24-W28-W25</f>
        <v>-80090.909090909</v>
      </c>
      <c r="X29" s="11" t="n">
        <f aca="false">X24-X28-X25</f>
        <v>-72318.1818181817</v>
      </c>
      <c r="Y29" s="11" t="n">
        <f aca="false">Y24-Y28-Y25</f>
        <v>-64545.4545454544</v>
      </c>
      <c r="Z29" s="11" t="n">
        <f aca="false">Z24-Z28-Z25</f>
        <v>-56772.7272727272</v>
      </c>
      <c r="AA29" s="11" t="n">
        <f aca="false">AA24-AA28-AA25</f>
        <v>-48999.9999999999</v>
      </c>
      <c r="AB29" s="11" t="n">
        <f aca="false">AB24-AB28-AB25</f>
        <v>-41227.2727272726</v>
      </c>
      <c r="AC29" s="11" t="n">
        <f aca="false">AC24-AC28-AC25</f>
        <v>-33454.5454545453</v>
      </c>
      <c r="AD29" s="11" t="n">
        <f aca="false">AD24-AD28-AD25</f>
        <v>-25681.8181818181</v>
      </c>
      <c r="AE29" s="11" t="n">
        <f aca="false">AE24-AE28-AE25</f>
        <v>-17909.0909090908</v>
      </c>
      <c r="AF29" s="11" t="n">
        <f aca="false">AF24-AF28-AF25</f>
        <v>-10136.3636363635</v>
      </c>
      <c r="AG29" s="11" t="n">
        <f aca="false">AG24-AG28-AG25</f>
        <v>-2363.63636363624</v>
      </c>
      <c r="AH29" s="11" t="n">
        <f aca="false">AH24-AH28-AH25</f>
        <v>5409.09090909103</v>
      </c>
      <c r="AI29" s="11" t="n">
        <f aca="false">AI24-AI28-AI25</f>
        <v>13181.8181818183</v>
      </c>
      <c r="AJ29" s="11" t="n">
        <f aca="false">AJ24-AJ28-AJ25</f>
        <v>20954.5454545456</v>
      </c>
      <c r="AK29" s="11" t="n">
        <f aca="false">AK24-AK28-AK25</f>
        <v>28727.2727272729</v>
      </c>
      <c r="AL29" s="11" t="n">
        <f aca="false">AL24-AL28-AL25</f>
        <v>36500.0000000001</v>
      </c>
      <c r="AM29" s="11" t="n">
        <f aca="false">SUM(C29:N29)</f>
        <v>-2290227.27272727</v>
      </c>
      <c r="AN29" s="11" t="n">
        <f aca="false">SUM(O29:Z29)</f>
        <v>-1194272.72727273</v>
      </c>
      <c r="AO29" s="11" t="n">
        <f aca="false">SUM(AA29:AL29)</f>
        <v>-74999.9999999985</v>
      </c>
      <c r="AP29" s="11" t="n">
        <f aca="false">SUM(C29:AL29)</f>
        <v>-3559500</v>
      </c>
    </row>
    <row r="30" customFormat="false" ht="15" hidden="false" customHeight="false" outlineLevel="0" collapsed="false">
      <c r="A30" s="0" t="s">
        <v>283</v>
      </c>
      <c r="B30" s="0" t="s">
        <v>284</v>
      </c>
      <c r="C30" s="10" t="n">
        <f aca="false">IF(C$20&lt;Допущения!$D$42,Допущения!$D$55/(Допущения!$D$42-1),0)+C27-0</f>
        <v>133333.333333333</v>
      </c>
      <c r="D30" s="10" t="n">
        <f aca="false">IF(D$20&lt;Допущения!$D$42,Допущения!$D$55/(Допущения!$D$42-1),0)+D27-C27</f>
        <v>133333.333333333</v>
      </c>
      <c r="E30" s="10" t="n">
        <f aca="false">IF(E$20&lt;Допущения!$D$42,Допущения!$D$55/(Допущения!$D$42-1),0)+E27-D27</f>
        <v>380333.333333333</v>
      </c>
      <c r="F30" s="10" t="n">
        <f aca="false">IF(F$20&lt;Допущения!$D$42,Допущения!$D$55/(Допущения!$D$42-1),0)+F27-E27</f>
        <v>0</v>
      </c>
      <c r="G30" s="10" t="n">
        <f aca="false">IF(G$20&lt;Допущения!$D$42,Допущения!$D$55/(Допущения!$D$42-1),0)+G27-F27</f>
        <v>0</v>
      </c>
      <c r="H30" s="10" t="n">
        <f aca="false">IF(H$20&lt;Допущения!$D$42,Допущения!$D$55/(Допущения!$D$42-1),0)+H27-G27</f>
        <v>56136.3636363637</v>
      </c>
      <c r="I30" s="10" t="n">
        <f aca="false">IF(I$20&lt;Допущения!$D$42,Допущения!$D$55/(Допущения!$D$42-1),0)+I27-H27</f>
        <v>101045.454545455</v>
      </c>
      <c r="J30" s="10" t="n">
        <f aca="false">IF(J$20&lt;Допущения!$D$42,Допущения!$D$55/(Допущения!$D$42-1),0)+J27-I27</f>
        <v>101045.454545454</v>
      </c>
      <c r="K30" s="10" t="n">
        <f aca="false">IF(K$20&lt;Допущения!$D$42,Допущения!$D$55/(Допущения!$D$42-1),0)+K27-J27</f>
        <v>101045.454545455</v>
      </c>
      <c r="L30" s="10" t="n">
        <f aca="false">IF(L$20&lt;Допущения!$D$42,Допущения!$D$55/(Допущения!$D$42-1),0)+L27-K27</f>
        <v>101045.454545455</v>
      </c>
      <c r="M30" s="10" t="n">
        <f aca="false">IF(M$20&lt;Допущения!$D$42,Допущения!$D$55/(Допущения!$D$42-1),0)+M27-L27</f>
        <v>101045.454545454</v>
      </c>
      <c r="N30" s="10" t="n">
        <f aca="false">IF(N$20&lt;Допущения!$D$42,Допущения!$D$55/(Допущения!$D$42-1),0)+N27-M27</f>
        <v>101045.454545454</v>
      </c>
      <c r="O30" s="10" t="n">
        <f aca="false">IF(O$20&lt;Допущения!$D$42,Допущения!$D$55/(Допущения!$D$42-1),0)+O27-N27</f>
        <v>101045.454545455</v>
      </c>
      <c r="P30" s="10" t="n">
        <f aca="false">IF(P$20&lt;Допущения!$D$42,Допущения!$D$55/(Допущения!$D$42-1),0)+P27-O27</f>
        <v>101045.454545455</v>
      </c>
      <c r="Q30" s="10" t="n">
        <f aca="false">IF(Q$20&lt;Допущения!$D$42,Допущения!$D$55/(Допущения!$D$42-1),0)+Q27-P27</f>
        <v>101045.454545455</v>
      </c>
      <c r="R30" s="10" t="n">
        <f aca="false">IF(R$20&lt;Допущения!$D$42,Допущения!$D$55/(Допущения!$D$42-1),0)+R27-Q27</f>
        <v>101045.454545455</v>
      </c>
      <c r="S30" s="10" t="n">
        <f aca="false">IF(S$20&lt;Допущения!$D$42,Допущения!$D$55/(Допущения!$D$42-1),0)+S27-R27</f>
        <v>101045.454545455</v>
      </c>
      <c r="T30" s="10" t="n">
        <f aca="false">IF(T$20&lt;Допущения!$D$42,Допущения!$D$55/(Допущения!$D$42-1),0)+T27-S27</f>
        <v>101045.454545454</v>
      </c>
      <c r="U30" s="10" t="n">
        <f aca="false">IF(U$20&lt;Допущения!$D$42,Допущения!$D$55/(Допущения!$D$42-1),0)+U27-T27</f>
        <v>101045.454545455</v>
      </c>
      <c r="V30" s="10" t="n">
        <f aca="false">IF(V$20&lt;Допущения!$D$42,Допущения!$D$55/(Допущения!$D$42-1),0)+V27-U27</f>
        <v>101045.454545454</v>
      </c>
      <c r="W30" s="10" t="n">
        <f aca="false">IF(W$20&lt;Допущения!$D$42,Допущения!$D$55/(Допущения!$D$42-1),0)+W27-V27</f>
        <v>101045.454545454</v>
      </c>
      <c r="X30" s="10" t="n">
        <f aca="false">IF(X$20&lt;Допущения!$D$42,Допущения!$D$55/(Допущения!$D$42-1),0)+X27-W27</f>
        <v>101045.454545455</v>
      </c>
      <c r="Y30" s="10" t="n">
        <f aca="false">IF(Y$20&lt;Допущения!$D$42,Допущения!$D$55/(Допущения!$D$42-1),0)+Y27-X27</f>
        <v>101045.454545454</v>
      </c>
      <c r="Z30" s="10" t="n">
        <f aca="false">IF(Z$20&lt;Допущения!$D$42,Допущения!$D$55/(Допущения!$D$42-1),0)+Z27-Y27</f>
        <v>101045.454545455</v>
      </c>
      <c r="AA30" s="10" t="n">
        <f aca="false">IF(AA$20&lt;Допущения!$D$42,Допущения!$D$55/(Допущения!$D$42-1),0)+AA27-Z27</f>
        <v>101045.454545454</v>
      </c>
      <c r="AB30" s="10" t="n">
        <f aca="false">IF(AB$20&lt;Допущения!$D$42,Допущения!$D$55/(Допущения!$D$42-1),0)+AB27-AA27</f>
        <v>101045.454545455</v>
      </c>
      <c r="AC30" s="10" t="n">
        <f aca="false">IF(AC$20&lt;Допущения!$D$42,Допущения!$D$55/(Допущения!$D$42-1),0)+AC27-AB27</f>
        <v>101045.454545454</v>
      </c>
      <c r="AD30" s="10" t="n">
        <f aca="false">IF(AD$20&lt;Допущения!$D$42,Допущения!$D$55/(Допущения!$D$42-1),0)+AD27-AC27</f>
        <v>101045.454545455</v>
      </c>
      <c r="AE30" s="10" t="n">
        <f aca="false">IF(AE$20&lt;Допущения!$D$42,Допущения!$D$55/(Допущения!$D$42-1),0)+AE27-AD27</f>
        <v>101045.454545455</v>
      </c>
      <c r="AF30" s="10" t="n">
        <f aca="false">IF(AF$20&lt;Допущения!$D$42,Допущения!$D$55/(Допущения!$D$42-1),0)+AF27-AE27</f>
        <v>101045.454545454</v>
      </c>
      <c r="AG30" s="10" t="n">
        <f aca="false">IF(AG$20&lt;Допущения!$D$42,Допущения!$D$55/(Допущения!$D$42-1),0)+AG27-AF27</f>
        <v>101045.454545456</v>
      </c>
      <c r="AH30" s="10" t="n">
        <f aca="false">IF(AH$20&lt;Допущения!$D$42,Допущения!$D$55/(Допущения!$D$42-1),0)+AH27-AG27</f>
        <v>101045.454545454</v>
      </c>
      <c r="AI30" s="10" t="n">
        <f aca="false">IF(AI$20&lt;Допущения!$D$42,Допущения!$D$55/(Допущения!$D$42-1),0)+AI27-AH27</f>
        <v>101045.454545455</v>
      </c>
      <c r="AJ30" s="10" t="n">
        <f aca="false">IF(AJ$20&lt;Допущения!$D$42,Допущения!$D$55/(Допущения!$D$42-1),0)+AJ27-AI27</f>
        <v>101045.454545455</v>
      </c>
      <c r="AK30" s="10" t="n">
        <f aca="false">IF(AK$20&lt;Допущения!$D$42,Допущения!$D$55/(Допущения!$D$42-1),0)+AK27-AJ27</f>
        <v>101045.454545455</v>
      </c>
      <c r="AL30" s="10" t="n">
        <f aca="false">IF(AL$20&lt;Допущения!$D$42,Допущения!$D$55/(Допущения!$D$42-1),0)+AL27-AK27</f>
        <v>101045.454545454</v>
      </c>
      <c r="AM30" s="10" t="n">
        <f aca="false">SUM(C30:N30)</f>
        <v>1309409.09090909</v>
      </c>
      <c r="AN30" s="10" t="n">
        <f aca="false">SUM(O30:Z30)</f>
        <v>1212545.45454546</v>
      </c>
      <c r="AO30" s="10" t="n">
        <f aca="false">SUM(AA30:AL30)</f>
        <v>1212545.45454545</v>
      </c>
      <c r="AP30" s="10" t="n">
        <f aca="false">SUM(C30:AL30)</f>
        <v>3734500</v>
      </c>
    </row>
    <row r="31" customFormat="false" ht="15" hidden="false" customHeight="false" outlineLevel="0" collapsed="false">
      <c r="A31" s="1" t="s">
        <v>285</v>
      </c>
      <c r="B31" s="1" t="s">
        <v>286</v>
      </c>
      <c r="C31" s="11" t="n">
        <f aca="false">C29-C30</f>
        <v>-353333.333333333</v>
      </c>
      <c r="D31" s="11" t="n">
        <f aca="false">D29-D30</f>
        <v>-353333.333333333</v>
      </c>
      <c r="E31" s="11" t="n">
        <f aca="false">E29-E30</f>
        <v>-600333.333333333</v>
      </c>
      <c r="F31" s="11" t="n">
        <f aca="false">F29-F30</f>
        <v>-212227.272727273</v>
      </c>
      <c r="G31" s="11" t="n">
        <f aca="false">G29-G30</f>
        <v>-204454.545454545</v>
      </c>
      <c r="H31" s="11" t="n">
        <f aca="false">H29-H30</f>
        <v>-252818.181818182</v>
      </c>
      <c r="I31" s="11" t="n">
        <f aca="false">I29-I30</f>
        <v>-289954.545454545</v>
      </c>
      <c r="J31" s="11" t="n">
        <f aca="false">J29-J30</f>
        <v>-282181.818181818</v>
      </c>
      <c r="K31" s="11" t="n">
        <f aca="false">K29-K30</f>
        <v>-274409.090909091</v>
      </c>
      <c r="L31" s="11" t="n">
        <f aca="false">L29-L30</f>
        <v>-266636.363636364</v>
      </c>
      <c r="M31" s="11" t="n">
        <f aca="false">M29-M30</f>
        <v>-258863.636363636</v>
      </c>
      <c r="N31" s="11" t="n">
        <f aca="false">N29-N30</f>
        <v>-251090.909090909</v>
      </c>
      <c r="O31" s="11" t="n">
        <f aca="false">O29-O30</f>
        <v>-243318.181818182</v>
      </c>
      <c r="P31" s="11" t="n">
        <f aca="false">P29-P30</f>
        <v>-235545.454545455</v>
      </c>
      <c r="Q31" s="11" t="n">
        <f aca="false">Q29-Q30</f>
        <v>-227772.727272727</v>
      </c>
      <c r="R31" s="11" t="n">
        <f aca="false">R29-R30</f>
        <v>-220000</v>
      </c>
      <c r="S31" s="11" t="n">
        <f aca="false">S29-S30</f>
        <v>-212227.272727273</v>
      </c>
      <c r="T31" s="11" t="n">
        <f aca="false">T29-T30</f>
        <v>-204454.545454545</v>
      </c>
      <c r="U31" s="11" t="n">
        <f aca="false">U29-U30</f>
        <v>-196681.818181818</v>
      </c>
      <c r="V31" s="11" t="n">
        <f aca="false">V29-V30</f>
        <v>-188909.090909091</v>
      </c>
      <c r="W31" s="11" t="n">
        <f aca="false">W29-W30</f>
        <v>-181136.363636363</v>
      </c>
      <c r="X31" s="11" t="n">
        <f aca="false">X29-X30</f>
        <v>-173363.636363637</v>
      </c>
      <c r="Y31" s="11" t="n">
        <f aca="false">Y29-Y30</f>
        <v>-165590.909090909</v>
      </c>
      <c r="Z31" s="11" t="n">
        <f aca="false">Z29-Z30</f>
        <v>-157818.181818182</v>
      </c>
      <c r="AA31" s="11" t="n">
        <f aca="false">AA29-AA30</f>
        <v>-150045.454545454</v>
      </c>
      <c r="AB31" s="11" t="n">
        <f aca="false">AB29-AB30</f>
        <v>-142272.727272728</v>
      </c>
      <c r="AC31" s="11" t="n">
        <f aca="false">AC29-AC30</f>
        <v>-134499.999999999</v>
      </c>
      <c r="AD31" s="11" t="n">
        <f aca="false">AD29-AD30</f>
        <v>-126727.272727273</v>
      </c>
      <c r="AE31" s="11" t="n">
        <f aca="false">AE29-AE30</f>
        <v>-118954.545454545</v>
      </c>
      <c r="AF31" s="11" t="n">
        <f aca="false">AF29-AF30</f>
        <v>-111181.818181818</v>
      </c>
      <c r="AG31" s="11" t="n">
        <f aca="false">AG29-AG30</f>
        <v>-103409.090909092</v>
      </c>
      <c r="AH31" s="11" t="n">
        <f aca="false">AH29-AH30</f>
        <v>-95636.3636363626</v>
      </c>
      <c r="AI31" s="11" t="n">
        <f aca="false">AI29-AI30</f>
        <v>-87863.6363636363</v>
      </c>
      <c r="AJ31" s="11" t="n">
        <f aca="false">AJ29-AJ30</f>
        <v>-80090.9090909094</v>
      </c>
      <c r="AK31" s="11" t="n">
        <f aca="false">AK29-AK30</f>
        <v>-72318.1818181817</v>
      </c>
      <c r="AL31" s="11" t="n">
        <f aca="false">AL29-AL30</f>
        <v>-64545.454545454</v>
      </c>
      <c r="AM31" s="11" t="n">
        <f aca="false">SUM(C31:N31)</f>
        <v>-3599636.36363636</v>
      </c>
      <c r="AN31" s="11" t="n">
        <f aca="false">SUM(O31:Z31)</f>
        <v>-2406818.18181818</v>
      </c>
      <c r="AO31" s="11" t="n">
        <f aca="false">SUM(AA31:AL31)</f>
        <v>-1287545.45454545</v>
      </c>
      <c r="AP31" s="11" t="n">
        <f aca="false">SUM(C31:AL31)</f>
        <v>-7294000</v>
      </c>
    </row>
    <row r="32" customFormat="false" ht="15" hidden="false" customHeight="false" outlineLevel="0" collapsed="false">
      <c r="A32" s="1" t="s">
        <v>287</v>
      </c>
      <c r="B32" s="1" t="s">
        <v>288</v>
      </c>
      <c r="C32" s="11" t="n">
        <f aca="false">0+C31</f>
        <v>-353333.333333333</v>
      </c>
      <c r="D32" s="11" t="n">
        <f aca="false">C32+D31</f>
        <v>-706666.666666667</v>
      </c>
      <c r="E32" s="11" t="n">
        <f aca="false">D32+E31</f>
        <v>-1307000</v>
      </c>
      <c r="F32" s="11" t="n">
        <f aca="false">E32+F31</f>
        <v>-1519227.27272727</v>
      </c>
      <c r="G32" s="11" t="n">
        <f aca="false">F32+G31</f>
        <v>-1723681.81818182</v>
      </c>
      <c r="H32" s="11" t="n">
        <f aca="false">G32+H31</f>
        <v>-1976500</v>
      </c>
      <c r="I32" s="11" t="n">
        <f aca="false">H32+I31</f>
        <v>-2266454.54545455</v>
      </c>
      <c r="J32" s="11" t="n">
        <f aca="false">I32+J31</f>
        <v>-2548636.36363636</v>
      </c>
      <c r="K32" s="11" t="n">
        <f aca="false">J32+K31</f>
        <v>-2823045.45454545</v>
      </c>
      <c r="L32" s="11" t="n">
        <f aca="false">K32+L31</f>
        <v>-3089681.81818182</v>
      </c>
      <c r="M32" s="11" t="n">
        <f aca="false">L32+M31</f>
        <v>-3348545.45454545</v>
      </c>
      <c r="N32" s="11" t="n">
        <f aca="false">M32+N31</f>
        <v>-3599636.36363636</v>
      </c>
      <c r="O32" s="11" t="n">
        <f aca="false">N32+O31</f>
        <v>-3842954.54545455</v>
      </c>
      <c r="P32" s="11" t="n">
        <f aca="false">O32+P31</f>
        <v>-4078500</v>
      </c>
      <c r="Q32" s="11" t="n">
        <f aca="false">P32+Q31</f>
        <v>-4306272.72727273</v>
      </c>
      <c r="R32" s="11" t="n">
        <f aca="false">Q32+R31</f>
        <v>-4526272.72727273</v>
      </c>
      <c r="S32" s="11" t="n">
        <f aca="false">R32+S31</f>
        <v>-4738500</v>
      </c>
      <c r="T32" s="11" t="n">
        <f aca="false">S32+T31</f>
        <v>-4942954.54545455</v>
      </c>
      <c r="U32" s="11" t="n">
        <f aca="false">T32+U31</f>
        <v>-5139636.36363636</v>
      </c>
      <c r="V32" s="11" t="n">
        <f aca="false">U32+V31</f>
        <v>-5328545.45454545</v>
      </c>
      <c r="W32" s="11" t="n">
        <f aca="false">V32+W31</f>
        <v>-5509681.81818182</v>
      </c>
      <c r="X32" s="11" t="n">
        <f aca="false">W32+X31</f>
        <v>-5683045.45454545</v>
      </c>
      <c r="Y32" s="11" t="n">
        <f aca="false">X32+Y31</f>
        <v>-5848636.36363636</v>
      </c>
      <c r="Z32" s="11" t="n">
        <f aca="false">Y32+Z31</f>
        <v>-6006454.54545455</v>
      </c>
      <c r="AA32" s="11" t="n">
        <f aca="false">Z32+AA31</f>
        <v>-6156500</v>
      </c>
      <c r="AB32" s="11" t="n">
        <f aca="false">AA32+AB31</f>
        <v>-6298772.72727273</v>
      </c>
      <c r="AC32" s="11" t="n">
        <f aca="false">AB32+AC31</f>
        <v>-6433272.72727273</v>
      </c>
      <c r="AD32" s="11" t="n">
        <f aca="false">AC32+AD31</f>
        <v>-6560000</v>
      </c>
      <c r="AE32" s="11" t="n">
        <f aca="false">AD32+AE31</f>
        <v>-6678954.54545454</v>
      </c>
      <c r="AF32" s="11" t="n">
        <f aca="false">AE32+AF31</f>
        <v>-6790136.36363636</v>
      </c>
      <c r="AG32" s="11" t="n">
        <f aca="false">AF32+AG31</f>
        <v>-6893545.45454545</v>
      </c>
      <c r="AH32" s="11" t="n">
        <f aca="false">AG32+AH31</f>
        <v>-6989181.81818182</v>
      </c>
      <c r="AI32" s="11" t="n">
        <f aca="false">AH32+AI31</f>
        <v>-7077045.45454545</v>
      </c>
      <c r="AJ32" s="11" t="n">
        <f aca="false">AI32+AJ31</f>
        <v>-7157136.36363636</v>
      </c>
      <c r="AK32" s="11" t="n">
        <f aca="false">AJ32+AK31</f>
        <v>-7229454.54545454</v>
      </c>
      <c r="AL32" s="11" t="n">
        <f aca="false">AK32+AL31</f>
        <v>-7294000</v>
      </c>
      <c r="AM32" s="11" t="n">
        <f aca="false">N32</f>
        <v>-3599636.36363636</v>
      </c>
      <c r="AN32" s="11" t="n">
        <f aca="false">Z32</f>
        <v>-6006454.54545455</v>
      </c>
      <c r="AO32" s="11" t="n">
        <f aca="false">AL32</f>
        <v>-7294000</v>
      </c>
      <c r="AP32" s="1"/>
    </row>
    <row r="33" customFormat="false" ht="15" hidden="false" customHeight="false" outlineLevel="0" collapsed="false">
      <c r="A33" s="0" t="s">
        <v>289</v>
      </c>
      <c r="B33" s="0" t="s">
        <v>290</v>
      </c>
      <c r="C33" s="0" t="n">
        <f aca="false">IF(AND(C29&gt;0,COUNTIF(C29:AL29,"&lt;=0")=0),C$20,99)</f>
        <v>99</v>
      </c>
      <c r="D33" s="0" t="n">
        <f aca="false">IF(AND(D29&gt;0,COUNTIF(D29:AL29,"&lt;=0")=0),D$20,99)</f>
        <v>99</v>
      </c>
      <c r="E33" s="0" t="n">
        <f aca="false">IF(AND(E29&gt;0,COUNTIF(E29:AL29,"&lt;=0")=0),E$20,99)</f>
        <v>99</v>
      </c>
      <c r="F33" s="0" t="n">
        <f aca="false">IF(AND(F29&gt;0,COUNTIF(F29:AL29,"&lt;=0")=0),F$20,99)</f>
        <v>99</v>
      </c>
      <c r="G33" s="0" t="n">
        <f aca="false">IF(AND(G29&gt;0,COUNTIF(G29:AL29,"&lt;=0")=0),G$20,99)</f>
        <v>99</v>
      </c>
      <c r="H33" s="0" t="n">
        <f aca="false">IF(AND(H29&gt;0,COUNTIF(H29:AL29,"&lt;=0")=0),H$20,99)</f>
        <v>99</v>
      </c>
      <c r="I33" s="0" t="n">
        <f aca="false">IF(AND(I29&gt;0,COUNTIF(I29:AL29,"&lt;=0")=0),I$20,99)</f>
        <v>99</v>
      </c>
      <c r="J33" s="0" t="n">
        <f aca="false">IF(AND(J29&gt;0,COUNTIF(J29:AL29,"&lt;=0")=0),J$20,99)</f>
        <v>99</v>
      </c>
      <c r="K33" s="0" t="n">
        <f aca="false">IF(AND(K29&gt;0,COUNTIF(K29:AL29,"&lt;=0")=0),K$20,99)</f>
        <v>99</v>
      </c>
      <c r="L33" s="0" t="n">
        <f aca="false">IF(AND(L29&gt;0,COUNTIF(L29:AL29,"&lt;=0")=0),L$20,99)</f>
        <v>99</v>
      </c>
      <c r="M33" s="0" t="n">
        <f aca="false">IF(AND(M29&gt;0,COUNTIF(M29:AL29,"&lt;=0")=0),M$20,99)</f>
        <v>99</v>
      </c>
      <c r="N33" s="0" t="n">
        <f aca="false">IF(AND(N29&gt;0,COUNTIF(N29:AL29,"&lt;=0")=0),N$20,99)</f>
        <v>99</v>
      </c>
      <c r="O33" s="0" t="n">
        <f aca="false">IF(AND(O29&gt;0,COUNTIF(O29:AL29,"&lt;=0")=0),O$20,99)</f>
        <v>99</v>
      </c>
      <c r="P33" s="0" t="n">
        <f aca="false">IF(AND(P29&gt;0,COUNTIF(P29:AL29,"&lt;=0")=0),P$20,99)</f>
        <v>99</v>
      </c>
      <c r="Q33" s="0" t="n">
        <f aca="false">IF(AND(Q29&gt;0,COUNTIF(Q29:AL29,"&lt;=0")=0),Q$20,99)</f>
        <v>99</v>
      </c>
      <c r="R33" s="0" t="n">
        <f aca="false">IF(AND(R29&gt;0,COUNTIF(R29:AL29,"&lt;=0")=0),R$20,99)</f>
        <v>99</v>
      </c>
      <c r="S33" s="0" t="n">
        <f aca="false">IF(AND(S29&gt;0,COUNTIF(S29:AL29,"&lt;=0")=0),S$20,99)</f>
        <v>99</v>
      </c>
      <c r="T33" s="0" t="n">
        <f aca="false">IF(AND(T29&gt;0,COUNTIF(T29:AL29,"&lt;=0")=0),T$20,99)</f>
        <v>99</v>
      </c>
      <c r="U33" s="0" t="n">
        <f aca="false">IF(AND(U29&gt;0,COUNTIF(U29:AL29,"&lt;=0")=0),U$20,99)</f>
        <v>99</v>
      </c>
      <c r="V33" s="0" t="n">
        <f aca="false">IF(AND(V29&gt;0,COUNTIF(V29:AL29,"&lt;=0")=0),V$20,99)</f>
        <v>99</v>
      </c>
      <c r="W33" s="0" t="n">
        <f aca="false">IF(AND(W29&gt;0,COUNTIF(W29:AL29,"&lt;=0")=0),W$20,99)</f>
        <v>99</v>
      </c>
      <c r="X33" s="0" t="n">
        <f aca="false">IF(AND(X29&gt;0,COUNTIF(X29:AL29,"&lt;=0")=0),X$20,99)</f>
        <v>99</v>
      </c>
      <c r="Y33" s="0" t="n">
        <f aca="false">IF(AND(Y29&gt;0,COUNTIF(Y29:AL29,"&lt;=0")=0),Y$20,99)</f>
        <v>99</v>
      </c>
      <c r="Z33" s="0" t="n">
        <f aca="false">IF(AND(Z29&gt;0,COUNTIF(Z29:AL29,"&lt;=0")=0),Z$20,99)</f>
        <v>99</v>
      </c>
      <c r="AA33" s="0" t="n">
        <f aca="false">IF(AND(AA29&gt;0,COUNTIF(AA29:AL29,"&lt;=0")=0),AA$20,99)</f>
        <v>99</v>
      </c>
      <c r="AB33" s="0" t="n">
        <f aca="false">IF(AND(AB29&gt;0,COUNTIF(AB29:AL29,"&lt;=0")=0),AB$20,99)</f>
        <v>99</v>
      </c>
      <c r="AC33" s="0" t="n">
        <f aca="false">IF(AND(AC29&gt;0,COUNTIF(AC29:AL29,"&lt;=0")=0),AC$20,99)</f>
        <v>99</v>
      </c>
      <c r="AD33" s="0" t="n">
        <f aca="false">IF(AND(AD29&gt;0,COUNTIF(AD29:AL29,"&lt;=0")=0),AD$20,99)</f>
        <v>99</v>
      </c>
      <c r="AE33" s="0" t="n">
        <f aca="false">IF(AND(AE29&gt;0,COUNTIF(AE29:AL29,"&lt;=0")=0),AE$20,99)</f>
        <v>99</v>
      </c>
      <c r="AF33" s="0" t="n">
        <f aca="false">IF(AND(AF29&gt;0,COUNTIF(AF29:AL29,"&lt;=0")=0),AF$20,99)</f>
        <v>99</v>
      </c>
      <c r="AG33" s="0" t="n">
        <f aca="false">IF(AND(AG29&gt;0,COUNTIF(AG29:AL29,"&lt;=0")=0),AG$20,99)</f>
        <v>99</v>
      </c>
      <c r="AH33" s="0" t="n">
        <f aca="false">IF(AND(AH29&gt;0,COUNTIF(AH29:AL29,"&lt;=0")=0),AH$20,99)</f>
        <v>32</v>
      </c>
      <c r="AI33" s="0" t="n">
        <f aca="false">IF(AND(AI29&gt;0,COUNTIF(AI29:AL29,"&lt;=0")=0),AI$20,99)</f>
        <v>33</v>
      </c>
      <c r="AJ33" s="0" t="n">
        <f aca="false">IF(AND(AJ29&gt;0,COUNTIF(AJ29:AL29,"&lt;=0")=0),AJ$20,99)</f>
        <v>34</v>
      </c>
      <c r="AK33" s="0" t="n">
        <f aca="false">IF(AND(AK29&gt;0,COUNTIF(AK29:AL29,"&lt;=0")=0),AK$20,99)</f>
        <v>35</v>
      </c>
      <c r="AL33" s="0" t="n">
        <f aca="false">IF(AND(AL29&gt;0,COUNTIF(AL29:AL29,"&lt;=0")=0),AL$20,99)</f>
        <v>36</v>
      </c>
    </row>
    <row r="34" customFormat="false" ht="15" hidden="false" customHeight="false" outlineLevel="0" collapsed="false">
      <c r="A34" s="0" t="s">
        <v>291</v>
      </c>
      <c r="B34" s="0" t="s">
        <v>292</v>
      </c>
      <c r="C34" s="0" t="n">
        <f aca="false">IF(AND(C32&gt;=0,COUNTIF(C32:AL32,"&lt;0")=0),C$20,99)</f>
        <v>99</v>
      </c>
      <c r="D34" s="0" t="n">
        <f aca="false">IF(AND(D32&gt;=0,COUNTIF(D32:AL32,"&lt;0")=0),D$20,99)</f>
        <v>99</v>
      </c>
      <c r="E34" s="0" t="n">
        <f aca="false">IF(AND(E32&gt;=0,COUNTIF(E32:AL32,"&lt;0")=0),E$20,99)</f>
        <v>99</v>
      </c>
      <c r="F34" s="0" t="n">
        <f aca="false">IF(AND(F32&gt;=0,COUNTIF(F32:AL32,"&lt;0")=0),F$20,99)</f>
        <v>99</v>
      </c>
      <c r="G34" s="0" t="n">
        <f aca="false">IF(AND(G32&gt;=0,COUNTIF(G32:AL32,"&lt;0")=0),G$20,99)</f>
        <v>99</v>
      </c>
      <c r="H34" s="0" t="n">
        <f aca="false">IF(AND(H32&gt;=0,COUNTIF(H32:AL32,"&lt;0")=0),H$20,99)</f>
        <v>99</v>
      </c>
      <c r="I34" s="0" t="n">
        <f aca="false">IF(AND(I32&gt;=0,COUNTIF(I32:AL32,"&lt;0")=0),I$20,99)</f>
        <v>99</v>
      </c>
      <c r="J34" s="0" t="n">
        <f aca="false">IF(AND(J32&gt;=0,COUNTIF(J32:AL32,"&lt;0")=0),J$20,99)</f>
        <v>99</v>
      </c>
      <c r="K34" s="0" t="n">
        <f aca="false">IF(AND(K32&gt;=0,COUNTIF(K32:AL32,"&lt;0")=0),K$20,99)</f>
        <v>99</v>
      </c>
      <c r="L34" s="0" t="n">
        <f aca="false">IF(AND(L32&gt;=0,COUNTIF(L32:AL32,"&lt;0")=0),L$20,99)</f>
        <v>99</v>
      </c>
      <c r="M34" s="0" t="n">
        <f aca="false">IF(AND(M32&gt;=0,COUNTIF(M32:AL32,"&lt;0")=0),M$20,99)</f>
        <v>99</v>
      </c>
      <c r="N34" s="0" t="n">
        <f aca="false">IF(AND(N32&gt;=0,COUNTIF(N32:AL32,"&lt;0")=0),N$20,99)</f>
        <v>99</v>
      </c>
      <c r="O34" s="0" t="n">
        <f aca="false">IF(AND(O32&gt;=0,COUNTIF(O32:AL32,"&lt;0")=0),O$20,99)</f>
        <v>99</v>
      </c>
      <c r="P34" s="0" t="n">
        <f aca="false">IF(AND(P32&gt;=0,COUNTIF(P32:AL32,"&lt;0")=0),P$20,99)</f>
        <v>99</v>
      </c>
      <c r="Q34" s="0" t="n">
        <f aca="false">IF(AND(Q32&gt;=0,COUNTIF(Q32:AL32,"&lt;0")=0),Q$20,99)</f>
        <v>99</v>
      </c>
      <c r="R34" s="0" t="n">
        <f aca="false">IF(AND(R32&gt;=0,COUNTIF(R32:AL32,"&lt;0")=0),R$20,99)</f>
        <v>99</v>
      </c>
      <c r="S34" s="0" t="n">
        <f aca="false">IF(AND(S32&gt;=0,COUNTIF(S32:AL32,"&lt;0")=0),S$20,99)</f>
        <v>99</v>
      </c>
      <c r="T34" s="0" t="n">
        <f aca="false">IF(AND(T32&gt;=0,COUNTIF(T32:AL32,"&lt;0")=0),T$20,99)</f>
        <v>99</v>
      </c>
      <c r="U34" s="0" t="n">
        <f aca="false">IF(AND(U32&gt;=0,COUNTIF(U32:AL32,"&lt;0")=0),U$20,99)</f>
        <v>99</v>
      </c>
      <c r="V34" s="0" t="n">
        <f aca="false">IF(AND(V32&gt;=0,COUNTIF(V32:AL32,"&lt;0")=0),V$20,99)</f>
        <v>99</v>
      </c>
      <c r="W34" s="0" t="n">
        <f aca="false">IF(AND(W32&gt;=0,COUNTIF(W32:AL32,"&lt;0")=0),W$20,99)</f>
        <v>99</v>
      </c>
      <c r="X34" s="0" t="n">
        <f aca="false">IF(AND(X32&gt;=0,COUNTIF(X32:AL32,"&lt;0")=0),X$20,99)</f>
        <v>99</v>
      </c>
      <c r="Y34" s="0" t="n">
        <f aca="false">IF(AND(Y32&gt;=0,COUNTIF(Y32:AL32,"&lt;0")=0),Y$20,99)</f>
        <v>99</v>
      </c>
      <c r="Z34" s="0" t="n">
        <f aca="false">IF(AND(Z32&gt;=0,COUNTIF(Z32:AL32,"&lt;0")=0),Z$20,99)</f>
        <v>99</v>
      </c>
      <c r="AA34" s="0" t="n">
        <f aca="false">IF(AND(AA32&gt;=0,COUNTIF(AA32:AL32,"&lt;0")=0),AA$20,99)</f>
        <v>99</v>
      </c>
      <c r="AB34" s="0" t="n">
        <f aca="false">IF(AND(AB32&gt;=0,COUNTIF(AB32:AL32,"&lt;0")=0),AB$20,99)</f>
        <v>99</v>
      </c>
      <c r="AC34" s="0" t="n">
        <f aca="false">IF(AND(AC32&gt;=0,COUNTIF(AC32:AL32,"&lt;0")=0),AC$20,99)</f>
        <v>99</v>
      </c>
      <c r="AD34" s="0" t="n">
        <f aca="false">IF(AND(AD32&gt;=0,COUNTIF(AD32:AL32,"&lt;0")=0),AD$20,99)</f>
        <v>99</v>
      </c>
      <c r="AE34" s="0" t="n">
        <f aca="false">IF(AND(AE32&gt;=0,COUNTIF(AE32:AL32,"&lt;0")=0),AE$20,99)</f>
        <v>99</v>
      </c>
      <c r="AF34" s="0" t="n">
        <f aca="false">IF(AND(AF32&gt;=0,COUNTIF(AF32:AL32,"&lt;0")=0),AF$20,99)</f>
        <v>99</v>
      </c>
      <c r="AG34" s="0" t="n">
        <f aca="false">IF(AND(AG32&gt;=0,COUNTIF(AG32:AL32,"&lt;0")=0),AG$20,99)</f>
        <v>99</v>
      </c>
      <c r="AH34" s="0" t="n">
        <f aca="false">IF(AND(AH32&gt;=0,COUNTIF(AH32:AL32,"&lt;0")=0),AH$20,99)</f>
        <v>99</v>
      </c>
      <c r="AI34" s="0" t="n">
        <f aca="false">IF(AND(AI32&gt;=0,COUNTIF(AI32:AL32,"&lt;0")=0),AI$20,99)</f>
        <v>99</v>
      </c>
      <c r="AJ34" s="0" t="n">
        <f aca="false">IF(AND(AJ32&gt;=0,COUNTIF(AJ32:AL32,"&lt;0")=0),AJ$20,99)</f>
        <v>99</v>
      </c>
      <c r="AK34" s="0" t="n">
        <f aca="false">IF(AND(AK32&gt;=0,COUNTIF(AK32:AL32,"&lt;0")=0),AK$20,99)</f>
        <v>99</v>
      </c>
      <c r="AL34" s="0" t="n">
        <f aca="false">IF(AND(AL32&gt;=0,COUNTIF(AL32:AL32,"&lt;0")=0),AL$20,99)</f>
        <v>99</v>
      </c>
    </row>
    <row r="36" customFormat="false" ht="15" hidden="false" customHeight="false" outlineLevel="0" collapsed="false">
      <c r="A36" s="1" t="s">
        <v>294</v>
      </c>
      <c r="B36" s="1" t="s">
        <v>252</v>
      </c>
      <c r="C36" s="1" t="n">
        <v>1</v>
      </c>
      <c r="D36" s="1" t="n">
        <v>2</v>
      </c>
      <c r="E36" s="1" t="n">
        <v>3</v>
      </c>
      <c r="F36" s="1" t="n">
        <v>4</v>
      </c>
      <c r="G36" s="1" t="n">
        <v>5</v>
      </c>
      <c r="H36" s="1" t="n">
        <v>6</v>
      </c>
      <c r="I36" s="1" t="n">
        <v>7</v>
      </c>
      <c r="J36" s="1" t="n">
        <v>8</v>
      </c>
      <c r="K36" s="1" t="n">
        <v>9</v>
      </c>
      <c r="L36" s="1" t="n">
        <v>10</v>
      </c>
      <c r="M36" s="1" t="n">
        <v>11</v>
      </c>
      <c r="N36" s="1" t="n">
        <v>12</v>
      </c>
      <c r="O36" s="1" t="n">
        <v>13</v>
      </c>
      <c r="P36" s="1" t="n">
        <v>14</v>
      </c>
      <c r="Q36" s="1" t="n">
        <v>15</v>
      </c>
      <c r="R36" s="1" t="n">
        <v>16</v>
      </c>
      <c r="S36" s="1" t="n">
        <v>17</v>
      </c>
      <c r="T36" s="1" t="n">
        <v>18</v>
      </c>
      <c r="U36" s="1" t="n">
        <v>19</v>
      </c>
      <c r="V36" s="1" t="n">
        <v>20</v>
      </c>
      <c r="W36" s="1" t="n">
        <v>21</v>
      </c>
      <c r="X36" s="1" t="n">
        <v>22</v>
      </c>
      <c r="Y36" s="1" t="n">
        <v>23</v>
      </c>
      <c r="Z36" s="1" t="n">
        <v>24</v>
      </c>
      <c r="AA36" s="1" t="n">
        <v>25</v>
      </c>
      <c r="AB36" s="1" t="n">
        <v>26</v>
      </c>
      <c r="AC36" s="1" t="n">
        <v>27</v>
      </c>
      <c r="AD36" s="1" t="n">
        <v>28</v>
      </c>
      <c r="AE36" s="1" t="n">
        <v>29</v>
      </c>
      <c r="AF36" s="1" t="n">
        <v>30</v>
      </c>
      <c r="AG36" s="1" t="n">
        <v>31</v>
      </c>
      <c r="AH36" s="1" t="n">
        <v>32</v>
      </c>
      <c r="AI36" s="1" t="n">
        <v>33</v>
      </c>
      <c r="AJ36" s="1" t="n">
        <v>34</v>
      </c>
      <c r="AK36" s="1" t="n">
        <v>35</v>
      </c>
      <c r="AL36" s="1" t="n">
        <v>36</v>
      </c>
      <c r="AM36" s="1" t="s">
        <v>253</v>
      </c>
      <c r="AN36" s="1" t="s">
        <v>254</v>
      </c>
      <c r="AO36" s="1" t="s">
        <v>255</v>
      </c>
      <c r="AP36" s="1" t="s">
        <v>256</v>
      </c>
    </row>
    <row r="37" customFormat="false" ht="15" hidden="false" customHeight="false" outlineLevel="0" collapsed="false">
      <c r="A37" s="0" t="s">
        <v>308</v>
      </c>
      <c r="B37" s="0" t="s">
        <v>309</v>
      </c>
      <c r="C37" s="10" t="n">
        <f aca="false">Допущения!$E$43*Допущения!$E$44*IF(C$36&lt;Допущения!$E$42,0,((C$36-Допущения!$E$42+1)/(36-Допущения!$E$42+1))^Допущения!$E$56)</f>
        <v>0</v>
      </c>
      <c r="D37" s="10" t="n">
        <f aca="false">Допущения!$E$43*Допущения!$E$44*IF(D$36&lt;Допущения!$E$42,0,((D$36-Допущения!$E$42+1)/(36-Допущения!$E$42+1))^Допущения!$E$56)</f>
        <v>0</v>
      </c>
      <c r="E37" s="10" t="n">
        <f aca="false">Допущения!$E$43*Допущения!$E$44*IF(E$36&lt;Допущения!$E$42,0,((E$36-Допущения!$E$42+1)/(36-Допущения!$E$42+1))^Допущения!$E$56)</f>
        <v>334.779581134558</v>
      </c>
      <c r="F37" s="10" t="n">
        <f aca="false">Допущения!$E$43*Допущения!$E$44*IF(F$36&lt;Допущения!$E$42,0,((F$36-Допущения!$E$42+1)/(36-Допущения!$E$42+1))^Допущения!$E$56)</f>
        <v>624.720788182833</v>
      </c>
      <c r="G37" s="10" t="n">
        <f aca="false">Допущения!$E$43*Допущения!$E$44*IF(G$36&lt;Допущения!$E$42,0,((G$36-Допущения!$E$42+1)/(36-Допущения!$E$42+1))^Допущения!$E$56)</f>
        <v>899.845793698363</v>
      </c>
      <c r="H37" s="10" t="n">
        <f aca="false">Допущения!$E$43*Допущения!$E$44*IF(H$36&lt;Допущения!$E$42,0,((H$36-Допущения!$E$42+1)/(36-Допущения!$E$42+1))^Допущения!$E$56)</f>
        <v>1165.77021174692</v>
      </c>
      <c r="I37" s="10" t="n">
        <f aca="false">Допущения!$E$43*Допущения!$E$44*IF(I$36&lt;Допущения!$E$42,0,((I$36-Допущения!$E$42+1)/(36-Допущения!$E$42+1))^Допущения!$E$56)</f>
        <v>1425.05611332318</v>
      </c>
      <c r="J37" s="10" t="n">
        <f aca="false">Допущения!$E$43*Допущения!$E$44*IF(J$36&lt;Допущения!$E$42,0,((J$36-Допущения!$E$42+1)/(36-Допущения!$E$42+1))^Допущения!$E$56)</f>
        <v>1679.17162563239</v>
      </c>
      <c r="K37" s="10" t="n">
        <f aca="false">Допущения!$E$43*Допущения!$E$44*IF(K$36&lt;Допущения!$E$42,0,((K$36-Допущения!$E$42+1)/(36-Допущения!$E$42+1))^Допущения!$E$56)</f>
        <v>1929.0664932966</v>
      </c>
      <c r="L37" s="10" t="n">
        <f aca="false">Допущения!$E$43*Допущения!$E$44*IF(L$36&lt;Допущения!$E$42,0,((L$36-Допущения!$E$42+1)/(36-Допущения!$E$42+1))^Допущения!$E$56)</f>
        <v>2175.40413622145</v>
      </c>
      <c r="M37" s="10" t="n">
        <f aca="false">Допущения!$E$43*Допущения!$E$44*IF(M$36&lt;Допущения!$E$42,0,((M$36-Допущения!$E$42+1)/(36-Допущения!$E$42+1))^Допущения!$E$56)</f>
        <v>2418.67335424852</v>
      </c>
      <c r="N37" s="10" t="n">
        <f aca="false">Допущения!$E$43*Допущения!$E$44*IF(N$36&lt;Допущения!$E$42,0,((N$36-Допущения!$E$42+1)/(36-Допущения!$E$42+1))^Допущения!$E$56)</f>
        <v>2659.24873704348</v>
      </c>
      <c r="O37" s="10" t="n">
        <f aca="false">Допущения!$E$43*Допущения!$E$44*IF(O$36&lt;Допущения!$E$42,0,((O$36-Допущения!$E$42+1)/(36-Допущения!$E$42+1))^Допущения!$E$56)</f>
        <v>2897.42616919858</v>
      </c>
      <c r="P37" s="10" t="n">
        <f aca="false">Допущения!$E$43*Допущения!$E$44*IF(P$36&lt;Допущения!$E$42,0,((P$36-Допущения!$E$42+1)/(36-Допущения!$E$42+1))^Допущения!$E$56)</f>
        <v>3133.44505033503</v>
      </c>
      <c r="Q37" s="10" t="n">
        <f aca="false">Допущения!$E$43*Допущения!$E$44*IF(Q$36&lt;Допущения!$E$42,0,((Q$36-Допущения!$E$42+1)/(36-Допущения!$E$42+1))^Допущения!$E$56)</f>
        <v>3367.50290257845</v>
      </c>
      <c r="R37" s="10" t="n">
        <f aca="false">Допущения!$E$43*Допущения!$E$44*IF(R$36&lt;Допущения!$E$42,0,((R$36-Допущения!$E$42+1)/(36-Допущения!$E$42+1))^Допущения!$E$56)</f>
        <v>3599.7653622279</v>
      </c>
      <c r="S37" s="10" t="n">
        <f aca="false">Допущения!$E$43*Допущения!$E$44*IF(S$36&lt;Допущения!$E$42,0,((S$36-Допущения!$E$42+1)/(36-Допущения!$E$42+1))^Допущения!$E$56)</f>
        <v>3830.37324143909</v>
      </c>
      <c r="T37" s="10" t="n">
        <f aca="false">Допущения!$E$43*Допущения!$E$44*IF(T$36&lt;Допущения!$E$42,0,((T$36-Допущения!$E$42+1)/(36-Допущения!$E$42+1))^Допущения!$E$56)</f>
        <v>4059.4476580405</v>
      </c>
      <c r="U37" s="10" t="n">
        <f aca="false">Допущения!$E$43*Допущения!$E$44*IF(U$36&lt;Допущения!$E$42,0,((U$36-Допущения!$E$42+1)/(36-Допущения!$E$42+1))^Допущения!$E$56)</f>
        <v>4287.09385014517</v>
      </c>
      <c r="V37" s="10" t="n">
        <f aca="false">Допущения!$E$43*Допущения!$E$44*IF(V$36&lt;Допущения!$E$42,0,((V$36-Допущения!$E$42+1)/(36-Допущения!$E$42+1))^Допущения!$E$56)</f>
        <v>4513.40407052972</v>
      </c>
      <c r="W37" s="10" t="n">
        <f aca="false">Допущения!$E$43*Допущения!$E$44*IF(W$36&lt;Допущения!$E$42,0,((W$36-Допущения!$E$42+1)/(36-Допущения!$E$42+1))^Допущения!$E$56)</f>
        <v>4738.45982170373</v>
      </c>
      <c r="X37" s="10" t="n">
        <f aca="false">Допущения!$E$43*Допущения!$E$44*IF(X$36&lt;Допущения!$E$42,0,((X$36-Допущения!$E$42+1)/(36-Допущения!$E$42+1))^Допущения!$E$56)</f>
        <v>4962.33360872831</v>
      </c>
      <c r="Y37" s="10" t="n">
        <f aca="false">Допущения!$E$43*Допущения!$E$44*IF(Y$36&lt;Допущения!$E$42,0,((Y$36-Допущения!$E$42+1)/(36-Допущения!$E$42+1))^Допущения!$E$56)</f>
        <v>5185.09033279333</v>
      </c>
      <c r="Z37" s="10" t="n">
        <f aca="false">Допущения!$E$43*Допущения!$E$44*IF(Z$36&lt;Допущения!$E$42,0,((Z$36-Допущения!$E$42+1)/(36-Допущения!$E$42+1))^Допущения!$E$56)</f>
        <v>5406.78841280877</v>
      </c>
      <c r="AA37" s="10" t="n">
        <f aca="false">Допущения!$E$43*Допущения!$E$44*IF(AA$36&lt;Допущения!$E$42,0,((AA$36-Допущения!$E$42+1)/(36-Допущения!$E$42+1))^Допущения!$E$56)</f>
        <v>5627.48069806137</v>
      </c>
      <c r="AB37" s="10" t="n">
        <f aca="false">Допущения!$E$43*Допущения!$E$44*IF(AB$36&lt;Допущения!$E$42,0,((AB$36-Допущения!$E$42+1)/(36-Допущения!$E$42+1))^Допущения!$E$56)</f>
        <v>5847.21521826059</v>
      </c>
      <c r="AC37" s="10" t="n">
        <f aca="false">Допущения!$E$43*Допущения!$E$44*IF(AC$36&lt;Допущения!$E$42,0,((AC$36-Допущения!$E$42+1)/(36-Допущения!$E$42+1))^Допущения!$E$56)</f>
        <v>6066.03580552162</v>
      </c>
      <c r="AD37" s="10" t="n">
        <f aca="false">Допущения!$E$43*Допущения!$E$44*IF(AD$36&lt;Допущения!$E$42,0,((AD$36-Допущения!$E$42+1)/(36-Допущения!$E$42+1))^Допущения!$E$56)</f>
        <v>6283.9826144033</v>
      </c>
      <c r="AE37" s="10" t="n">
        <f aca="false">Допущения!$E$43*Допущения!$E$44*IF(AE$36&lt;Допущения!$E$42,0,((AE$36-Допущения!$E$42+1)/(36-Допущения!$E$42+1))^Допущения!$E$56)</f>
        <v>6501.09255999119</v>
      </c>
      <c r="AF37" s="10" t="n">
        <f aca="false">Допущения!$E$43*Допущения!$E$44*IF(AF$36&lt;Допущения!$E$42,0,((AF$36-Допущения!$E$42+1)/(36-Допущения!$E$42+1))^Допущения!$E$56)</f>
        <v>6717.39968950015</v>
      </c>
      <c r="AG37" s="10" t="n">
        <f aca="false">Допущения!$E$43*Допущения!$E$44*IF(AG$36&lt;Допущения!$E$42,0,((AG$36-Допущения!$E$42+1)/(36-Допущения!$E$42+1))^Допущения!$E$56)</f>
        <v>6932.93549950035</v>
      </c>
      <c r="AH37" s="10" t="n">
        <f aca="false">Допущения!$E$43*Допущения!$E$44*IF(AH$36&lt;Допущения!$E$42,0,((AH$36-Допущения!$E$42+1)/(36-Допущения!$E$42+1))^Допущения!$E$56)</f>
        <v>7147.72920832491</v>
      </c>
      <c r="AI37" s="10" t="n">
        <f aca="false">Допущения!$E$43*Допущения!$E$44*IF(AI$36&lt;Допущения!$E$42,0,((AI$36-Допущения!$E$42+1)/(36-Допущения!$E$42+1))^Допущения!$E$56)</f>
        <v>7361.80799127463</v>
      </c>
      <c r="AJ37" s="10" t="n">
        <f aca="false">Допущения!$E$43*Допущения!$E$44*IF(AJ$36&lt;Допущения!$E$42,0,((AJ$36-Допущения!$E$42+1)/(36-Допущения!$E$42+1))^Допущения!$E$56)</f>
        <v>7575.19718473722</v>
      </c>
      <c r="AK37" s="10" t="n">
        <f aca="false">Допущения!$E$43*Допущения!$E$44*IF(AK$36&lt;Допущения!$E$42,0,((AK$36-Допущения!$E$42+1)/(36-Допущения!$E$42+1))^Допущения!$E$56)</f>
        <v>7787.92046417244</v>
      </c>
      <c r="AL37" s="10" t="n">
        <f aca="false">Допущения!$E$43*Допущения!$E$44*IF(AL$36&lt;Допущения!$E$42,0,((AL$36-Допущения!$E$42+1)/(36-Допущения!$E$42+1))^Допущения!$E$56)</f>
        <v>8000</v>
      </c>
      <c r="AM37" s="10" t="n">
        <f aca="false">SUM(C37:N37)</f>
        <v>15311.7368345283</v>
      </c>
      <c r="AN37" s="10" t="n">
        <f aca="false">SUM(O37:Z37)</f>
        <v>49981.1304805286</v>
      </c>
      <c r="AO37" s="10" t="n">
        <f aca="false">SUM(AA37:AL37)</f>
        <v>81848.7969337478</v>
      </c>
      <c r="AP37" s="10" t="n">
        <f aca="false">SUM(C37:AL37)</f>
        <v>147141.664248805</v>
      </c>
    </row>
    <row r="38" customFormat="false" ht="15" hidden="false" customHeight="false" outlineLevel="0" collapsed="false">
      <c r="A38" s="0" t="s">
        <v>267</v>
      </c>
      <c r="B38" s="0" t="s">
        <v>310</v>
      </c>
      <c r="C38" s="10" t="n">
        <f aca="false">C37*Допущения!$E$45</f>
        <v>0</v>
      </c>
      <c r="D38" s="10" t="n">
        <f aca="false">D37*Допущения!$E$45</f>
        <v>0</v>
      </c>
      <c r="E38" s="10" t="n">
        <f aca="false">E37*Допущения!$E$45</f>
        <v>736515.078496028</v>
      </c>
      <c r="F38" s="10" t="n">
        <f aca="false">F37*Допущения!$E$45</f>
        <v>1374385.73400223</v>
      </c>
      <c r="G38" s="10" t="n">
        <f aca="false">G37*Допущения!$E$45</f>
        <v>1979660.7461364</v>
      </c>
      <c r="H38" s="10" t="n">
        <f aca="false">H37*Допущения!$E$45</f>
        <v>2564694.46584323</v>
      </c>
      <c r="I38" s="10" t="n">
        <f aca="false">I37*Допущения!$E$45</f>
        <v>3135123.44931099</v>
      </c>
      <c r="J38" s="10" t="n">
        <f aca="false">J37*Допущения!$E$45</f>
        <v>3694177.57639127</v>
      </c>
      <c r="K38" s="10" t="n">
        <f aca="false">K37*Допущения!$E$45</f>
        <v>4243946.28525253</v>
      </c>
      <c r="L38" s="10" t="n">
        <f aca="false">L37*Допущения!$E$45</f>
        <v>4785889.0996872</v>
      </c>
      <c r="M38" s="10" t="n">
        <f aca="false">M37*Допущения!$E$45</f>
        <v>5321081.37934675</v>
      </c>
      <c r="N38" s="10" t="n">
        <f aca="false">N37*Допущения!$E$45</f>
        <v>5850347.22149566</v>
      </c>
      <c r="O38" s="10" t="n">
        <f aca="false">O37*Допущения!$E$45</f>
        <v>6374337.57223688</v>
      </c>
      <c r="P38" s="10" t="n">
        <f aca="false">P37*Допущения!$E$45</f>
        <v>6893579.11073707</v>
      </c>
      <c r="Q38" s="10" t="n">
        <f aca="false">Q37*Допущения!$E$45</f>
        <v>7408506.38567259</v>
      </c>
      <c r="R38" s="10" t="n">
        <f aca="false">R37*Допущения!$E$45</f>
        <v>7919483.79690137</v>
      </c>
      <c r="S38" s="10" t="n">
        <f aca="false">S37*Допущения!$E$45</f>
        <v>8426821.131166</v>
      </c>
      <c r="T38" s="10" t="n">
        <f aca="false">T37*Допущения!$E$45</f>
        <v>8930784.84768909</v>
      </c>
      <c r="U38" s="10" t="n">
        <f aca="false">U37*Допущения!$E$45</f>
        <v>9431606.47031938</v>
      </c>
      <c r="V38" s="10" t="n">
        <f aca="false">V37*Допущения!$E$45</f>
        <v>9929488.95516539</v>
      </c>
      <c r="W38" s="10" t="n">
        <f aca="false">W37*Допущения!$E$45</f>
        <v>10424611.6077482</v>
      </c>
      <c r="X38" s="10" t="n">
        <f aca="false">X37*Допущения!$E$45</f>
        <v>10917133.9392023</v>
      </c>
      <c r="Y38" s="10" t="n">
        <f aca="false">Y37*Допущения!$E$45</f>
        <v>11407198.7321453</v>
      </c>
      <c r="Z38" s="10" t="n">
        <f aca="false">Z37*Допущения!$E$45</f>
        <v>11894934.5081793</v>
      </c>
      <c r="AA38" s="10" t="n">
        <f aca="false">AA37*Допущения!$E$45</f>
        <v>12380457.535735</v>
      </c>
      <c r="AB38" s="10" t="n">
        <f aca="false">AB37*Допущения!$E$45</f>
        <v>12863873.4801733</v>
      </c>
      <c r="AC38" s="10" t="n">
        <f aca="false">AC37*Допущения!$E$45</f>
        <v>13345278.7721476</v>
      </c>
      <c r="AD38" s="10" t="n">
        <f aca="false">AD37*Допущения!$E$45</f>
        <v>13824761.7516873</v>
      </c>
      <c r="AE38" s="10" t="n">
        <f aca="false">AE37*Допущения!$E$45</f>
        <v>14302403.6319806</v>
      </c>
      <c r="AF38" s="10" t="n">
        <f aca="false">AF37*Допущения!$E$45</f>
        <v>14778279.3169003</v>
      </c>
      <c r="AG38" s="10" t="n">
        <f aca="false">AG37*Допущения!$E$45</f>
        <v>15252458.0989008</v>
      </c>
      <c r="AH38" s="10" t="n">
        <f aca="false">AH37*Допущения!$E$45</f>
        <v>15725004.2583148</v>
      </c>
      <c r="AI38" s="10" t="n">
        <f aca="false">AI37*Допущения!$E$45</f>
        <v>16195977.5808042</v>
      </c>
      <c r="AJ38" s="10" t="n">
        <f aca="false">AJ37*Допущения!$E$45</f>
        <v>16665433.8064219</v>
      </c>
      <c r="AK38" s="10" t="n">
        <f aca="false">AK37*Допущения!$E$45</f>
        <v>17133425.0211794</v>
      </c>
      <c r="AL38" s="10" t="n">
        <f aca="false">AL37*Допущения!$E$45</f>
        <v>17600000</v>
      </c>
      <c r="AM38" s="10" t="n">
        <f aca="false">SUM(C38:N38)</f>
        <v>33685821.0359623</v>
      </c>
      <c r="AN38" s="10" t="n">
        <f aca="false">SUM(O38:Z38)</f>
        <v>109958487.057163</v>
      </c>
      <c r="AO38" s="10" t="n">
        <f aca="false">SUM(AA38:AL38)</f>
        <v>180067353.254245</v>
      </c>
      <c r="AP38" s="10" t="n">
        <f aca="false">SUM(C38:AL38)</f>
        <v>323711661.34737</v>
      </c>
    </row>
    <row r="39" customFormat="false" ht="15" hidden="false" customHeight="false" outlineLevel="0" collapsed="false">
      <c r="A39" s="0" t="s">
        <v>311</v>
      </c>
      <c r="B39" s="0" t="s">
        <v>312</v>
      </c>
      <c r="C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D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E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F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G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H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I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J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K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L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M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N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O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P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Q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R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S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T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U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V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W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X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Y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Z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A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B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C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D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E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F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G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H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I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J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K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L39" s="10" t="n">
        <f aca="false">Допущения!$E$45*(1-Допущения!$E$47-Допущения!$E$46-Допущения!$E$49-Допущения!$E$50-Допущения!$E$52)-Допущения!$E$48-Допущения!$E$51</f>
        <v>475</v>
      </c>
      <c r="AM39" s="10" t="n">
        <f aca="false">N39</f>
        <v>475</v>
      </c>
      <c r="AN39" s="10" t="n">
        <f aca="false">Z39</f>
        <v>475</v>
      </c>
      <c r="AO39" s="10" t="n">
        <f aca="false">AL39</f>
        <v>475</v>
      </c>
    </row>
    <row r="40" customFormat="false" ht="15" hidden="false" customHeight="false" outlineLevel="0" collapsed="false">
      <c r="A40" s="0" t="s">
        <v>275</v>
      </c>
      <c r="B40" s="0" t="s">
        <v>276</v>
      </c>
      <c r="C40" s="10" t="n">
        <f aca="false">C37*C39</f>
        <v>0</v>
      </c>
      <c r="D40" s="10" t="n">
        <f aca="false">D37*D39</f>
        <v>0</v>
      </c>
      <c r="E40" s="10" t="n">
        <f aca="false">E37*E39</f>
        <v>159020.301038915</v>
      </c>
      <c r="F40" s="10" t="n">
        <f aca="false">F37*F39</f>
        <v>296742.374386845</v>
      </c>
      <c r="G40" s="10" t="n">
        <f aca="false">G37*G39</f>
        <v>427426.752006722</v>
      </c>
      <c r="H40" s="10" t="n">
        <f aca="false">H37*H39</f>
        <v>553740.850579787</v>
      </c>
      <c r="I40" s="10" t="n">
        <f aca="false">I37*I39</f>
        <v>676901.65382851</v>
      </c>
      <c r="J40" s="10" t="n">
        <f aca="false">J37*J39</f>
        <v>797606.522175387</v>
      </c>
      <c r="K40" s="10" t="n">
        <f aca="false">K37*K39</f>
        <v>916306.584315886</v>
      </c>
      <c r="L40" s="10" t="n">
        <f aca="false">L37*L39</f>
        <v>1033316.96470519</v>
      </c>
      <c r="M40" s="10" t="n">
        <f aca="false">M37*M39</f>
        <v>1148869.84326805</v>
      </c>
      <c r="N40" s="10" t="n">
        <f aca="false">N37*N39</f>
        <v>1263143.15009565</v>
      </c>
      <c r="O40" s="10" t="n">
        <f aca="false">O37*O39</f>
        <v>1376277.43036933</v>
      </c>
      <c r="P40" s="10" t="n">
        <f aca="false">P37*P39</f>
        <v>1488386.39890914</v>
      </c>
      <c r="Q40" s="10" t="n">
        <f aca="false">Q37*Q39</f>
        <v>1599563.87872476</v>
      </c>
      <c r="R40" s="10" t="n">
        <f aca="false">R37*R39</f>
        <v>1709888.54705825</v>
      </c>
      <c r="S40" s="10" t="n">
        <f aca="false">S37*S39</f>
        <v>1819427.28968357</v>
      </c>
      <c r="T40" s="10" t="n">
        <f aca="false">T37*T39</f>
        <v>1928237.63756923</v>
      </c>
      <c r="U40" s="10" t="n">
        <f aca="false">U37*U39</f>
        <v>2036369.57881896</v>
      </c>
      <c r="V40" s="10" t="n">
        <f aca="false">V37*V39</f>
        <v>2143866.93350162</v>
      </c>
      <c r="W40" s="10" t="n">
        <f aca="false">W37*W39</f>
        <v>2250768.41530927</v>
      </c>
      <c r="X40" s="10" t="n">
        <f aca="false">X37*X39</f>
        <v>2357108.46414595</v>
      </c>
      <c r="Y40" s="10" t="n">
        <f aca="false">Y37*Y39</f>
        <v>2462917.90807683</v>
      </c>
      <c r="Z40" s="10" t="n">
        <f aca="false">Z37*Z39</f>
        <v>2568224.49608416</v>
      </c>
      <c r="AA40" s="10" t="n">
        <f aca="false">AA37*AA39</f>
        <v>2673053.33157915</v>
      </c>
      <c r="AB40" s="10" t="n">
        <f aca="false">AB37*AB39</f>
        <v>2777427.22867378</v>
      </c>
      <c r="AC40" s="10" t="n">
        <f aca="false">AC37*AC39</f>
        <v>2881367.00762277</v>
      </c>
      <c r="AD40" s="10" t="n">
        <f aca="false">AD37*AD39</f>
        <v>2984891.74184157</v>
      </c>
      <c r="AE40" s="10" t="n">
        <f aca="false">AE37*AE39</f>
        <v>3088018.96599581</v>
      </c>
      <c r="AF40" s="10" t="n">
        <f aca="false">AF37*AF39</f>
        <v>3190764.85251257</v>
      </c>
      <c r="AG40" s="10" t="n">
        <f aca="false">AG37*AG39</f>
        <v>3293144.36226267</v>
      </c>
      <c r="AH40" s="10" t="n">
        <f aca="false">AH37*AH39</f>
        <v>3395171.37395433</v>
      </c>
      <c r="AI40" s="10" t="n">
        <f aca="false">AI37*AI39</f>
        <v>3496858.79585545</v>
      </c>
      <c r="AJ40" s="10" t="n">
        <f aca="false">AJ37*AJ39</f>
        <v>3598218.66275018</v>
      </c>
      <c r="AK40" s="10" t="n">
        <f aca="false">AK37*AK39</f>
        <v>3699262.22048191</v>
      </c>
      <c r="AL40" s="10" t="n">
        <f aca="false">AL37*AL39</f>
        <v>3800000</v>
      </c>
      <c r="AM40" s="10" t="n">
        <f aca="false">SUM(C40:N40)</f>
        <v>7273074.99640094</v>
      </c>
      <c r="AN40" s="10" t="n">
        <f aca="false">SUM(O40:Z40)</f>
        <v>23741036.9782511</v>
      </c>
      <c r="AO40" s="10" t="n">
        <f aca="false">SUM(AA40:AL40)</f>
        <v>38878178.5435302</v>
      </c>
      <c r="AP40" s="10" t="n">
        <f aca="false">SUM(C40:AL40)</f>
        <v>69892290.5181822</v>
      </c>
    </row>
    <row r="41" customFormat="false" ht="15" hidden="false" customHeight="false" outlineLevel="0" collapsed="false">
      <c r="A41" s="0" t="s">
        <v>277</v>
      </c>
      <c r="B41" s="0" t="s">
        <v>313</v>
      </c>
      <c r="C41" s="10" t="n">
        <f aca="false">0</f>
        <v>0</v>
      </c>
      <c r="D41" s="10" t="n">
        <f aca="false">0</f>
        <v>0</v>
      </c>
      <c r="E41" s="10" t="n">
        <f aca="false">0</f>
        <v>0</v>
      </c>
      <c r="F41" s="10" t="n">
        <f aca="false">0</f>
        <v>0</v>
      </c>
      <c r="G41" s="10" t="n">
        <f aca="false">0</f>
        <v>0</v>
      </c>
      <c r="H41" s="10" t="n">
        <f aca="false">0</f>
        <v>0</v>
      </c>
      <c r="I41" s="10" t="n">
        <f aca="false">0</f>
        <v>0</v>
      </c>
      <c r="J41" s="10" t="n">
        <f aca="false">0</f>
        <v>0</v>
      </c>
      <c r="K41" s="10" t="n">
        <f aca="false">0</f>
        <v>0</v>
      </c>
      <c r="L41" s="10" t="n">
        <f aca="false">0</f>
        <v>0</v>
      </c>
      <c r="M41" s="10" t="n">
        <f aca="false">0</f>
        <v>0</v>
      </c>
      <c r="N41" s="10" t="n">
        <f aca="false">0</f>
        <v>0</v>
      </c>
      <c r="O41" s="10" t="n">
        <f aca="false">0</f>
        <v>0</v>
      </c>
      <c r="P41" s="10" t="n">
        <f aca="false">0</f>
        <v>0</v>
      </c>
      <c r="Q41" s="10" t="n">
        <f aca="false">0</f>
        <v>0</v>
      </c>
      <c r="R41" s="10" t="n">
        <f aca="false">0</f>
        <v>0</v>
      </c>
      <c r="S41" s="10" t="n">
        <f aca="false">0</f>
        <v>0</v>
      </c>
      <c r="T41" s="10" t="n">
        <f aca="false">0</f>
        <v>0</v>
      </c>
      <c r="U41" s="10" t="n">
        <f aca="false">0</f>
        <v>0</v>
      </c>
      <c r="V41" s="10" t="n">
        <f aca="false">0</f>
        <v>0</v>
      </c>
      <c r="W41" s="10" t="n">
        <f aca="false">0</f>
        <v>0</v>
      </c>
      <c r="X41" s="10" t="n">
        <f aca="false">0</f>
        <v>0</v>
      </c>
      <c r="Y41" s="10" t="n">
        <f aca="false">0</f>
        <v>0</v>
      </c>
      <c r="Z41" s="10" t="n">
        <f aca="false">0</f>
        <v>0</v>
      </c>
      <c r="AA41" s="10" t="n">
        <f aca="false">0</f>
        <v>0</v>
      </c>
      <c r="AB41" s="10" t="n">
        <f aca="false">0</f>
        <v>0</v>
      </c>
      <c r="AC41" s="10" t="n">
        <f aca="false">0</f>
        <v>0</v>
      </c>
      <c r="AD41" s="10" t="n">
        <f aca="false">0</f>
        <v>0</v>
      </c>
      <c r="AE41" s="10" t="n">
        <f aca="false">0</f>
        <v>0</v>
      </c>
      <c r="AF41" s="10" t="n">
        <f aca="false">0</f>
        <v>0</v>
      </c>
      <c r="AG41" s="10" t="n">
        <f aca="false">0</f>
        <v>0</v>
      </c>
      <c r="AH41" s="10" t="n">
        <f aca="false">0</f>
        <v>0</v>
      </c>
      <c r="AI41" s="10" t="n">
        <f aca="false">0</f>
        <v>0</v>
      </c>
      <c r="AJ41" s="10" t="n">
        <f aca="false">0</f>
        <v>0</v>
      </c>
      <c r="AK41" s="10" t="n">
        <f aca="false">0</f>
        <v>0</v>
      </c>
      <c r="AL41" s="10" t="n">
        <f aca="false">0</f>
        <v>0</v>
      </c>
      <c r="AM41" s="10" t="n">
        <f aca="false">SUM(C41:N41)</f>
        <v>0</v>
      </c>
      <c r="AN41" s="10" t="n">
        <f aca="false">SUM(O41:Z41)</f>
        <v>0</v>
      </c>
      <c r="AO41" s="10" t="n">
        <f aca="false">SUM(AA41:AL41)</f>
        <v>0</v>
      </c>
      <c r="AP41" s="10" t="n">
        <f aca="false">SUM(C41:AL41)</f>
        <v>0</v>
      </c>
    </row>
    <row r="42" customFormat="false" ht="15" hidden="false" customHeight="false" outlineLevel="0" collapsed="false">
      <c r="A42" s="0" t="s">
        <v>314</v>
      </c>
      <c r="B42" s="0" t="s">
        <v>315</v>
      </c>
      <c r="C42" s="10" t="n">
        <f aca="false">IF(C$36&gt;=Допущения!$E$42-1,MAX(5,ROUNDUP(Допущения!$E$43*IF(C$36&lt;Допущения!$E$42,0,((C$36-Допущения!$E$42+1)/(36-Допущения!$E$42+1))^1),0)),0)</f>
        <v>0</v>
      </c>
      <c r="D42" s="10" t="n">
        <f aca="false">IF(D$36&gt;=Допущения!$E$42-1,MAX(5,ROUNDUP(Допущения!$E$43*IF(D$36&lt;Допущения!$E$42,0,((D$36-Допущения!$E$42+1)/(36-Допущения!$E$42+1))^1),0)),0)</f>
        <v>5</v>
      </c>
      <c r="E42" s="10" t="n">
        <f aca="false">IF(E$36&gt;=Допущения!$E$42-1,MAX(5,ROUNDUP(Допущения!$E$43*IF(E$36&lt;Допущения!$E$42,0,((E$36-Допущения!$E$42+1)/(36-Допущения!$E$42+1))^1),0)),0)</f>
        <v>5</v>
      </c>
      <c r="F42" s="10" t="n">
        <f aca="false">IF(F$36&gt;=Допущения!$E$42-1,MAX(5,ROUNDUP(Допущения!$E$43*IF(F$36&lt;Допущения!$E$42,0,((F$36-Допущения!$E$42+1)/(36-Допущения!$E$42+1))^1),0)),0)</f>
        <v>5</v>
      </c>
      <c r="G42" s="10" t="n">
        <f aca="false">IF(G$36&gt;=Допущения!$E$42-1,MAX(5,ROUNDUP(Допущения!$E$43*IF(G$36&lt;Допущения!$E$42,0,((G$36-Допущения!$E$42+1)/(36-Допущения!$E$42+1))^1),0)),0)</f>
        <v>5</v>
      </c>
      <c r="H42" s="10" t="n">
        <f aca="false">IF(H$36&gt;=Допущения!$E$42-1,MAX(5,ROUNDUP(Допущения!$E$43*IF(H$36&lt;Допущения!$E$42,0,((H$36-Допущения!$E$42+1)/(36-Допущения!$E$42+1))^1),0)),0)</f>
        <v>6</v>
      </c>
      <c r="I42" s="10" t="n">
        <f aca="false">IF(I$36&gt;=Допущения!$E$42-1,MAX(5,ROUNDUP(Допущения!$E$43*IF(I$36&lt;Допущения!$E$42,0,((I$36-Допущения!$E$42+1)/(36-Допущения!$E$42+1))^1),0)),0)</f>
        <v>8</v>
      </c>
      <c r="J42" s="10" t="n">
        <f aca="false">IF(J$36&gt;=Допущения!$E$42-1,MAX(5,ROUNDUP(Допущения!$E$43*IF(J$36&lt;Допущения!$E$42,0,((J$36-Допущения!$E$42+1)/(36-Допущения!$E$42+1))^1),0)),0)</f>
        <v>9</v>
      </c>
      <c r="K42" s="10" t="n">
        <f aca="false">IF(K$36&gt;=Допущения!$E$42-1,MAX(5,ROUNDUP(Допущения!$E$43*IF(K$36&lt;Допущения!$E$42,0,((K$36-Допущения!$E$42+1)/(36-Допущения!$E$42+1))^1),0)),0)</f>
        <v>11</v>
      </c>
      <c r="L42" s="10" t="n">
        <f aca="false">IF(L$36&gt;=Допущения!$E$42-1,MAX(5,ROUNDUP(Допущения!$E$43*IF(L$36&lt;Допущения!$E$42,0,((L$36-Допущения!$E$42+1)/(36-Допущения!$E$42+1))^1),0)),0)</f>
        <v>12</v>
      </c>
      <c r="M42" s="10" t="n">
        <f aca="false">IF(M$36&gt;=Допущения!$E$42-1,MAX(5,ROUNDUP(Допущения!$E$43*IF(M$36&lt;Допущения!$E$42,0,((M$36-Допущения!$E$42+1)/(36-Допущения!$E$42+1))^1),0)),0)</f>
        <v>14</v>
      </c>
      <c r="N42" s="10" t="n">
        <f aca="false">IF(N$36&gt;=Допущения!$E$42-1,MAX(5,ROUNDUP(Допущения!$E$43*IF(N$36&lt;Допущения!$E$42,0,((N$36-Допущения!$E$42+1)/(36-Допущения!$E$42+1))^1),0)),0)</f>
        <v>15</v>
      </c>
      <c r="O42" s="10" t="n">
        <f aca="false">IF(O$36&gt;=Допущения!$E$42-1,MAX(5,ROUNDUP(Допущения!$E$43*IF(O$36&lt;Допущения!$E$42,0,((O$36-Допущения!$E$42+1)/(36-Допущения!$E$42+1))^1),0)),0)</f>
        <v>17</v>
      </c>
      <c r="P42" s="10" t="n">
        <f aca="false">IF(P$36&gt;=Допущения!$E$42-1,MAX(5,ROUNDUP(Допущения!$E$43*IF(P$36&lt;Допущения!$E$42,0,((P$36-Допущения!$E$42+1)/(36-Допущения!$E$42+1))^1),0)),0)</f>
        <v>18</v>
      </c>
      <c r="Q42" s="10" t="n">
        <f aca="false">IF(Q$36&gt;=Допущения!$E$42-1,MAX(5,ROUNDUP(Допущения!$E$43*IF(Q$36&lt;Допущения!$E$42,0,((Q$36-Допущения!$E$42+1)/(36-Допущения!$E$42+1))^1),0)),0)</f>
        <v>20</v>
      </c>
      <c r="R42" s="10" t="n">
        <f aca="false">IF(R$36&gt;=Допущения!$E$42-1,MAX(5,ROUNDUP(Допущения!$E$43*IF(R$36&lt;Допущения!$E$42,0,((R$36-Допущения!$E$42+1)/(36-Допущения!$E$42+1))^1),0)),0)</f>
        <v>21</v>
      </c>
      <c r="S42" s="10" t="n">
        <f aca="false">IF(S$36&gt;=Допущения!$E$42-1,MAX(5,ROUNDUP(Допущения!$E$43*IF(S$36&lt;Допущения!$E$42,0,((S$36-Допущения!$E$42+1)/(36-Допущения!$E$42+1))^1),0)),0)</f>
        <v>23</v>
      </c>
      <c r="T42" s="10" t="n">
        <f aca="false">IF(T$36&gt;=Допущения!$E$42-1,MAX(5,ROUNDUP(Допущения!$E$43*IF(T$36&lt;Допущения!$E$42,0,((T$36-Допущения!$E$42+1)/(36-Допущения!$E$42+1))^1),0)),0)</f>
        <v>24</v>
      </c>
      <c r="U42" s="10" t="n">
        <f aca="false">IF(U$36&gt;=Допущения!$E$42-1,MAX(5,ROUNDUP(Допущения!$E$43*IF(U$36&lt;Допущения!$E$42,0,((U$36-Допущения!$E$42+1)/(36-Допущения!$E$42+1))^1),0)),0)</f>
        <v>25</v>
      </c>
      <c r="V42" s="10" t="n">
        <f aca="false">IF(V$36&gt;=Допущения!$E$42-1,MAX(5,ROUNDUP(Допущения!$E$43*IF(V$36&lt;Допущения!$E$42,0,((V$36-Допущения!$E$42+1)/(36-Допущения!$E$42+1))^1),0)),0)</f>
        <v>27</v>
      </c>
      <c r="W42" s="10" t="n">
        <f aca="false">IF(W$36&gt;=Допущения!$E$42-1,MAX(5,ROUNDUP(Допущения!$E$43*IF(W$36&lt;Допущения!$E$42,0,((W$36-Допущения!$E$42+1)/(36-Допущения!$E$42+1))^1),0)),0)</f>
        <v>28</v>
      </c>
      <c r="X42" s="10" t="n">
        <f aca="false">IF(X$36&gt;=Допущения!$E$42-1,MAX(5,ROUNDUP(Допущения!$E$43*IF(X$36&lt;Допущения!$E$42,0,((X$36-Допущения!$E$42+1)/(36-Допущения!$E$42+1))^1),0)),0)</f>
        <v>30</v>
      </c>
      <c r="Y42" s="10" t="n">
        <f aca="false">IF(Y$36&gt;=Допущения!$E$42-1,MAX(5,ROUNDUP(Допущения!$E$43*IF(Y$36&lt;Допущения!$E$42,0,((Y$36-Допущения!$E$42+1)/(36-Допущения!$E$42+1))^1),0)),0)</f>
        <v>31</v>
      </c>
      <c r="Z42" s="10" t="n">
        <f aca="false">IF(Z$36&gt;=Допущения!$E$42-1,MAX(5,ROUNDUP(Допущения!$E$43*IF(Z$36&lt;Допущения!$E$42,0,((Z$36-Допущения!$E$42+1)/(36-Допущения!$E$42+1))^1),0)),0)</f>
        <v>33</v>
      </c>
      <c r="AA42" s="10" t="n">
        <f aca="false">IF(AA$36&gt;=Допущения!$E$42-1,MAX(5,ROUNDUP(Допущения!$E$43*IF(AA$36&lt;Допущения!$E$42,0,((AA$36-Допущения!$E$42+1)/(36-Допущения!$E$42+1))^1),0)),0)</f>
        <v>34</v>
      </c>
      <c r="AB42" s="10" t="n">
        <f aca="false">IF(AB$36&gt;=Допущения!$E$42-1,MAX(5,ROUNDUP(Допущения!$E$43*IF(AB$36&lt;Допущения!$E$42,0,((AB$36-Допущения!$E$42+1)/(36-Допущения!$E$42+1))^1),0)),0)</f>
        <v>36</v>
      </c>
      <c r="AC42" s="10" t="n">
        <f aca="false">IF(AC$36&gt;=Допущения!$E$42-1,MAX(5,ROUNDUP(Допущения!$E$43*IF(AC$36&lt;Допущения!$E$42,0,((AC$36-Допущения!$E$42+1)/(36-Допущения!$E$42+1))^1),0)),0)</f>
        <v>37</v>
      </c>
      <c r="AD42" s="10" t="n">
        <f aca="false">IF(AD$36&gt;=Допущения!$E$42-1,MAX(5,ROUNDUP(Допущения!$E$43*IF(AD$36&lt;Допущения!$E$42,0,((AD$36-Допущения!$E$42+1)/(36-Допущения!$E$42+1))^1),0)),0)</f>
        <v>39</v>
      </c>
      <c r="AE42" s="10" t="n">
        <f aca="false">IF(AE$36&gt;=Допущения!$E$42-1,MAX(5,ROUNDUP(Допущения!$E$43*IF(AE$36&lt;Допущения!$E$42,0,((AE$36-Допущения!$E$42+1)/(36-Допущения!$E$42+1))^1),0)),0)</f>
        <v>40</v>
      </c>
      <c r="AF42" s="10" t="n">
        <f aca="false">IF(AF$36&gt;=Допущения!$E$42-1,MAX(5,ROUNDUP(Допущения!$E$43*IF(AF$36&lt;Допущения!$E$42,0,((AF$36-Допущения!$E$42+1)/(36-Допущения!$E$42+1))^1),0)),0)</f>
        <v>42</v>
      </c>
      <c r="AG42" s="10" t="n">
        <f aca="false">IF(AG$36&gt;=Допущения!$E$42-1,MAX(5,ROUNDUP(Допущения!$E$43*IF(AG$36&lt;Допущения!$E$42,0,((AG$36-Допущения!$E$42+1)/(36-Допущения!$E$42+1))^1),0)),0)</f>
        <v>43</v>
      </c>
      <c r="AH42" s="10" t="n">
        <f aca="false">IF(AH$36&gt;=Допущения!$E$42-1,MAX(5,ROUNDUP(Допущения!$E$43*IF(AH$36&lt;Допущения!$E$42,0,((AH$36-Допущения!$E$42+1)/(36-Допущения!$E$42+1))^1),0)),0)</f>
        <v>45</v>
      </c>
      <c r="AI42" s="10" t="n">
        <f aca="false">IF(AI$36&gt;=Допущения!$E$42-1,MAX(5,ROUNDUP(Допущения!$E$43*IF(AI$36&lt;Допущения!$E$42,0,((AI$36-Допущения!$E$42+1)/(36-Допущения!$E$42+1))^1),0)),0)</f>
        <v>46</v>
      </c>
      <c r="AJ42" s="10" t="n">
        <f aca="false">IF(AJ$36&gt;=Допущения!$E$42-1,MAX(5,ROUNDUP(Допущения!$E$43*IF(AJ$36&lt;Допущения!$E$42,0,((AJ$36-Допущения!$E$42+1)/(36-Допущения!$E$42+1))^1),0)),0)</f>
        <v>48</v>
      </c>
      <c r="AK42" s="10" t="n">
        <f aca="false">IF(AK$36&gt;=Допущения!$E$42-1,MAX(5,ROUNDUP(Допущения!$E$43*IF(AK$36&lt;Допущения!$E$42,0,((AK$36-Допущения!$E$42+1)/(36-Допущения!$E$42+1))^1),0)),0)</f>
        <v>49</v>
      </c>
      <c r="AL42" s="10" t="n">
        <f aca="false">IF(AL$36&gt;=Допущения!$E$42-1,MAX(5,ROUNDUP(Допущения!$E$43*IF(AL$36&lt;Допущения!$E$42,0,((AL$36-Допущения!$E$42+1)/(36-Допущения!$E$42+1))^1),0)),0)</f>
        <v>50</v>
      </c>
      <c r="AM42" s="10" t="n">
        <f aca="false">N42</f>
        <v>15</v>
      </c>
      <c r="AN42" s="10" t="n">
        <f aca="false">Z42</f>
        <v>33</v>
      </c>
      <c r="AO42" s="10" t="n">
        <f aca="false">AL42</f>
        <v>50</v>
      </c>
    </row>
    <row r="43" customFormat="false" ht="15" hidden="false" customHeight="false" outlineLevel="0" collapsed="false">
      <c r="A43" s="0" t="s">
        <v>316</v>
      </c>
      <c r="B43" s="0" t="s">
        <v>317</v>
      </c>
      <c r="C43" s="10" t="n">
        <f aca="false">IF(C$36&gt;=Допущения!$E$42-1,MAX(C37*Допущения!$E$53,C42*100)*Допущения!$E$45*Допущения!$E$46,0)</f>
        <v>0</v>
      </c>
      <c r="D43" s="10" t="n">
        <f aca="false">IF(D$36&gt;=Допущения!$E$42-1,MAX(D37*Допущения!$E$53,D42*100)*Допущения!$E$45*Допущения!$E$46,0)</f>
        <v>253000</v>
      </c>
      <c r="E43" s="10" t="n">
        <f aca="false">IF(E$36&gt;=Допущения!$E$42-1,MAX(E37*Допущения!$E$53,E42*100)*Допущения!$E$45*Допущения!$E$46,0)</f>
        <v>338796.936108173</v>
      </c>
      <c r="F43" s="10" t="n">
        <f aca="false">IF(F$36&gt;=Допущения!$E$42-1,MAX(F37*Допущения!$E$53,F42*100)*Допущения!$E$45*Допущения!$E$46,0)</f>
        <v>632217.437641027</v>
      </c>
      <c r="G43" s="10" t="n">
        <f aca="false">IF(G$36&gt;=Допущения!$E$42-1,MAX(G37*Допущения!$E$53,G42*100)*Допущения!$E$45*Допущения!$E$46,0)</f>
        <v>910643.943222744</v>
      </c>
      <c r="H43" s="10" t="n">
        <f aca="false">IF(H$36&gt;=Допущения!$E$42-1,MAX(H37*Допущения!$E$53,H42*100)*Допущения!$E$45*Допущения!$E$46,0)</f>
        <v>1179759.45428788</v>
      </c>
      <c r="I43" s="10" t="n">
        <f aca="false">IF(I$36&gt;=Допущения!$E$42-1,MAX(I37*Допущения!$E$53,I42*100)*Допущения!$E$45*Допущения!$E$46,0)</f>
        <v>1442156.78668306</v>
      </c>
      <c r="J43" s="10" t="n">
        <f aca="false">IF(J$36&gt;=Допущения!$E$42-1,MAX(J37*Допущения!$E$53,J42*100)*Допущения!$E$45*Допущения!$E$46,0)</f>
        <v>1699321.68513998</v>
      </c>
      <c r="K43" s="10" t="n">
        <f aca="false">IF(K$36&gt;=Допущения!$E$42-1,MAX(K37*Допущения!$E$53,K42*100)*Допущения!$E$45*Допущения!$E$46,0)</f>
        <v>1952215.29121616</v>
      </c>
      <c r="L43" s="10" t="n">
        <f aca="false">IF(L$36&gt;=Допущения!$E$42-1,MAX(L37*Допущения!$E$53,L42*100)*Допущения!$E$45*Допущения!$E$46,0)</f>
        <v>2201508.98585611</v>
      </c>
      <c r="M43" s="10" t="n">
        <f aca="false">IF(M$36&gt;=Допущения!$E$42-1,MAX(M37*Допущения!$E$53,M42*100)*Допущения!$E$45*Допущения!$E$46,0)</f>
        <v>2447697.4344995</v>
      </c>
      <c r="N43" s="10" t="n">
        <f aca="false">IF(N$36&gt;=Допущения!$E$42-1,MAX(N37*Допущения!$E$53,N42*100)*Допущения!$E$45*Допущения!$E$46,0)</f>
        <v>2691159.721888</v>
      </c>
      <c r="O43" s="10" t="n">
        <f aca="false">IF(O$36&gt;=Допущения!$E$42-1,MAX(O37*Допущения!$E$53,O42*100)*Допущения!$E$45*Допущения!$E$46,0)</f>
        <v>2932195.28322896</v>
      </c>
      <c r="P43" s="10" t="n">
        <f aca="false">IF(P$36&gt;=Допущения!$E$42-1,MAX(P37*Допущения!$E$53,P42*100)*Допущения!$E$45*Допущения!$E$46,0)</f>
        <v>3171046.39093905</v>
      </c>
      <c r="Q43" s="10" t="n">
        <f aca="false">IF(Q$36&gt;=Допущения!$E$42-1,MAX(Q37*Допущения!$E$53,Q42*100)*Допущения!$E$45*Допущения!$E$46,0)</f>
        <v>3407912.93740939</v>
      </c>
      <c r="R43" s="10" t="n">
        <f aca="false">IF(R$36&gt;=Допущения!$E$42-1,MAX(R37*Допущения!$E$53,R42*100)*Допущения!$E$45*Допущения!$E$46,0)</f>
        <v>3642962.54657463</v>
      </c>
      <c r="S43" s="10" t="n">
        <f aca="false">IF(S$36&gt;=Допущения!$E$42-1,MAX(S37*Допущения!$E$53,S42*100)*Допущения!$E$45*Допущения!$E$46,0)</f>
        <v>3876337.72033636</v>
      </c>
      <c r="T43" s="10" t="n">
        <f aca="false">IF(T$36&gt;=Допущения!$E$42-1,MAX(T37*Допущения!$E$53,T42*100)*Допущения!$E$45*Допущения!$E$46,0)</f>
        <v>4108161.02993698</v>
      </c>
      <c r="U43" s="10" t="n">
        <f aca="false">IF(U$36&gt;=Допущения!$E$42-1,MAX(U37*Допущения!$E$53,U42*100)*Допущения!$E$45*Допущения!$E$46,0)</f>
        <v>4338538.97634692</v>
      </c>
      <c r="V43" s="10" t="n">
        <f aca="false">IF(V$36&gt;=Допущения!$E$42-1,MAX(V37*Допущения!$E$53,V42*100)*Допущения!$E$45*Допущения!$E$46,0)</f>
        <v>4567564.91937608</v>
      </c>
      <c r="W43" s="10" t="n">
        <f aca="false">IF(W$36&gt;=Допущения!$E$42-1,MAX(W37*Допущения!$E$53,W42*100)*Допущения!$E$45*Допущения!$E$46,0)</f>
        <v>4795321.33956417</v>
      </c>
      <c r="X43" s="10" t="n">
        <f aca="false">IF(X$36&gt;=Допущения!$E$42-1,MAX(X37*Допущения!$E$53,X42*100)*Допущения!$E$45*Допущения!$E$46,0)</f>
        <v>5021881.61203305</v>
      </c>
      <c r="Y43" s="10" t="n">
        <f aca="false">IF(Y$36&gt;=Допущения!$E$42-1,MAX(Y37*Допущения!$E$53,Y42*100)*Допущения!$E$45*Допущения!$E$46,0)</f>
        <v>5247311.41678685</v>
      </c>
      <c r="Z43" s="10" t="n">
        <f aca="false">IF(Z$36&gt;=Допущения!$E$42-1,MAX(Z37*Допущения!$E$53,Z42*100)*Допущения!$E$45*Допущения!$E$46,0)</f>
        <v>5471669.87376247</v>
      </c>
      <c r="AA43" s="10" t="n">
        <f aca="false">IF(AA$36&gt;=Допущения!$E$42-1,MAX(AA37*Допущения!$E$53,AA42*100)*Допущения!$E$45*Допущения!$E$46,0)</f>
        <v>5695010.46643811</v>
      </c>
      <c r="AB43" s="10" t="n">
        <f aca="false">IF(AB$36&gt;=Допущения!$E$42-1,MAX(AB37*Допущения!$E$53,AB42*100)*Допущения!$E$45*Допущения!$E$46,0)</f>
        <v>5917381.80087972</v>
      </c>
      <c r="AC43" s="10" t="n">
        <f aca="false">IF(AC$36&gt;=Допущения!$E$42-1,MAX(AC37*Допущения!$E$53,AC42*100)*Допущения!$E$45*Допущения!$E$46,0)</f>
        <v>6138828.23518788</v>
      </c>
      <c r="AD43" s="10" t="n">
        <f aca="false">IF(AD$36&gt;=Допущения!$E$42-1,MAX(AD37*Допущения!$E$53,AD42*100)*Допущения!$E$45*Допущения!$E$46,0)</f>
        <v>6359390.40577614</v>
      </c>
      <c r="AE43" s="10" t="n">
        <f aca="false">IF(AE$36&gt;=Допущения!$E$42-1,MAX(AE37*Допущения!$E$53,AE42*100)*Допущения!$E$45*Допущения!$E$46,0)</f>
        <v>6579105.67071108</v>
      </c>
      <c r="AF43" s="10" t="n">
        <f aca="false">IF(AF$36&gt;=Допущения!$E$42-1,MAX(AF37*Допущения!$E$53,AF42*100)*Допущения!$E$45*Допущения!$E$46,0)</f>
        <v>6798008.48577415</v>
      </c>
      <c r="AG43" s="10" t="n">
        <f aca="false">IF(AG$36&gt;=Допущения!$E$42-1,MAX(AG37*Допущения!$E$53,AG42*100)*Допущения!$E$45*Допущения!$E$46,0)</f>
        <v>7016130.72549436</v>
      </c>
      <c r="AH43" s="10" t="n">
        <f aca="false">IF(AH$36&gt;=Допущения!$E$42-1,MAX(AH37*Допущения!$E$53,AH42*100)*Допущения!$E$45*Допущения!$E$46,0)</f>
        <v>7233501.95882481</v>
      </c>
      <c r="AI43" s="10" t="n">
        <f aca="false">IF(AI$36&gt;=Допущения!$E$42-1,MAX(AI37*Допущения!$E$53,AI42*100)*Допущения!$E$45*Допущения!$E$46,0)</f>
        <v>7450149.68716993</v>
      </c>
      <c r="AJ43" s="10" t="n">
        <f aca="false">IF(AJ$36&gt;=Допущения!$E$42-1,MAX(AJ37*Допущения!$E$53,AJ42*100)*Допущения!$E$45*Допущения!$E$46,0)</f>
        <v>7666099.55095407</v>
      </c>
      <c r="AK43" s="10" t="n">
        <f aca="false">IF(AK$36&gt;=Допущения!$E$42-1,MAX(AK37*Допущения!$E$53,AK42*100)*Допущения!$E$45*Допущения!$E$46,0)</f>
        <v>7881375.50974251</v>
      </c>
      <c r="AL43" s="10" t="n">
        <f aca="false">IF(AL$36&gt;=Допущения!$E$42-1,MAX(AL37*Допущения!$E$53,AL42*100)*Допущения!$E$45*Допущения!$E$46,0)</f>
        <v>8096000</v>
      </c>
      <c r="AM43" s="10" t="n">
        <f aca="false">N43</f>
        <v>2691159.721888</v>
      </c>
      <c r="AN43" s="10" t="n">
        <f aca="false">Z43</f>
        <v>5471669.87376247</v>
      </c>
      <c r="AO43" s="10" t="n">
        <f aca="false">AL43</f>
        <v>8096000</v>
      </c>
    </row>
    <row r="44" customFormat="false" ht="15" hidden="false" customHeight="false" outlineLevel="0" collapsed="false">
      <c r="A44" s="0" t="s">
        <v>279</v>
      </c>
      <c r="B44" s="0" t="s">
        <v>280</v>
      </c>
      <c r="C44" s="10" t="n">
        <f aca="false">Допущения!$E$54</f>
        <v>180000</v>
      </c>
      <c r="D44" s="10" t="n">
        <f aca="false">Допущения!$E$54</f>
        <v>180000</v>
      </c>
      <c r="E44" s="10" t="n">
        <f aca="false">Допущения!$E$54</f>
        <v>180000</v>
      </c>
      <c r="F44" s="10" t="n">
        <f aca="false">Допущения!$E$54</f>
        <v>180000</v>
      </c>
      <c r="G44" s="10" t="n">
        <f aca="false">Допущения!$E$54</f>
        <v>180000</v>
      </c>
      <c r="H44" s="10" t="n">
        <f aca="false">Допущения!$E$54</f>
        <v>180000</v>
      </c>
      <c r="I44" s="10" t="n">
        <f aca="false">Допущения!$E$54</f>
        <v>180000</v>
      </c>
      <c r="J44" s="10" t="n">
        <f aca="false">Допущения!$E$54</f>
        <v>180000</v>
      </c>
      <c r="K44" s="10" t="n">
        <f aca="false">Допущения!$E$54</f>
        <v>180000</v>
      </c>
      <c r="L44" s="10" t="n">
        <f aca="false">Допущения!$E$54</f>
        <v>180000</v>
      </c>
      <c r="M44" s="10" t="n">
        <f aca="false">Допущения!$E$54</f>
        <v>180000</v>
      </c>
      <c r="N44" s="10" t="n">
        <f aca="false">Допущения!$E$54</f>
        <v>180000</v>
      </c>
      <c r="O44" s="10" t="n">
        <f aca="false">Допущения!$E$54</f>
        <v>180000</v>
      </c>
      <c r="P44" s="10" t="n">
        <f aca="false">Допущения!$E$54</f>
        <v>180000</v>
      </c>
      <c r="Q44" s="10" t="n">
        <f aca="false">Допущения!$E$54</f>
        <v>180000</v>
      </c>
      <c r="R44" s="10" t="n">
        <f aca="false">Допущения!$E$54</f>
        <v>180000</v>
      </c>
      <c r="S44" s="10" t="n">
        <f aca="false">Допущения!$E$54</f>
        <v>180000</v>
      </c>
      <c r="T44" s="10" t="n">
        <f aca="false">Допущения!$E$54</f>
        <v>180000</v>
      </c>
      <c r="U44" s="10" t="n">
        <f aca="false">Допущения!$E$54</f>
        <v>180000</v>
      </c>
      <c r="V44" s="10" t="n">
        <f aca="false">Допущения!$E$54</f>
        <v>180000</v>
      </c>
      <c r="W44" s="10" t="n">
        <f aca="false">Допущения!$E$54</f>
        <v>180000</v>
      </c>
      <c r="X44" s="10" t="n">
        <f aca="false">Допущения!$E$54</f>
        <v>180000</v>
      </c>
      <c r="Y44" s="10" t="n">
        <f aca="false">Допущения!$E$54</f>
        <v>180000</v>
      </c>
      <c r="Z44" s="10" t="n">
        <f aca="false">Допущения!$E$54</f>
        <v>180000</v>
      </c>
      <c r="AA44" s="10" t="n">
        <f aca="false">Допущения!$E$54</f>
        <v>180000</v>
      </c>
      <c r="AB44" s="10" t="n">
        <f aca="false">Допущения!$E$54</f>
        <v>180000</v>
      </c>
      <c r="AC44" s="10" t="n">
        <f aca="false">Допущения!$E$54</f>
        <v>180000</v>
      </c>
      <c r="AD44" s="10" t="n">
        <f aca="false">Допущения!$E$54</f>
        <v>180000</v>
      </c>
      <c r="AE44" s="10" t="n">
        <f aca="false">Допущения!$E$54</f>
        <v>180000</v>
      </c>
      <c r="AF44" s="10" t="n">
        <f aca="false">Допущения!$E$54</f>
        <v>180000</v>
      </c>
      <c r="AG44" s="10" t="n">
        <f aca="false">Допущения!$E$54</f>
        <v>180000</v>
      </c>
      <c r="AH44" s="10" t="n">
        <f aca="false">Допущения!$E$54</f>
        <v>180000</v>
      </c>
      <c r="AI44" s="10" t="n">
        <f aca="false">Допущения!$E$54</f>
        <v>180000</v>
      </c>
      <c r="AJ44" s="10" t="n">
        <f aca="false">Допущения!$E$54</f>
        <v>180000</v>
      </c>
      <c r="AK44" s="10" t="n">
        <f aca="false">Допущения!$E$54</f>
        <v>180000</v>
      </c>
      <c r="AL44" s="10" t="n">
        <f aca="false">Допущения!$E$54</f>
        <v>180000</v>
      </c>
      <c r="AM44" s="10" t="n">
        <f aca="false">SUM(C44:N44)</f>
        <v>2160000</v>
      </c>
      <c r="AN44" s="10" t="n">
        <f aca="false">SUM(O44:Z44)</f>
        <v>2160000</v>
      </c>
      <c r="AO44" s="10" t="n">
        <f aca="false">SUM(AA44:AL44)</f>
        <v>2160000</v>
      </c>
      <c r="AP44" s="10" t="n">
        <f aca="false">SUM(C44:AL44)</f>
        <v>6480000</v>
      </c>
    </row>
    <row r="45" customFormat="false" ht="15" hidden="false" customHeight="false" outlineLevel="0" collapsed="false">
      <c r="A45" s="1" t="s">
        <v>281</v>
      </c>
      <c r="B45" s="1" t="s">
        <v>282</v>
      </c>
      <c r="C45" s="11" t="n">
        <f aca="false">C40-C44-C41</f>
        <v>-180000</v>
      </c>
      <c r="D45" s="11" t="n">
        <f aca="false">D40-D44-D41</f>
        <v>-180000</v>
      </c>
      <c r="E45" s="11" t="n">
        <f aca="false">E40-E44-E41</f>
        <v>-20979.6989610848</v>
      </c>
      <c r="F45" s="11" t="n">
        <f aca="false">F40-F44-F41</f>
        <v>116742.374386845</v>
      </c>
      <c r="G45" s="11" t="n">
        <f aca="false">G40-G44-G41</f>
        <v>247426.752006722</v>
      </c>
      <c r="H45" s="11" t="n">
        <f aca="false">H40-H44-H41</f>
        <v>373740.850579787</v>
      </c>
      <c r="I45" s="11" t="n">
        <f aca="false">I40-I44-I41</f>
        <v>496901.65382851</v>
      </c>
      <c r="J45" s="11" t="n">
        <f aca="false">J40-J44-J41</f>
        <v>617606.522175387</v>
      </c>
      <c r="K45" s="11" t="n">
        <f aca="false">K40-K44-K41</f>
        <v>736306.584315886</v>
      </c>
      <c r="L45" s="11" t="n">
        <f aca="false">L40-L44-L41</f>
        <v>853316.96470519</v>
      </c>
      <c r="M45" s="11" t="n">
        <f aca="false">M40-M44-M41</f>
        <v>968869.843268047</v>
      </c>
      <c r="N45" s="11" t="n">
        <f aca="false">N40-N44-N41</f>
        <v>1083143.15009565</v>
      </c>
      <c r="O45" s="11" t="n">
        <f aca="false">O40-O44-O41</f>
        <v>1196277.43036933</v>
      </c>
      <c r="P45" s="11" t="n">
        <f aca="false">P40-P44-P41</f>
        <v>1308386.39890914</v>
      </c>
      <c r="Q45" s="11" t="n">
        <f aca="false">Q40-Q44-Q41</f>
        <v>1419563.87872476</v>
      </c>
      <c r="R45" s="11" t="n">
        <f aca="false">R40-R44-R41</f>
        <v>1529888.54705825</v>
      </c>
      <c r="S45" s="11" t="n">
        <f aca="false">S40-S44-S41</f>
        <v>1639427.28968357</v>
      </c>
      <c r="T45" s="11" t="n">
        <f aca="false">T40-T44-T41</f>
        <v>1748237.63756923</v>
      </c>
      <c r="U45" s="11" t="n">
        <f aca="false">U40-U44-U41</f>
        <v>1856369.57881896</v>
      </c>
      <c r="V45" s="11" t="n">
        <f aca="false">V40-V44-V41</f>
        <v>1963866.93350162</v>
      </c>
      <c r="W45" s="11" t="n">
        <f aca="false">W40-W44-W41</f>
        <v>2070768.41530927</v>
      </c>
      <c r="X45" s="11" t="n">
        <f aca="false">X40-X44-X41</f>
        <v>2177108.46414595</v>
      </c>
      <c r="Y45" s="11" t="n">
        <f aca="false">Y40-Y44-Y41</f>
        <v>2282917.90807683</v>
      </c>
      <c r="Z45" s="11" t="n">
        <f aca="false">Z40-Z44-Z41</f>
        <v>2388224.49608416</v>
      </c>
      <c r="AA45" s="11" t="n">
        <f aca="false">AA40-AA44-AA41</f>
        <v>2493053.33157915</v>
      </c>
      <c r="AB45" s="11" t="n">
        <f aca="false">AB40-AB44-AB41</f>
        <v>2597427.22867378</v>
      </c>
      <c r="AC45" s="11" t="n">
        <f aca="false">AC40-AC44-AC41</f>
        <v>2701367.00762277</v>
      </c>
      <c r="AD45" s="11" t="n">
        <f aca="false">AD40-AD44-AD41</f>
        <v>2804891.74184157</v>
      </c>
      <c r="AE45" s="11" t="n">
        <f aca="false">AE40-AE44-AE41</f>
        <v>2908018.96599581</v>
      </c>
      <c r="AF45" s="11" t="n">
        <f aca="false">AF40-AF44-AF41</f>
        <v>3010764.85251257</v>
      </c>
      <c r="AG45" s="11" t="n">
        <f aca="false">AG40-AG44-AG41</f>
        <v>3113144.36226267</v>
      </c>
      <c r="AH45" s="11" t="n">
        <f aca="false">AH40-AH44-AH41</f>
        <v>3215171.37395433</v>
      </c>
      <c r="AI45" s="11" t="n">
        <f aca="false">AI40-AI44-AI41</f>
        <v>3316858.79585545</v>
      </c>
      <c r="AJ45" s="11" t="n">
        <f aca="false">AJ40-AJ44-AJ41</f>
        <v>3418218.66275018</v>
      </c>
      <c r="AK45" s="11" t="n">
        <f aca="false">AK40-AK44-AK41</f>
        <v>3519262.22048191</v>
      </c>
      <c r="AL45" s="11" t="n">
        <f aca="false">AL40-AL44-AL41</f>
        <v>3620000</v>
      </c>
      <c r="AM45" s="11" t="n">
        <f aca="false">SUM(C45:N45)</f>
        <v>5113074.99640094</v>
      </c>
      <c r="AN45" s="11" t="n">
        <f aca="false">SUM(O45:Z45)</f>
        <v>21581036.9782511</v>
      </c>
      <c r="AO45" s="11" t="n">
        <f aca="false">SUM(AA45:AL45)</f>
        <v>36718178.5435302</v>
      </c>
      <c r="AP45" s="11" t="n">
        <f aca="false">SUM(C45:AL45)</f>
        <v>63412290.5181822</v>
      </c>
    </row>
    <row r="46" customFormat="false" ht="15" hidden="false" customHeight="false" outlineLevel="0" collapsed="false">
      <c r="A46" s="0" t="s">
        <v>283</v>
      </c>
      <c r="B46" s="0" t="s">
        <v>284</v>
      </c>
      <c r="C46" s="10" t="n">
        <f aca="false">IF(C$36&lt;Допущения!$E$42,Допущения!$E$55/(Допущения!$E$42-1),0)+C43-0</f>
        <v>150000</v>
      </c>
      <c r="D46" s="10" t="n">
        <f aca="false">IF(D$36&lt;Допущения!$E$42,Допущения!$E$55/(Допущения!$E$42-1),0)+D43-C43</f>
        <v>403000</v>
      </c>
      <c r="E46" s="10" t="n">
        <f aca="false">IF(E$36&lt;Допущения!$E$42,Допущения!$E$55/(Допущения!$E$42-1),0)+E43-D43</f>
        <v>85796.9361081731</v>
      </c>
      <c r="F46" s="10" t="n">
        <f aca="false">IF(F$36&lt;Допущения!$E$42,Допущения!$E$55/(Допущения!$E$42-1),0)+F43-E43</f>
        <v>293420.501532854</v>
      </c>
      <c r="G46" s="10" t="n">
        <f aca="false">IF(G$36&lt;Допущения!$E$42,Допущения!$E$55/(Допущения!$E$42-1),0)+G43-F43</f>
        <v>278426.505581717</v>
      </c>
      <c r="H46" s="10" t="n">
        <f aca="false">IF(H$36&lt;Допущения!$E$42,Допущения!$E$55/(Допущения!$E$42-1),0)+H43-G43</f>
        <v>269115.511065141</v>
      </c>
      <c r="I46" s="10" t="n">
        <f aca="false">IF(I$36&lt;Допущения!$E$42,Допущения!$E$55/(Допущения!$E$42-1),0)+I43-H43</f>
        <v>262397.332395172</v>
      </c>
      <c r="J46" s="10" t="n">
        <f aca="false">IF(J$36&lt;Допущения!$E$42,Допущения!$E$55/(Допущения!$E$42-1),0)+J43-I43</f>
        <v>257164.898456926</v>
      </c>
      <c r="K46" s="10" t="n">
        <f aca="false">IF(K$36&lt;Допущения!$E$42,Допущения!$E$55/(Допущения!$E$42-1),0)+K43-J43</f>
        <v>252893.60607618</v>
      </c>
      <c r="L46" s="10" t="n">
        <f aca="false">IF(L$36&lt;Допущения!$E$42,Допущения!$E$55/(Допущения!$E$42-1),0)+L43-K43</f>
        <v>249293.694639949</v>
      </c>
      <c r="M46" s="10" t="n">
        <f aca="false">IF(M$36&lt;Допущения!$E$42,Допущения!$E$55/(Допущения!$E$42-1),0)+M43-L43</f>
        <v>246188.448643392</v>
      </c>
      <c r="N46" s="10" t="n">
        <f aca="false">IF(N$36&lt;Допущения!$E$42,Допущения!$E$55/(Допущения!$E$42-1),0)+N43-M43</f>
        <v>243462.287388499</v>
      </c>
      <c r="O46" s="10" t="n">
        <f aca="false">IF(O$36&lt;Допущения!$E$42,Допущения!$E$55/(Допущения!$E$42-1),0)+O43-N43</f>
        <v>241035.561340961</v>
      </c>
      <c r="P46" s="10" t="n">
        <f aca="false">IF(P$36&lt;Допущения!$E$42,Допущения!$E$55/(Допущения!$E$42-1),0)+P43-O43</f>
        <v>238851.107710089</v>
      </c>
      <c r="Q46" s="10" t="n">
        <f aca="false">IF(Q$36&lt;Допущения!$E$42,Допущения!$E$55/(Допущения!$E$42-1),0)+Q43-P43</f>
        <v>236866.546470337</v>
      </c>
      <c r="R46" s="10" t="n">
        <f aca="false">IF(R$36&lt;Допущения!$E$42,Допущения!$E$55/(Допущения!$E$42-1),0)+R43-Q43</f>
        <v>235049.609165242</v>
      </c>
      <c r="S46" s="10" t="n">
        <f aca="false">IF(S$36&lt;Допущения!$E$42,Допущения!$E$55/(Допущения!$E$42-1),0)+S43-R43</f>
        <v>233375.173761729</v>
      </c>
      <c r="T46" s="10" t="n">
        <f aca="false">IF(T$36&lt;Допущения!$E$42,Допущения!$E$55/(Допущения!$E$42-1),0)+T43-S43</f>
        <v>231823.309600621</v>
      </c>
      <c r="U46" s="10" t="n">
        <f aca="false">IF(U$36&lt;Допущения!$E$42,Допущения!$E$55/(Допущения!$E$42-1),0)+U43-T43</f>
        <v>230377.946409934</v>
      </c>
      <c r="V46" s="10" t="n">
        <f aca="false">IF(V$36&lt;Допущения!$E$42,Допущения!$E$55/(Допущения!$E$42-1),0)+V43-U43</f>
        <v>229025.943029165</v>
      </c>
      <c r="W46" s="10" t="n">
        <f aca="false">IF(W$36&lt;Допущения!$E$42,Допущения!$E$55/(Допущения!$E$42-1),0)+W43-V43</f>
        <v>227756.420188093</v>
      </c>
      <c r="X46" s="10" t="n">
        <f aca="false">IF(X$36&lt;Допущения!$E$42,Допущения!$E$55/(Допущения!$E$42-1),0)+X43-W43</f>
        <v>226560.272468878</v>
      </c>
      <c r="Y46" s="10" t="n">
        <f aca="false">IF(Y$36&lt;Допущения!$E$42,Допущения!$E$55/(Допущения!$E$42-1),0)+Y43-X43</f>
        <v>225429.804753803</v>
      </c>
      <c r="Z46" s="10" t="n">
        <f aca="false">IF(Z$36&lt;Допущения!$E$42,Допущения!$E$55/(Допущения!$E$42-1),0)+Z43-Y43</f>
        <v>224358.456975617</v>
      </c>
      <c r="AA46" s="10" t="n">
        <f aca="false">IF(AA$36&lt;Допущения!$E$42,Допущения!$E$55/(Допущения!$E$42-1),0)+AA43-Z43</f>
        <v>223340.592675636</v>
      </c>
      <c r="AB46" s="10" t="n">
        <f aca="false">IF(AB$36&lt;Допущения!$E$42,Допущения!$E$55/(Допущения!$E$42-1),0)+AB43-AA43</f>
        <v>222371.334441613</v>
      </c>
      <c r="AC46" s="10" t="n">
        <f aca="false">IF(AC$36&lt;Допущения!$E$42,Допущения!$E$55/(Допущения!$E$42-1),0)+AC43-AB43</f>
        <v>221446.434308163</v>
      </c>
      <c r="AD46" s="10" t="n">
        <f aca="false">IF(AD$36&lt;Допущения!$E$42,Допущения!$E$55/(Допущения!$E$42-1),0)+AD43-AC43</f>
        <v>220562.17058826</v>
      </c>
      <c r="AE46" s="10" t="n">
        <f aca="false">IF(AE$36&lt;Допущения!$E$42,Допущения!$E$55/(Допущения!$E$42-1),0)+AE43-AD43</f>
        <v>219715.264934937</v>
      </c>
      <c r="AF46" s="10" t="n">
        <f aca="false">IF(AF$36&lt;Допущения!$E$42,Допущения!$E$55/(Допущения!$E$42-1),0)+AF43-AE43</f>
        <v>218902.81506307</v>
      </c>
      <c r="AG46" s="10" t="n">
        <f aca="false">IF(AG$36&lt;Допущения!$E$42,Допущения!$E$55/(Допущения!$E$42-1),0)+AG43-AF43</f>
        <v>218122.239720206</v>
      </c>
      <c r="AH46" s="10" t="n">
        <f aca="false">IF(AH$36&lt;Допущения!$E$42,Допущения!$E$55/(Допущения!$E$42-1),0)+AH43-AG43</f>
        <v>217371.233330451</v>
      </c>
      <c r="AI46" s="10" t="n">
        <f aca="false">IF(AI$36&lt;Допущения!$E$42,Допущения!$E$55/(Допущения!$E$42-1),0)+AI43-AH43</f>
        <v>216647.728345122</v>
      </c>
      <c r="AJ46" s="10" t="n">
        <f aca="false">IF(AJ$36&lt;Допущения!$E$42,Допущения!$E$55/(Допущения!$E$42-1),0)+AJ43-AI43</f>
        <v>215949.86378414</v>
      </c>
      <c r="AK46" s="10" t="n">
        <f aca="false">IF(AK$36&lt;Допущения!$E$42,Допущения!$E$55/(Допущения!$E$42-1),0)+AK43-AJ43</f>
        <v>215275.95878844</v>
      </c>
      <c r="AL46" s="10" t="n">
        <f aca="false">IF(AL$36&lt;Допущения!$E$42,Допущения!$E$55/(Допущения!$E$42-1),0)+AL43-AK43</f>
        <v>214624.490257492</v>
      </c>
      <c r="AM46" s="10" t="n">
        <f aca="false">SUM(C46:N46)</f>
        <v>2991159.721888</v>
      </c>
      <c r="AN46" s="10" t="n">
        <f aca="false">SUM(O46:Z46)</f>
        <v>2780510.15187447</v>
      </c>
      <c r="AO46" s="10" t="n">
        <f aca="false">SUM(AA46:AL46)</f>
        <v>2624330.12623753</v>
      </c>
      <c r="AP46" s="10" t="n">
        <f aca="false">SUM(C46:AL46)</f>
        <v>8396000</v>
      </c>
    </row>
    <row r="47" customFormat="false" ht="15" hidden="false" customHeight="false" outlineLevel="0" collapsed="false">
      <c r="A47" s="1" t="s">
        <v>285</v>
      </c>
      <c r="B47" s="1" t="s">
        <v>286</v>
      </c>
      <c r="C47" s="11" t="n">
        <f aca="false">C45-C46</f>
        <v>-330000</v>
      </c>
      <c r="D47" s="11" t="n">
        <f aca="false">D45-D46</f>
        <v>-583000</v>
      </c>
      <c r="E47" s="11" t="n">
        <f aca="false">E45-E46</f>
        <v>-106776.635069258</v>
      </c>
      <c r="F47" s="11" t="n">
        <f aca="false">F45-F46</f>
        <v>-176678.127146008</v>
      </c>
      <c r="G47" s="11" t="n">
        <f aca="false">G45-G46</f>
        <v>-30999.7535749945</v>
      </c>
      <c r="H47" s="11" t="n">
        <f aca="false">H45-H46</f>
        <v>104625.339514647</v>
      </c>
      <c r="I47" s="11" t="n">
        <f aca="false">I45-I46</f>
        <v>234504.321433337</v>
      </c>
      <c r="J47" s="11" t="n">
        <f aca="false">J45-J46</f>
        <v>360441.623718461</v>
      </c>
      <c r="K47" s="11" t="n">
        <f aca="false">K45-K46</f>
        <v>483412.978239706</v>
      </c>
      <c r="L47" s="11" t="n">
        <f aca="false">L45-L46</f>
        <v>604023.270065242</v>
      </c>
      <c r="M47" s="11" t="n">
        <f aca="false">M45-M46</f>
        <v>722681.394624655</v>
      </c>
      <c r="N47" s="11" t="n">
        <f aca="false">N45-N46</f>
        <v>839680.862707154</v>
      </c>
      <c r="O47" s="11" t="n">
        <f aca="false">O45-O46</f>
        <v>955241.869028364</v>
      </c>
      <c r="P47" s="11" t="n">
        <f aca="false">P45-P46</f>
        <v>1069535.29119905</v>
      </c>
      <c r="Q47" s="11" t="n">
        <f aca="false">Q45-Q46</f>
        <v>1182697.33225443</v>
      </c>
      <c r="R47" s="11" t="n">
        <f aca="false">R45-R46</f>
        <v>1294838.93789301</v>
      </c>
      <c r="S47" s="11" t="n">
        <f aca="false">S45-S46</f>
        <v>1406052.11592184</v>
      </c>
      <c r="T47" s="11" t="n">
        <f aca="false">T45-T46</f>
        <v>1516414.32796861</v>
      </c>
      <c r="U47" s="11" t="n">
        <f aca="false">U45-U46</f>
        <v>1625991.63240902</v>
      </c>
      <c r="V47" s="11" t="n">
        <f aca="false">V45-V46</f>
        <v>1734840.99047245</v>
      </c>
      <c r="W47" s="11" t="n">
        <f aca="false">W45-W46</f>
        <v>1843011.99512118</v>
      </c>
      <c r="X47" s="11" t="n">
        <f aca="false">X45-X46</f>
        <v>1950548.19167707</v>
      </c>
      <c r="Y47" s="11" t="n">
        <f aca="false">Y45-Y46</f>
        <v>2057488.10332303</v>
      </c>
      <c r="Z47" s="11" t="n">
        <f aca="false">Z45-Z46</f>
        <v>2163866.03910855</v>
      </c>
      <c r="AA47" s="11" t="n">
        <f aca="false">AA45-AA46</f>
        <v>2269712.73890351</v>
      </c>
      <c r="AB47" s="11" t="n">
        <f aca="false">AB45-AB46</f>
        <v>2375055.89423217</v>
      </c>
      <c r="AC47" s="11" t="n">
        <f aca="false">AC45-AC46</f>
        <v>2479920.57331461</v>
      </c>
      <c r="AD47" s="11" t="n">
        <f aca="false">AD45-AD46</f>
        <v>2584329.57125331</v>
      </c>
      <c r="AE47" s="11" t="n">
        <f aca="false">AE45-AE46</f>
        <v>2688303.70106088</v>
      </c>
      <c r="AF47" s="11" t="n">
        <f aca="false">AF45-AF46</f>
        <v>2791862.0374495</v>
      </c>
      <c r="AG47" s="11" t="n">
        <f aca="false">AG45-AG46</f>
        <v>2895022.12254246</v>
      </c>
      <c r="AH47" s="11" t="n">
        <f aca="false">AH45-AH46</f>
        <v>2997800.14062388</v>
      </c>
      <c r="AI47" s="11" t="n">
        <f aca="false">AI45-AI46</f>
        <v>3100211.06751033</v>
      </c>
      <c r="AJ47" s="11" t="n">
        <f aca="false">AJ45-AJ46</f>
        <v>3202268.79896604</v>
      </c>
      <c r="AK47" s="11" t="n">
        <f aca="false">AK45-AK46</f>
        <v>3303986.26169347</v>
      </c>
      <c r="AL47" s="11" t="n">
        <f aca="false">AL45-AL46</f>
        <v>3405375.50974251</v>
      </c>
      <c r="AM47" s="11" t="n">
        <f aca="false">SUM(C47:N47)</f>
        <v>2121915.27451294</v>
      </c>
      <c r="AN47" s="11" t="n">
        <f aca="false">SUM(O47:Z47)</f>
        <v>18800526.8263766</v>
      </c>
      <c r="AO47" s="11" t="n">
        <f aca="false">SUM(AA47:AL47)</f>
        <v>34093848.4172927</v>
      </c>
      <c r="AP47" s="11" t="n">
        <f aca="false">SUM(C47:AL47)</f>
        <v>55016290.5181822</v>
      </c>
    </row>
    <row r="48" customFormat="false" ht="15" hidden="false" customHeight="false" outlineLevel="0" collapsed="false">
      <c r="A48" s="1" t="s">
        <v>287</v>
      </c>
      <c r="B48" s="1" t="s">
        <v>288</v>
      </c>
      <c r="C48" s="11" t="n">
        <f aca="false">0+C47</f>
        <v>-330000</v>
      </c>
      <c r="D48" s="11" t="n">
        <f aca="false">C48+D47</f>
        <v>-913000</v>
      </c>
      <c r="E48" s="11" t="n">
        <f aca="false">D48+E47</f>
        <v>-1019776.63506926</v>
      </c>
      <c r="F48" s="11" t="n">
        <f aca="false">E48+F47</f>
        <v>-1196454.76221527</v>
      </c>
      <c r="G48" s="11" t="n">
        <f aca="false">F48+G47</f>
        <v>-1227454.51579026</v>
      </c>
      <c r="H48" s="11" t="n">
        <f aca="false">G48+H47</f>
        <v>-1122829.17627561</v>
      </c>
      <c r="I48" s="11" t="n">
        <f aca="false">H48+I47</f>
        <v>-888324.854842276</v>
      </c>
      <c r="J48" s="11" t="n">
        <f aca="false">I48+J47</f>
        <v>-527883.231123816</v>
      </c>
      <c r="K48" s="11" t="n">
        <f aca="false">J48+K47</f>
        <v>-44470.2528841096</v>
      </c>
      <c r="L48" s="11" t="n">
        <f aca="false">K48+L47</f>
        <v>559553.017181132</v>
      </c>
      <c r="M48" s="11" t="n">
        <f aca="false">L48+M47</f>
        <v>1282234.41180579</v>
      </c>
      <c r="N48" s="11" t="n">
        <f aca="false">M48+N47</f>
        <v>2121915.27451294</v>
      </c>
      <c r="O48" s="11" t="n">
        <f aca="false">N48+O47</f>
        <v>3077157.14354131</v>
      </c>
      <c r="P48" s="11" t="n">
        <f aca="false">O48+P47</f>
        <v>4146692.43474036</v>
      </c>
      <c r="Q48" s="11" t="n">
        <f aca="false">P48+Q47</f>
        <v>5329389.76699478</v>
      </c>
      <c r="R48" s="11" t="n">
        <f aca="false">Q48+R47</f>
        <v>6624228.70488779</v>
      </c>
      <c r="S48" s="11" t="n">
        <f aca="false">R48+S47</f>
        <v>8030280.82080963</v>
      </c>
      <c r="T48" s="11" t="n">
        <f aca="false">S48+T47</f>
        <v>9546695.14877824</v>
      </c>
      <c r="U48" s="11" t="n">
        <f aca="false">T48+U47</f>
        <v>11172686.7811873</v>
      </c>
      <c r="V48" s="11" t="n">
        <f aca="false">U48+V47</f>
        <v>12907527.7716597</v>
      </c>
      <c r="W48" s="11" t="n">
        <f aca="false">V48+W47</f>
        <v>14750539.7667809</v>
      </c>
      <c r="X48" s="11" t="n">
        <f aca="false">W48+X47</f>
        <v>16701087.958458</v>
      </c>
      <c r="Y48" s="11" t="n">
        <f aca="false">X48+Y47</f>
        <v>18758576.061781</v>
      </c>
      <c r="Z48" s="11" t="n">
        <f aca="false">Y48+Z47</f>
        <v>20922442.1008895</v>
      </c>
      <c r="AA48" s="11" t="n">
        <f aca="false">Z48+AA47</f>
        <v>23192154.8397931</v>
      </c>
      <c r="AB48" s="11" t="n">
        <f aca="false">AA48+AB47</f>
        <v>25567210.7340252</v>
      </c>
      <c r="AC48" s="11" t="n">
        <f aca="false">AB48+AC47</f>
        <v>28047131.3073398</v>
      </c>
      <c r="AD48" s="11" t="n">
        <f aca="false">AC48+AD47</f>
        <v>30631460.8785931</v>
      </c>
      <c r="AE48" s="11" t="n">
        <f aca="false">AD48+AE47</f>
        <v>33319764.579654</v>
      </c>
      <c r="AF48" s="11" t="n">
        <f aca="false">AE48+AF47</f>
        <v>36111626.6171035</v>
      </c>
      <c r="AG48" s="11" t="n">
        <f aca="false">AF48+AG47</f>
        <v>39006648.739646</v>
      </c>
      <c r="AH48" s="11" t="n">
        <f aca="false">AG48+AH47</f>
        <v>42004448.8802699</v>
      </c>
      <c r="AI48" s="11" t="n">
        <f aca="false">AH48+AI47</f>
        <v>45104659.9477802</v>
      </c>
      <c r="AJ48" s="11" t="n">
        <f aca="false">AI48+AJ47</f>
        <v>48306928.7467462</v>
      </c>
      <c r="AK48" s="11" t="n">
        <f aca="false">AJ48+AK47</f>
        <v>51610915.0084397</v>
      </c>
      <c r="AL48" s="11" t="n">
        <f aca="false">AK48+AL47</f>
        <v>55016290.5181822</v>
      </c>
      <c r="AM48" s="11" t="n">
        <f aca="false">N48</f>
        <v>2121915.27451294</v>
      </c>
      <c r="AN48" s="11" t="n">
        <f aca="false">Z48</f>
        <v>20922442.1008895</v>
      </c>
      <c r="AO48" s="11" t="n">
        <f aca="false">AL48</f>
        <v>55016290.5181822</v>
      </c>
      <c r="AP48" s="1"/>
    </row>
    <row r="49" customFormat="false" ht="15" hidden="false" customHeight="false" outlineLevel="0" collapsed="false">
      <c r="A49" s="0" t="s">
        <v>289</v>
      </c>
      <c r="B49" s="0" t="s">
        <v>290</v>
      </c>
      <c r="C49" s="0" t="n">
        <f aca="false">IF(AND(C45&gt;0,COUNTIF(C45:AL45,"&lt;=0")=0),C$36,99)</f>
        <v>99</v>
      </c>
      <c r="D49" s="0" t="n">
        <f aca="false">IF(AND(D45&gt;0,COUNTIF(D45:AL45,"&lt;=0")=0),D$36,99)</f>
        <v>99</v>
      </c>
      <c r="E49" s="0" t="n">
        <f aca="false">IF(AND(E45&gt;0,COUNTIF(E45:AL45,"&lt;=0")=0),E$36,99)</f>
        <v>99</v>
      </c>
      <c r="F49" s="0" t="n">
        <f aca="false">IF(AND(F45&gt;0,COUNTIF(F45:AL45,"&lt;=0")=0),F$36,99)</f>
        <v>4</v>
      </c>
      <c r="G49" s="0" t="n">
        <f aca="false">IF(AND(G45&gt;0,COUNTIF(G45:AL45,"&lt;=0")=0),G$36,99)</f>
        <v>5</v>
      </c>
      <c r="H49" s="0" t="n">
        <f aca="false">IF(AND(H45&gt;0,COUNTIF(H45:AL45,"&lt;=0")=0),H$36,99)</f>
        <v>6</v>
      </c>
      <c r="I49" s="0" t="n">
        <f aca="false">IF(AND(I45&gt;0,COUNTIF(I45:AL45,"&lt;=0")=0),I$36,99)</f>
        <v>7</v>
      </c>
      <c r="J49" s="0" t="n">
        <f aca="false">IF(AND(J45&gt;0,COUNTIF(J45:AL45,"&lt;=0")=0),J$36,99)</f>
        <v>8</v>
      </c>
      <c r="K49" s="0" t="n">
        <f aca="false">IF(AND(K45&gt;0,COUNTIF(K45:AL45,"&lt;=0")=0),K$36,99)</f>
        <v>9</v>
      </c>
      <c r="L49" s="0" t="n">
        <f aca="false">IF(AND(L45&gt;0,COUNTIF(L45:AL45,"&lt;=0")=0),L$36,99)</f>
        <v>10</v>
      </c>
      <c r="M49" s="0" t="n">
        <f aca="false">IF(AND(M45&gt;0,COUNTIF(M45:AL45,"&lt;=0")=0),M$36,99)</f>
        <v>11</v>
      </c>
      <c r="N49" s="0" t="n">
        <f aca="false">IF(AND(N45&gt;0,COUNTIF(N45:AL45,"&lt;=0")=0),N$36,99)</f>
        <v>12</v>
      </c>
      <c r="O49" s="0" t="n">
        <f aca="false">IF(AND(O45&gt;0,COUNTIF(O45:AL45,"&lt;=0")=0),O$36,99)</f>
        <v>13</v>
      </c>
      <c r="P49" s="0" t="n">
        <f aca="false">IF(AND(P45&gt;0,COUNTIF(P45:AL45,"&lt;=0")=0),P$36,99)</f>
        <v>14</v>
      </c>
      <c r="Q49" s="0" t="n">
        <f aca="false">IF(AND(Q45&gt;0,COUNTIF(Q45:AL45,"&lt;=0")=0),Q$36,99)</f>
        <v>15</v>
      </c>
      <c r="R49" s="0" t="n">
        <f aca="false">IF(AND(R45&gt;0,COUNTIF(R45:AL45,"&lt;=0")=0),R$36,99)</f>
        <v>16</v>
      </c>
      <c r="S49" s="0" t="n">
        <f aca="false">IF(AND(S45&gt;0,COUNTIF(S45:AL45,"&lt;=0")=0),S$36,99)</f>
        <v>17</v>
      </c>
      <c r="T49" s="0" t="n">
        <f aca="false">IF(AND(T45&gt;0,COUNTIF(T45:AL45,"&lt;=0")=0),T$36,99)</f>
        <v>18</v>
      </c>
      <c r="U49" s="0" t="n">
        <f aca="false">IF(AND(U45&gt;0,COUNTIF(U45:AL45,"&lt;=0")=0),U$36,99)</f>
        <v>19</v>
      </c>
      <c r="V49" s="0" t="n">
        <f aca="false">IF(AND(V45&gt;0,COUNTIF(V45:AL45,"&lt;=0")=0),V$36,99)</f>
        <v>20</v>
      </c>
      <c r="W49" s="0" t="n">
        <f aca="false">IF(AND(W45&gt;0,COUNTIF(W45:AL45,"&lt;=0")=0),W$36,99)</f>
        <v>21</v>
      </c>
      <c r="X49" s="0" t="n">
        <f aca="false">IF(AND(X45&gt;0,COUNTIF(X45:AL45,"&lt;=0")=0),X$36,99)</f>
        <v>22</v>
      </c>
      <c r="Y49" s="0" t="n">
        <f aca="false">IF(AND(Y45&gt;0,COUNTIF(Y45:AL45,"&lt;=0")=0),Y$36,99)</f>
        <v>23</v>
      </c>
      <c r="Z49" s="0" t="n">
        <f aca="false">IF(AND(Z45&gt;0,COUNTIF(Z45:AL45,"&lt;=0")=0),Z$36,99)</f>
        <v>24</v>
      </c>
      <c r="AA49" s="0" t="n">
        <f aca="false">IF(AND(AA45&gt;0,COUNTIF(AA45:AL45,"&lt;=0")=0),AA$36,99)</f>
        <v>25</v>
      </c>
      <c r="AB49" s="0" t="n">
        <f aca="false">IF(AND(AB45&gt;0,COUNTIF(AB45:AL45,"&lt;=0")=0),AB$36,99)</f>
        <v>26</v>
      </c>
      <c r="AC49" s="0" t="n">
        <f aca="false">IF(AND(AC45&gt;0,COUNTIF(AC45:AL45,"&lt;=0")=0),AC$36,99)</f>
        <v>27</v>
      </c>
      <c r="AD49" s="0" t="n">
        <f aca="false">IF(AND(AD45&gt;0,COUNTIF(AD45:AL45,"&lt;=0")=0),AD$36,99)</f>
        <v>28</v>
      </c>
      <c r="AE49" s="0" t="n">
        <f aca="false">IF(AND(AE45&gt;0,COUNTIF(AE45:AL45,"&lt;=0")=0),AE$36,99)</f>
        <v>29</v>
      </c>
      <c r="AF49" s="0" t="n">
        <f aca="false">IF(AND(AF45&gt;0,COUNTIF(AF45:AL45,"&lt;=0")=0),AF$36,99)</f>
        <v>30</v>
      </c>
      <c r="AG49" s="0" t="n">
        <f aca="false">IF(AND(AG45&gt;0,COUNTIF(AG45:AL45,"&lt;=0")=0),AG$36,99)</f>
        <v>31</v>
      </c>
      <c r="AH49" s="0" t="n">
        <f aca="false">IF(AND(AH45&gt;0,COUNTIF(AH45:AL45,"&lt;=0")=0),AH$36,99)</f>
        <v>32</v>
      </c>
      <c r="AI49" s="0" t="n">
        <f aca="false">IF(AND(AI45&gt;0,COUNTIF(AI45:AL45,"&lt;=0")=0),AI$36,99)</f>
        <v>33</v>
      </c>
      <c r="AJ49" s="0" t="n">
        <f aca="false">IF(AND(AJ45&gt;0,COUNTIF(AJ45:AL45,"&lt;=0")=0),AJ$36,99)</f>
        <v>34</v>
      </c>
      <c r="AK49" s="0" t="n">
        <f aca="false">IF(AND(AK45&gt;0,COUNTIF(AK45:AL45,"&lt;=0")=0),AK$36,99)</f>
        <v>35</v>
      </c>
      <c r="AL49" s="0" t="n">
        <f aca="false">IF(AND(AL45&gt;0,COUNTIF(AL45:AL45,"&lt;=0")=0),AL$36,99)</f>
        <v>36</v>
      </c>
    </row>
    <row r="50" customFormat="false" ht="15" hidden="false" customHeight="false" outlineLevel="0" collapsed="false">
      <c r="A50" s="0" t="s">
        <v>291</v>
      </c>
      <c r="B50" s="0" t="s">
        <v>292</v>
      </c>
      <c r="C50" s="0" t="n">
        <f aca="false">IF(AND(C48&gt;=0,COUNTIF(C48:AL48,"&lt;0")=0),C$36,99)</f>
        <v>99</v>
      </c>
      <c r="D50" s="0" t="n">
        <f aca="false">IF(AND(D48&gt;=0,COUNTIF(D48:AL48,"&lt;0")=0),D$36,99)</f>
        <v>99</v>
      </c>
      <c r="E50" s="0" t="n">
        <f aca="false">IF(AND(E48&gt;=0,COUNTIF(E48:AL48,"&lt;0")=0),E$36,99)</f>
        <v>99</v>
      </c>
      <c r="F50" s="0" t="n">
        <f aca="false">IF(AND(F48&gt;=0,COUNTIF(F48:AL48,"&lt;0")=0),F$36,99)</f>
        <v>99</v>
      </c>
      <c r="G50" s="0" t="n">
        <f aca="false">IF(AND(G48&gt;=0,COUNTIF(G48:AL48,"&lt;0")=0),G$36,99)</f>
        <v>99</v>
      </c>
      <c r="H50" s="0" t="n">
        <f aca="false">IF(AND(H48&gt;=0,COUNTIF(H48:AL48,"&lt;0")=0),H$36,99)</f>
        <v>99</v>
      </c>
      <c r="I50" s="0" t="n">
        <f aca="false">IF(AND(I48&gt;=0,COUNTIF(I48:AL48,"&lt;0")=0),I$36,99)</f>
        <v>99</v>
      </c>
      <c r="J50" s="0" t="n">
        <f aca="false">IF(AND(J48&gt;=0,COUNTIF(J48:AL48,"&lt;0")=0),J$36,99)</f>
        <v>99</v>
      </c>
      <c r="K50" s="0" t="n">
        <f aca="false">IF(AND(K48&gt;=0,COUNTIF(K48:AL48,"&lt;0")=0),K$36,99)</f>
        <v>99</v>
      </c>
      <c r="L50" s="0" t="n">
        <f aca="false">IF(AND(L48&gt;=0,COUNTIF(L48:AL48,"&lt;0")=0),L$36,99)</f>
        <v>10</v>
      </c>
      <c r="M50" s="0" t="n">
        <f aca="false">IF(AND(M48&gt;=0,COUNTIF(M48:AL48,"&lt;0")=0),M$36,99)</f>
        <v>11</v>
      </c>
      <c r="N50" s="0" t="n">
        <f aca="false">IF(AND(N48&gt;=0,COUNTIF(N48:AL48,"&lt;0")=0),N$36,99)</f>
        <v>12</v>
      </c>
      <c r="O50" s="0" t="n">
        <f aca="false">IF(AND(O48&gt;=0,COUNTIF(O48:AL48,"&lt;0")=0),O$36,99)</f>
        <v>13</v>
      </c>
      <c r="P50" s="0" t="n">
        <f aca="false">IF(AND(P48&gt;=0,COUNTIF(P48:AL48,"&lt;0")=0),P$36,99)</f>
        <v>14</v>
      </c>
      <c r="Q50" s="0" t="n">
        <f aca="false">IF(AND(Q48&gt;=0,COUNTIF(Q48:AL48,"&lt;0")=0),Q$36,99)</f>
        <v>15</v>
      </c>
      <c r="R50" s="0" t="n">
        <f aca="false">IF(AND(R48&gt;=0,COUNTIF(R48:AL48,"&lt;0")=0),R$36,99)</f>
        <v>16</v>
      </c>
      <c r="S50" s="0" t="n">
        <f aca="false">IF(AND(S48&gt;=0,COUNTIF(S48:AL48,"&lt;0")=0),S$36,99)</f>
        <v>17</v>
      </c>
      <c r="T50" s="0" t="n">
        <f aca="false">IF(AND(T48&gt;=0,COUNTIF(T48:AL48,"&lt;0")=0),T$36,99)</f>
        <v>18</v>
      </c>
      <c r="U50" s="0" t="n">
        <f aca="false">IF(AND(U48&gt;=0,COUNTIF(U48:AL48,"&lt;0")=0),U$36,99)</f>
        <v>19</v>
      </c>
      <c r="V50" s="0" t="n">
        <f aca="false">IF(AND(V48&gt;=0,COUNTIF(V48:AL48,"&lt;0")=0),V$36,99)</f>
        <v>20</v>
      </c>
      <c r="W50" s="0" t="n">
        <f aca="false">IF(AND(W48&gt;=0,COUNTIF(W48:AL48,"&lt;0")=0),W$36,99)</f>
        <v>21</v>
      </c>
      <c r="X50" s="0" t="n">
        <f aca="false">IF(AND(X48&gt;=0,COUNTIF(X48:AL48,"&lt;0")=0),X$36,99)</f>
        <v>22</v>
      </c>
      <c r="Y50" s="0" t="n">
        <f aca="false">IF(AND(Y48&gt;=0,COUNTIF(Y48:AL48,"&lt;0")=0),Y$36,99)</f>
        <v>23</v>
      </c>
      <c r="Z50" s="0" t="n">
        <f aca="false">IF(AND(Z48&gt;=0,COUNTIF(Z48:AL48,"&lt;0")=0),Z$36,99)</f>
        <v>24</v>
      </c>
      <c r="AA50" s="0" t="n">
        <f aca="false">IF(AND(AA48&gt;=0,COUNTIF(AA48:AL48,"&lt;0")=0),AA$36,99)</f>
        <v>25</v>
      </c>
      <c r="AB50" s="0" t="n">
        <f aca="false">IF(AND(AB48&gt;=0,COUNTIF(AB48:AL48,"&lt;0")=0),AB$36,99)</f>
        <v>26</v>
      </c>
      <c r="AC50" s="0" t="n">
        <f aca="false">IF(AND(AC48&gt;=0,COUNTIF(AC48:AL48,"&lt;0")=0),AC$36,99)</f>
        <v>27</v>
      </c>
      <c r="AD50" s="0" t="n">
        <f aca="false">IF(AND(AD48&gt;=0,COUNTIF(AD48:AL48,"&lt;0")=0),AD$36,99)</f>
        <v>28</v>
      </c>
      <c r="AE50" s="0" t="n">
        <f aca="false">IF(AND(AE48&gt;=0,COUNTIF(AE48:AL48,"&lt;0")=0),AE$36,99)</f>
        <v>29</v>
      </c>
      <c r="AF50" s="0" t="n">
        <f aca="false">IF(AND(AF48&gt;=0,COUNTIF(AF48:AL48,"&lt;0")=0),AF$36,99)</f>
        <v>30</v>
      </c>
      <c r="AG50" s="0" t="n">
        <f aca="false">IF(AND(AG48&gt;=0,COUNTIF(AG48:AL48,"&lt;0")=0),AG$36,99)</f>
        <v>31</v>
      </c>
      <c r="AH50" s="0" t="n">
        <f aca="false">IF(AND(AH48&gt;=0,COUNTIF(AH48:AL48,"&lt;0")=0),AH$36,99)</f>
        <v>32</v>
      </c>
      <c r="AI50" s="0" t="n">
        <f aca="false">IF(AND(AI48&gt;=0,COUNTIF(AI48:AL48,"&lt;0")=0),AI$36,99)</f>
        <v>33</v>
      </c>
      <c r="AJ50" s="0" t="n">
        <f aca="false">IF(AND(AJ48&gt;=0,COUNTIF(AJ48:AL48,"&lt;0")=0),AJ$36,99)</f>
        <v>34</v>
      </c>
      <c r="AK50" s="0" t="n">
        <f aca="false">IF(AND(AK48&gt;=0,COUNTIF(AK48:AL48,"&lt;0")=0),AK$36,99)</f>
        <v>35</v>
      </c>
      <c r="AL50" s="0" t="n">
        <f aca="false">IF(AND(AL48&gt;=0,COUNTIF(AL48:AL48,"&lt;0")=0),AL$36,99)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42" min="3" style="0" width="11"/>
  </cols>
  <sheetData>
    <row r="1" customFormat="false" ht="16.15" hidden="false" customHeight="false" outlineLevel="0" collapsed="false">
      <c r="A1" s="8" t="s">
        <v>318</v>
      </c>
    </row>
    <row r="4" customFormat="false" ht="15" hidden="false" customHeight="false" outlineLevel="0" collapsed="false">
      <c r="A4" s="1" t="s">
        <v>251</v>
      </c>
      <c r="B4" s="1" t="s">
        <v>252</v>
      </c>
      <c r="C4" s="1" t="n">
        <v>1</v>
      </c>
      <c r="D4" s="1" t="n">
        <v>2</v>
      </c>
      <c r="E4" s="1" t="n">
        <v>3</v>
      </c>
      <c r="F4" s="1" t="n">
        <v>4</v>
      </c>
      <c r="G4" s="1" t="n">
        <v>5</v>
      </c>
      <c r="H4" s="1" t="n">
        <v>6</v>
      </c>
      <c r="I4" s="1" t="n">
        <v>7</v>
      </c>
      <c r="J4" s="1" t="n">
        <v>8</v>
      </c>
      <c r="K4" s="1" t="n">
        <v>9</v>
      </c>
      <c r="L4" s="1" t="n">
        <v>10</v>
      </c>
      <c r="M4" s="1" t="n">
        <v>11</v>
      </c>
      <c r="N4" s="1" t="n">
        <v>12</v>
      </c>
      <c r="O4" s="1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  <c r="AG4" s="1" t="n">
        <v>31</v>
      </c>
      <c r="AH4" s="1" t="n">
        <v>32</v>
      </c>
      <c r="AI4" s="1" t="n">
        <v>33</v>
      </c>
      <c r="AJ4" s="1" t="n">
        <v>34</v>
      </c>
      <c r="AK4" s="1" t="n">
        <v>35</v>
      </c>
      <c r="AL4" s="1" t="n">
        <v>36</v>
      </c>
      <c r="AM4" s="1" t="s">
        <v>253</v>
      </c>
      <c r="AN4" s="1" t="s">
        <v>254</v>
      </c>
      <c r="AO4" s="1" t="s">
        <v>255</v>
      </c>
      <c r="AP4" s="1" t="s">
        <v>256</v>
      </c>
    </row>
    <row r="5" customFormat="false" ht="15" hidden="false" customHeight="false" outlineLevel="0" collapsed="false">
      <c r="A5" s="0" t="s">
        <v>319</v>
      </c>
      <c r="B5" s="0" t="s">
        <v>320</v>
      </c>
      <c r="C5" s="10" t="n">
        <f aca="false">Допущения!$C$61*IF(C$4&lt;Допущения!$C$58,0,((C$4-Допущения!$C$58+1)/(36-Допущения!$C$58+1))^Допущения!$C$67)</f>
        <v>0</v>
      </c>
      <c r="D5" s="10" t="n">
        <f aca="false">Допущения!$C$61*IF(D$4&lt;Допущения!$C$58,0,((D$4-Допущения!$C$58+1)/(36-Допущения!$C$58+1))^Допущения!$C$67)</f>
        <v>0</v>
      </c>
      <c r="E5" s="10" t="n">
        <f aca="false">Допущения!$C$61*IF(E$4&lt;Допущения!$C$58,0,((E$4-Допущения!$C$58+1)/(36-Допущения!$C$58+1))^Допущения!$C$67)</f>
        <v>0</v>
      </c>
      <c r="F5" s="10" t="n">
        <f aca="false">Допущения!$C$61*IF(F$4&lt;Допущения!$C$58,0,((F$4-Допущения!$C$58+1)/(36-Допущения!$C$58+1))^Допущения!$C$67)</f>
        <v>0</v>
      </c>
      <c r="G5" s="10" t="n">
        <f aca="false">Допущения!$C$61*IF(G$4&lt;Допущения!$C$58,0,((G$4-Допущения!$C$58+1)/(36-Допущения!$C$58+1))^Допущения!$C$67)</f>
        <v>0</v>
      </c>
      <c r="H5" s="10" t="n">
        <f aca="false">Допущения!$C$61*IF(H$4&lt;Допущения!$C$58,0,((H$4-Допущения!$C$58+1)/(36-Допущения!$C$58+1))^Допущения!$C$67)</f>
        <v>0</v>
      </c>
      <c r="I5" s="10" t="n">
        <f aca="false">Допущения!$C$61*IF(I$4&lt;Допущения!$C$58,0,((I$4-Допущения!$C$58+1)/(36-Допущения!$C$58+1))^Допущения!$C$67)</f>
        <v>0</v>
      </c>
      <c r="J5" s="10" t="n">
        <f aca="false">Допущения!$C$61*IF(J$4&lt;Допущения!$C$58,0,((J$4-Допущения!$C$58+1)/(36-Допущения!$C$58+1))^Допущения!$C$67)</f>
        <v>0</v>
      </c>
      <c r="K5" s="10" t="n">
        <f aca="false">Допущения!$C$61*IF(K$4&lt;Допущения!$C$58,0,((K$4-Допущения!$C$58+1)/(36-Допущения!$C$58+1))^Допущения!$C$67)</f>
        <v>0</v>
      </c>
      <c r="L5" s="10" t="n">
        <f aca="false">Допущения!$C$61*IF(L$4&lt;Допущения!$C$58,0,((L$4-Допущения!$C$58+1)/(36-Допущения!$C$58+1))^Допущения!$C$67)</f>
        <v>0.826757906691781</v>
      </c>
      <c r="M5" s="10" t="n">
        <f aca="false">Допущения!$C$61*IF(M$4&lt;Допущения!$C$58,0,((M$4-Допущения!$C$58+1)/(36-Допущения!$C$58+1))^Допущения!$C$67)</f>
        <v>2.03571675602465</v>
      </c>
      <c r="N5" s="10" t="n">
        <f aca="false">Допущения!$C$61*IF(N$4&lt;Допущения!$C$58,0,((N$4-Допущения!$C$58+1)/(36-Допущения!$C$58+1))^Допущения!$C$67)</f>
        <v>3.44854571981191</v>
      </c>
      <c r="O5" s="10" t="n">
        <f aca="false">Допущения!$C$61*IF(O$4&lt;Допущения!$C$58,0,((O$4-Допущения!$C$58+1)/(36-Допущения!$C$58+1))^Допущения!$C$67)</f>
        <v>5.01252262266476</v>
      </c>
      <c r="P5" s="10" t="n">
        <f aca="false">Допущения!$C$61*IF(P$4&lt;Допущения!$C$58,0,((P$4-Допущения!$C$58+1)/(36-Допущения!$C$58+1))^Допущения!$C$67)</f>
        <v>6.69945327673967</v>
      </c>
      <c r="Q5" s="10" t="n">
        <f aca="false">Допущения!$C$61*IF(Q$4&lt;Допущения!$C$58,0,((Q$4-Допущения!$C$58+1)/(36-Допущения!$C$58+1))^Допущения!$C$67)</f>
        <v>8.49131559422191</v>
      </c>
      <c r="R5" s="10" t="n">
        <f aca="false">Допущения!$C$61*IF(R$4&lt;Допущения!$C$58,0,((R$4-Допущения!$C$58+1)/(36-Допущения!$C$58+1))^Допущения!$C$67)</f>
        <v>10.3754229358633</v>
      </c>
      <c r="S5" s="10" t="n">
        <f aca="false">Допущения!$C$61*IF(S$4&lt;Допущения!$C$58,0,((S$4-Допущения!$C$58+1)/(36-Допущения!$C$58+1))^Допущения!$C$67)</f>
        <v>12.3422784473175</v>
      </c>
      <c r="T5" s="10" t="n">
        <f aca="false">Допущения!$C$61*IF(T$4&lt;Допущения!$C$58,0,((T$4-Допущения!$C$58+1)/(36-Допущения!$C$58+1))^Допущения!$C$67)</f>
        <v>14.3844618664973</v>
      </c>
      <c r="U5" s="10" t="n">
        <f aca="false">Допущения!$C$61*IF(U$4&lt;Допущения!$C$58,0,((U$4-Допущения!$C$58+1)/(36-Допущения!$C$58+1))^Допущения!$C$67)</f>
        <v>16.4959889482467</v>
      </c>
      <c r="V5" s="10" t="n">
        <f aca="false">Допущения!$C$61*IF(V$4&lt;Допущения!$C$58,0,((V$4-Допущения!$C$58+1)/(36-Допущения!$C$58+1))^Допущения!$C$67)</f>
        <v>18.6719143986018</v>
      </c>
      <c r="W5" s="10" t="n">
        <f aca="false">Допущения!$C$61*IF(W$4&lt;Допущения!$C$58,0,((W$4-Допущения!$C$58+1)/(36-Допущения!$C$58+1))^Допущения!$C$67)</f>
        <v>20.9080715115498</v>
      </c>
      <c r="X5" s="10" t="n">
        <f aca="false">Допущения!$C$61*IF(X$4&lt;Допущения!$C$58,0,((X$4-Допущения!$C$58+1)/(36-Допущения!$C$58+1))^Допущения!$C$67)</f>
        <v>23.20089373792</v>
      </c>
      <c r="Y5" s="10" t="n">
        <f aca="false">Допущения!$C$61*IF(Y$4&lt;Допущения!$C$58,0,((Y$4-Допущения!$C$58+1)/(36-Допущения!$C$58+1))^Допущения!$C$67)</f>
        <v>25.5472879671576</v>
      </c>
      <c r="Z5" s="10" t="n">
        <f aca="false">Допущения!$C$61*IF(Z$4&lt;Допущения!$C$58,0,((Z$4-Допущения!$C$58+1)/(36-Допущения!$C$58+1))^Допущения!$C$67)</f>
        <v>27.9445418490488</v>
      </c>
      <c r="AA5" s="10" t="n">
        <f aca="false">Допущения!$C$61*IF(AA$4&lt;Допущения!$C$58,0,((AA$4-Допущения!$C$58+1)/(36-Допущения!$C$58+1))^Допущения!$C$67)</f>
        <v>30.3902543167245</v>
      </c>
      <c r="AB5" s="10" t="n">
        <f aca="false">Допущения!$C$61*IF(AB$4&lt;Допущения!$C$58,0,((AB$4-Допущения!$C$58+1)/(36-Допущения!$C$58+1))^Допущения!$C$67)</f>
        <v>32.8822823951454</v>
      </c>
      <c r="AC5" s="10" t="n">
        <f aca="false">Допущения!$C$61*IF(AC$4&lt;Допущения!$C$58,0,((AC$4-Допущения!$C$58+1)/(36-Допущения!$C$58+1))^Допущения!$C$67)</f>
        <v>35.4186997318222</v>
      </c>
      <c r="AD5" s="10" t="n">
        <f aca="false">Допущения!$C$61*IF(AD$4&lt;Допущения!$C$58,0,((AD$4-Допущения!$C$58+1)/(36-Допущения!$C$58+1))^Допущения!$C$67)</f>
        <v>37.9977637508482</v>
      </c>
      <c r="AE5" s="10" t="n">
        <f aca="false">Допущения!$C$61*IF(AE$4&lt;Допущения!$C$58,0,((AE$4-Допущения!$C$58+1)/(36-Допущения!$C$58+1))^Допущения!$C$67)</f>
        <v>40.6178892724668</v>
      </c>
      <c r="AF5" s="10" t="n">
        <f aca="false">Допущения!$C$61*IF(AF$4&lt;Допущения!$C$58,0,((AF$4-Допущения!$C$58+1)/(36-Допущения!$C$58+1))^Допущения!$C$67)</f>
        <v>43.2776270624148</v>
      </c>
      <c r="AG5" s="10" t="n">
        <f aca="false">Допущения!$C$61*IF(AG$4&lt;Допущения!$C$58,0,((AG$4-Допущения!$C$58+1)/(36-Допущения!$C$58+1))^Допущения!$C$67)</f>
        <v>45.9756461965863</v>
      </c>
      <c r="AH5" s="10" t="n">
        <f aca="false">Допущения!$C$61*IF(AH$4&lt;Допущения!$C$58,0,((AH$4-Допущения!$C$58+1)/(36-Допущения!$C$58+1))^Допущения!$C$67)</f>
        <v>48.7107194182038</v>
      </c>
      <c r="AI5" s="10" t="n">
        <f aca="false">Допущения!$C$61*IF(AI$4&lt;Допущения!$C$58,0,((AI$4-Допущения!$C$58+1)/(36-Допущения!$C$58+1))^Допущения!$C$67)</f>
        <v>51.481710870521</v>
      </c>
      <c r="AJ5" s="10" t="n">
        <f aca="false">Допущения!$C$61*IF(AJ$4&lt;Допущения!$C$58,0,((AJ$4-Допущения!$C$58+1)/(36-Допущения!$C$58+1))^Допущения!$C$67)</f>
        <v>54.2875657359155</v>
      </c>
      <c r="AK5" s="10" t="n">
        <f aca="false">Допущения!$C$61*IF(AK$4&lt;Допущения!$C$58,0,((AK$4-Допущения!$C$58+1)/(36-Допущения!$C$58+1))^Допущения!$C$67)</f>
        <v>57.1273014200984</v>
      </c>
      <c r="AL5" s="10" t="n">
        <f aca="false">Допущения!$C$61*IF(AL$4&lt;Допущения!$C$58,0,((AL$4-Допущения!$C$58+1)/(36-Допущения!$C$58+1))^Допущения!$C$67)</f>
        <v>60</v>
      </c>
      <c r="AM5" s="10" t="n">
        <f aca="false">SUM(C5:N5)</f>
        <v>6.31102038252834</v>
      </c>
      <c r="AN5" s="10" t="n">
        <f aca="false">SUM(O5:Z5)</f>
        <v>190.074153155829</v>
      </c>
      <c r="AO5" s="10" t="n">
        <f aca="false">SUM(AA5:AL5)</f>
        <v>538.167460170747</v>
      </c>
      <c r="AP5" s="10" t="n">
        <f aca="false">SUM(C5:AL5)</f>
        <v>734.552633709104</v>
      </c>
    </row>
    <row r="6" customFormat="false" ht="15" hidden="false" customHeight="false" outlineLevel="0" collapsed="false">
      <c r="A6" s="0" t="s">
        <v>321</v>
      </c>
      <c r="B6" s="0" t="s">
        <v>322</v>
      </c>
      <c r="C6" s="10" t="n">
        <f aca="false">Допущения!$C$63*IF(C$4&lt;Допущения!$C$58,0,((C$4-Допущения!$C$58+1)/(36-Допущения!$C$58+1))^Допущения!$C$67)</f>
        <v>0</v>
      </c>
      <c r="D6" s="10" t="n">
        <f aca="false">Допущения!$C$63*IF(D$4&lt;Допущения!$C$58,0,((D$4-Допущения!$C$58+1)/(36-Допущения!$C$58+1))^Допущения!$C$67)</f>
        <v>0</v>
      </c>
      <c r="E6" s="10" t="n">
        <f aca="false">Допущения!$C$63*IF(E$4&lt;Допущения!$C$58,0,((E$4-Допущения!$C$58+1)/(36-Допущения!$C$58+1))^Допущения!$C$67)</f>
        <v>0</v>
      </c>
      <c r="F6" s="10" t="n">
        <f aca="false">Допущения!$C$63*IF(F$4&lt;Допущения!$C$58,0,((F$4-Допущения!$C$58+1)/(36-Допущения!$C$58+1))^Допущения!$C$67)</f>
        <v>0</v>
      </c>
      <c r="G6" s="10" t="n">
        <f aca="false">Допущения!$C$63*IF(G$4&lt;Допущения!$C$58,0,((G$4-Допущения!$C$58+1)/(36-Допущения!$C$58+1))^Допущения!$C$67)</f>
        <v>0</v>
      </c>
      <c r="H6" s="10" t="n">
        <f aca="false">Допущения!$C$63*IF(H$4&lt;Допущения!$C$58,0,((H$4-Допущения!$C$58+1)/(36-Допущения!$C$58+1))^Допущения!$C$67)</f>
        <v>0</v>
      </c>
      <c r="I6" s="10" t="n">
        <f aca="false">Допущения!$C$63*IF(I$4&lt;Допущения!$C$58,0,((I$4-Допущения!$C$58+1)/(36-Допущения!$C$58+1))^Допущения!$C$67)</f>
        <v>0</v>
      </c>
      <c r="J6" s="10" t="n">
        <f aca="false">Допущения!$C$63*IF(J$4&lt;Допущения!$C$58,0,((J$4-Допущения!$C$58+1)/(36-Допущения!$C$58+1))^Допущения!$C$67)</f>
        <v>0</v>
      </c>
      <c r="K6" s="10" t="n">
        <f aca="false">Допущения!$C$63*IF(K$4&lt;Допущения!$C$58,0,((K$4-Допущения!$C$58+1)/(36-Допущения!$C$58+1))^Допущения!$C$67)</f>
        <v>0</v>
      </c>
      <c r="L6" s="10" t="n">
        <f aca="false">Допущения!$C$63*IF(L$4&lt;Допущения!$C$58,0,((L$4-Допущения!$C$58+1)/(36-Допущения!$C$58+1))^Допущения!$C$67)</f>
        <v>2.7558596889726</v>
      </c>
      <c r="M6" s="10" t="n">
        <f aca="false">Допущения!$C$63*IF(M$4&lt;Допущения!$C$58,0,((M$4-Допущения!$C$58+1)/(36-Допущения!$C$58+1))^Допущения!$C$67)</f>
        <v>6.78572252008216</v>
      </c>
      <c r="N6" s="10" t="n">
        <f aca="false">Допущения!$C$63*IF(N$4&lt;Допущения!$C$58,0,((N$4-Допущения!$C$58+1)/(36-Допущения!$C$58+1))^Допущения!$C$67)</f>
        <v>11.495152399373</v>
      </c>
      <c r="O6" s="10" t="n">
        <f aca="false">Допущения!$C$63*IF(O$4&lt;Допущения!$C$58,0,((O$4-Допущения!$C$58+1)/(36-Допущения!$C$58+1))^Допущения!$C$67)</f>
        <v>16.7084087422159</v>
      </c>
      <c r="P6" s="10" t="n">
        <f aca="false">Допущения!$C$63*IF(P$4&lt;Допущения!$C$58,0,((P$4-Допущения!$C$58+1)/(36-Допущения!$C$58+1))^Допущения!$C$67)</f>
        <v>22.3315109224656</v>
      </c>
      <c r="Q6" s="10" t="n">
        <f aca="false">Допущения!$C$63*IF(Q$4&lt;Допущения!$C$58,0,((Q$4-Допущения!$C$58+1)/(36-Допущения!$C$58+1))^Допущения!$C$67)</f>
        <v>28.304385314073</v>
      </c>
      <c r="R6" s="10" t="n">
        <f aca="false">Допущения!$C$63*IF(R$4&lt;Допущения!$C$58,0,((R$4-Допущения!$C$58+1)/(36-Допущения!$C$58+1))^Допущения!$C$67)</f>
        <v>34.5847431195442</v>
      </c>
      <c r="S6" s="10" t="n">
        <f aca="false">Допущения!$C$63*IF(S$4&lt;Допущения!$C$58,0,((S$4-Допущения!$C$58+1)/(36-Допущения!$C$58+1))^Допущения!$C$67)</f>
        <v>41.1409281577249</v>
      </c>
      <c r="T6" s="10" t="n">
        <f aca="false">Допущения!$C$63*IF(T$4&lt;Допущения!$C$58,0,((T$4-Допущения!$C$58+1)/(36-Допущения!$C$58+1))^Допущения!$C$67)</f>
        <v>47.9482062216576</v>
      </c>
      <c r="U6" s="10" t="n">
        <f aca="false">Допущения!$C$63*IF(U$4&lt;Допущения!$C$58,0,((U$4-Допущения!$C$58+1)/(36-Допущения!$C$58+1))^Допущения!$C$67)</f>
        <v>54.9866298274889</v>
      </c>
      <c r="V6" s="10" t="n">
        <f aca="false">Допущения!$C$63*IF(V$4&lt;Допущения!$C$58,0,((V$4-Допущения!$C$58+1)/(36-Допущения!$C$58+1))^Допущения!$C$67)</f>
        <v>62.2397146620061</v>
      </c>
      <c r="W6" s="10" t="n">
        <f aca="false">Допущения!$C$63*IF(W$4&lt;Допущения!$C$58,0,((W$4-Допущения!$C$58+1)/(36-Допущения!$C$58+1))^Допущения!$C$67)</f>
        <v>69.6935717051658</v>
      </c>
      <c r="X6" s="10" t="n">
        <f aca="false">Допущения!$C$63*IF(X$4&lt;Допущения!$C$58,0,((X$4-Допущения!$C$58+1)/(36-Допущения!$C$58+1))^Допущения!$C$67)</f>
        <v>77.3363124597332</v>
      </c>
      <c r="Y6" s="10" t="n">
        <f aca="false">Допущения!$C$63*IF(Y$4&lt;Допущения!$C$58,0,((Y$4-Допущения!$C$58+1)/(36-Допущения!$C$58+1))^Допущения!$C$67)</f>
        <v>85.1576265571919</v>
      </c>
      <c r="Z6" s="10" t="n">
        <f aca="false">Допущения!$C$63*IF(Z$4&lt;Допущения!$C$58,0,((Z$4-Допущения!$C$58+1)/(36-Допущения!$C$58+1))^Допущения!$C$67)</f>
        <v>93.1484728301627</v>
      </c>
      <c r="AA6" s="10" t="n">
        <f aca="false">Допущения!$C$63*IF(AA$4&lt;Допущения!$C$58,0,((AA$4-Допущения!$C$58+1)/(36-Допущения!$C$58+1))^Допущения!$C$67)</f>
        <v>101.300847722415</v>
      </c>
      <c r="AB6" s="10" t="n">
        <f aca="false">Допущения!$C$63*IF(AB$4&lt;Допущения!$C$58,0,((AB$4-Допущения!$C$58+1)/(36-Допущения!$C$58+1))^Допущения!$C$67)</f>
        <v>109.607607983818</v>
      </c>
      <c r="AC6" s="10" t="n">
        <f aca="false">Допущения!$C$63*IF(AC$4&lt;Допущения!$C$58,0,((AC$4-Допущения!$C$58+1)/(36-Допущения!$C$58+1))^Допущения!$C$67)</f>
        <v>118.062332439407</v>
      </c>
      <c r="AD6" s="10" t="n">
        <f aca="false">Допущения!$C$63*IF(AD$4&lt;Допущения!$C$58,0,((AD$4-Допущения!$C$58+1)/(36-Допущения!$C$58+1))^Допущения!$C$67)</f>
        <v>126.659212502827</v>
      </c>
      <c r="AE6" s="10" t="n">
        <f aca="false">Допущения!$C$63*IF(AE$4&lt;Допущения!$C$58,0,((AE$4-Допущения!$C$58+1)/(36-Допущения!$C$58+1))^Допущения!$C$67)</f>
        <v>135.392964241556</v>
      </c>
      <c r="AF6" s="10" t="n">
        <f aca="false">Допущения!$C$63*IF(AF$4&lt;Допущения!$C$58,0,((AF$4-Допущения!$C$58+1)/(36-Допущения!$C$58+1))^Допущения!$C$67)</f>
        <v>144.258756874716</v>
      </c>
      <c r="AG6" s="10" t="n">
        <f aca="false">Допущения!$C$63*IF(AG$4&lt;Допущения!$C$58,0,((AG$4-Допущения!$C$58+1)/(36-Допущения!$C$58+1))^Допущения!$C$67)</f>
        <v>153.252153988621</v>
      </c>
      <c r="AH6" s="10" t="n">
        <f aca="false">Допущения!$C$63*IF(AH$4&lt;Допущения!$C$58,0,((AH$4-Допущения!$C$58+1)/(36-Допущения!$C$58+1))^Допущения!$C$67)</f>
        <v>162.369064727346</v>
      </c>
      <c r="AI6" s="10" t="n">
        <f aca="false">Допущения!$C$63*IF(AI$4&lt;Допущения!$C$58,0,((AI$4-Допущения!$C$58+1)/(36-Допущения!$C$58+1))^Допущения!$C$67)</f>
        <v>171.605702901737</v>
      </c>
      <c r="AJ6" s="10" t="n">
        <f aca="false">Допущения!$C$63*IF(AJ$4&lt;Допущения!$C$58,0,((AJ$4-Допущения!$C$58+1)/(36-Допущения!$C$58+1))^Допущения!$C$67)</f>
        <v>180.958552453052</v>
      </c>
      <c r="AK6" s="10" t="n">
        <f aca="false">Допущения!$C$63*IF(AK$4&lt;Допущения!$C$58,0,((AK$4-Допущения!$C$58+1)/(36-Допущения!$C$58+1))^Допущения!$C$67)</f>
        <v>190.424338066995</v>
      </c>
      <c r="AL6" s="10" t="n">
        <f aca="false">Допущения!$C$63*IF(AL$4&lt;Допущения!$C$58,0,((AL$4-Допущения!$C$58+1)/(36-Допущения!$C$58+1))^Допущения!$C$67)</f>
        <v>200</v>
      </c>
      <c r="AM6" s="10" t="n">
        <f aca="false">SUM(C6:N6)</f>
        <v>21.0367346084278</v>
      </c>
      <c r="AN6" s="10" t="n">
        <f aca="false">SUM(O6:Z6)</f>
        <v>633.58051051943</v>
      </c>
      <c r="AO6" s="10" t="n">
        <f aca="false">SUM(AA6:AL6)</f>
        <v>1793.89153390249</v>
      </c>
      <c r="AP6" s="10" t="n">
        <f aca="false">SUM(C6:AL6)</f>
        <v>2448.50877903035</v>
      </c>
    </row>
    <row r="7" customFormat="false" ht="15" hidden="false" customHeight="false" outlineLevel="0" collapsed="false">
      <c r="A7" s="0" t="s">
        <v>323</v>
      </c>
      <c r="B7" s="0" t="s">
        <v>324</v>
      </c>
      <c r="C7" s="10" t="n">
        <f aca="false">C5*Допущения!$C$60+C6*Допущения!$C$62</f>
        <v>0</v>
      </c>
      <c r="D7" s="10" t="n">
        <f aca="false">D5*Допущения!$C$60+D6*Допущения!$C$62</f>
        <v>0</v>
      </c>
      <c r="E7" s="10" t="n">
        <f aca="false">E5*Допущения!$C$60+E6*Допущения!$C$62</f>
        <v>0</v>
      </c>
      <c r="F7" s="10" t="n">
        <f aca="false">F5*Допущения!$C$60+F6*Допущения!$C$62</f>
        <v>0</v>
      </c>
      <c r="G7" s="10" t="n">
        <f aca="false">G5*Допущения!$C$60+G6*Допущения!$C$62</f>
        <v>0</v>
      </c>
      <c r="H7" s="10" t="n">
        <f aca="false">H5*Допущения!$C$60+H6*Допущения!$C$62</f>
        <v>0</v>
      </c>
      <c r="I7" s="10" t="n">
        <f aca="false">I5*Допущения!$C$60+I6*Допущения!$C$62</f>
        <v>0</v>
      </c>
      <c r="J7" s="10" t="n">
        <f aca="false">J5*Допущения!$C$60+J6*Допущения!$C$62</f>
        <v>0</v>
      </c>
      <c r="K7" s="10" t="n">
        <f aca="false">K5*Допущения!$C$60+K6*Допущения!$C$62</f>
        <v>0</v>
      </c>
      <c r="L7" s="10" t="n">
        <f aca="false">L5*Допущения!$C$60+L6*Допущения!$C$62</f>
        <v>5373.92639349658</v>
      </c>
      <c r="M7" s="10" t="n">
        <f aca="false">M5*Допущения!$C$60+M6*Допущения!$C$62</f>
        <v>13232.1589141602</v>
      </c>
      <c r="N7" s="10" t="n">
        <f aca="false">N5*Допущения!$C$60+N6*Допущения!$C$62</f>
        <v>22415.5471787774</v>
      </c>
      <c r="O7" s="10" t="n">
        <f aca="false">O5*Допущения!$C$60+O6*Допущения!$C$62</f>
        <v>32581.3970473209</v>
      </c>
      <c r="P7" s="10" t="n">
        <f aca="false">P5*Допущения!$C$60+P6*Допущения!$C$62</f>
        <v>43546.4462988079</v>
      </c>
      <c r="Q7" s="10" t="n">
        <f aca="false">Q5*Допущения!$C$60+Q6*Допущения!$C$62</f>
        <v>55193.5513624424</v>
      </c>
      <c r="R7" s="10" t="n">
        <f aca="false">R5*Допущения!$C$60+R6*Допущения!$C$62</f>
        <v>67440.2490831113</v>
      </c>
      <c r="S7" s="10" t="n">
        <f aca="false">S5*Допущения!$C$60+S6*Допущения!$C$62</f>
        <v>80224.8099075635</v>
      </c>
      <c r="T7" s="10" t="n">
        <f aca="false">T5*Допущения!$C$60+T6*Допущения!$C$62</f>
        <v>93499.0021322324</v>
      </c>
      <c r="U7" s="10" t="n">
        <f aca="false">U5*Допущения!$C$60+U6*Допущения!$C$62</f>
        <v>107223.928163603</v>
      </c>
      <c r="V7" s="10" t="n">
        <f aca="false">V5*Допущения!$C$60+V6*Допущения!$C$62</f>
        <v>121367.443590912</v>
      </c>
      <c r="W7" s="10" t="n">
        <f aca="false">W5*Допущения!$C$60+W6*Допущения!$C$62</f>
        <v>135902.464825073</v>
      </c>
      <c r="X7" s="10" t="n">
        <f aca="false">X5*Допущения!$C$60+X6*Допущения!$C$62</f>
        <v>150805.80929648</v>
      </c>
      <c r="Y7" s="10" t="n">
        <f aca="false">Y5*Допущения!$C$60+Y6*Допущения!$C$62</f>
        <v>166057.371786524</v>
      </c>
      <c r="Z7" s="10" t="n">
        <f aca="false">Z5*Допущения!$C$60+Z6*Допущения!$C$62</f>
        <v>181639.522018817</v>
      </c>
      <c r="AA7" s="10" t="n">
        <f aca="false">AA5*Допущения!$C$60+AA6*Допущения!$C$62</f>
        <v>197536.653058709</v>
      </c>
      <c r="AB7" s="10" t="n">
        <f aca="false">AB5*Допущения!$C$60+AB6*Допущения!$C$62</f>
        <v>213734.835568445</v>
      </c>
      <c r="AC7" s="10" t="n">
        <f aca="false">AC5*Допущения!$C$60+AC6*Допущения!$C$62</f>
        <v>230221.548256845</v>
      </c>
      <c r="AD7" s="10" t="n">
        <f aca="false">AD5*Допущения!$C$60+AD6*Допущения!$C$62</f>
        <v>246985.464380513</v>
      </c>
      <c r="AE7" s="10" t="n">
        <f aca="false">AE5*Допущения!$C$60+AE6*Допущения!$C$62</f>
        <v>264016.280271034</v>
      </c>
      <c r="AF7" s="10" t="n">
        <f aca="false">AF5*Допущения!$C$60+AF6*Допущения!$C$62</f>
        <v>281304.575905696</v>
      </c>
      <c r="AG7" s="10" t="n">
        <f aca="false">AG5*Допущения!$C$60+AG6*Допущения!$C$62</f>
        <v>298841.700277811</v>
      </c>
      <c r="AH7" s="10" t="n">
        <f aca="false">AH5*Допущения!$C$60+AH6*Допущения!$C$62</f>
        <v>316619.676218325</v>
      </c>
      <c r="AI7" s="10" t="n">
        <f aca="false">AI5*Допущения!$C$60+AI6*Допущения!$C$62</f>
        <v>334631.120658386</v>
      </c>
      <c r="AJ7" s="10" t="n">
        <f aca="false">AJ5*Допущения!$C$60+AJ6*Допущения!$C$62</f>
        <v>352869.177283451</v>
      </c>
      <c r="AK7" s="10" t="n">
        <f aca="false">AK5*Допущения!$C$60+AK6*Допущения!$C$62</f>
        <v>371327.45923064</v>
      </c>
      <c r="AL7" s="10" t="n">
        <f aca="false">AL5*Допущения!$C$60+AL6*Допущения!$C$62</f>
        <v>390000</v>
      </c>
      <c r="AM7" s="10" t="n">
        <f aca="false">SUM(C7:N7)</f>
        <v>41021.6324864342</v>
      </c>
      <c r="AN7" s="10" t="n">
        <f aca="false">SUM(O7:Z7)</f>
        <v>1235481.99551289</v>
      </c>
      <c r="AO7" s="10" t="n">
        <f aca="false">SUM(AA7:AL7)</f>
        <v>3498088.49110985</v>
      </c>
      <c r="AP7" s="10" t="n">
        <f aca="false">SUM(C7:AL7)</f>
        <v>4774592.11910918</v>
      </c>
    </row>
    <row r="8" customFormat="false" ht="15" hidden="false" customHeight="false" outlineLevel="0" collapsed="false">
      <c r="A8" s="0" t="s">
        <v>267</v>
      </c>
      <c r="B8" s="0" t="s">
        <v>325</v>
      </c>
      <c r="C8" s="10" t="n">
        <f aca="false">C7*Допущения!$C$59</f>
        <v>0</v>
      </c>
      <c r="D8" s="10" t="n">
        <f aca="false">D7*Допущения!$C$59</f>
        <v>0</v>
      </c>
      <c r="E8" s="10" t="n">
        <f aca="false">E7*Допущения!$C$59</f>
        <v>0</v>
      </c>
      <c r="F8" s="10" t="n">
        <f aca="false">F7*Допущения!$C$59</f>
        <v>0</v>
      </c>
      <c r="G8" s="10" t="n">
        <f aca="false">G7*Допущения!$C$59</f>
        <v>0</v>
      </c>
      <c r="H8" s="10" t="n">
        <f aca="false">H7*Допущения!$C$59</f>
        <v>0</v>
      </c>
      <c r="I8" s="10" t="n">
        <f aca="false">I7*Допущения!$C$59</f>
        <v>0</v>
      </c>
      <c r="J8" s="10" t="n">
        <f aca="false">J7*Допущения!$C$59</f>
        <v>0</v>
      </c>
      <c r="K8" s="10" t="n">
        <f aca="false">K7*Допущения!$C$59</f>
        <v>0</v>
      </c>
      <c r="L8" s="10" t="n">
        <f aca="false">L7*Допущения!$C$59</f>
        <v>1880.8742377238</v>
      </c>
      <c r="M8" s="10" t="n">
        <f aca="false">M7*Допущения!$C$59</f>
        <v>4631.25561995607</v>
      </c>
      <c r="N8" s="10" t="n">
        <f aca="false">N7*Допущения!$C$59</f>
        <v>7845.44151257209</v>
      </c>
      <c r="O8" s="10" t="n">
        <f aca="false">O7*Допущения!$C$59</f>
        <v>11403.4889665623</v>
      </c>
      <c r="P8" s="10" t="n">
        <f aca="false">P7*Допущения!$C$59</f>
        <v>15241.2562045827</v>
      </c>
      <c r="Q8" s="10" t="n">
        <f aca="false">Q7*Допущения!$C$59</f>
        <v>19317.7429768548</v>
      </c>
      <c r="R8" s="10" t="n">
        <f aca="false">R7*Допущения!$C$59</f>
        <v>23604.0871790889</v>
      </c>
      <c r="S8" s="10" t="n">
        <f aca="false">S7*Допущения!$C$59</f>
        <v>28078.6834676472</v>
      </c>
      <c r="T8" s="10" t="n">
        <f aca="false">T7*Допущения!$C$59</f>
        <v>32724.6507462813</v>
      </c>
      <c r="U8" s="10" t="n">
        <f aca="false">U7*Допущения!$C$59</f>
        <v>37528.3748572612</v>
      </c>
      <c r="V8" s="10" t="n">
        <f aca="false">V7*Допущения!$C$59</f>
        <v>42478.6052568191</v>
      </c>
      <c r="W8" s="10" t="n">
        <f aca="false">W7*Допущения!$C$59</f>
        <v>47565.8626887757</v>
      </c>
      <c r="X8" s="10" t="n">
        <f aca="false">X7*Допущения!$C$59</f>
        <v>52782.0332537679</v>
      </c>
      <c r="Y8" s="10" t="n">
        <f aca="false">Y7*Допущения!$C$59</f>
        <v>58120.0801252834</v>
      </c>
      <c r="Z8" s="10" t="n">
        <f aca="false">Z7*Допущения!$C$59</f>
        <v>63573.8327065861</v>
      </c>
      <c r="AA8" s="10" t="n">
        <f aca="false">AA7*Допущения!$C$59</f>
        <v>69137.8285705482</v>
      </c>
      <c r="AB8" s="10" t="n">
        <f aca="false">AB7*Допущения!$C$59</f>
        <v>74807.1924489557</v>
      </c>
      <c r="AC8" s="10" t="n">
        <f aca="false">AC7*Допущения!$C$59</f>
        <v>80577.5418898956</v>
      </c>
      <c r="AD8" s="10" t="n">
        <f aca="false">AD7*Допущения!$C$59</f>
        <v>86444.9125331796</v>
      </c>
      <c r="AE8" s="10" t="n">
        <f aca="false">AE7*Допущения!$C$59</f>
        <v>92405.6980948619</v>
      </c>
      <c r="AF8" s="10" t="n">
        <f aca="false">AF7*Допущения!$C$59</f>
        <v>98456.6015669936</v>
      </c>
      <c r="AG8" s="10" t="n">
        <f aca="false">AG7*Допущения!$C$59</f>
        <v>104594.595097234</v>
      </c>
      <c r="AH8" s="10" t="n">
        <f aca="false">AH7*Допущения!$C$59</f>
        <v>110816.886676414</v>
      </c>
      <c r="AI8" s="10" t="n">
        <f aca="false">AI7*Допущения!$C$59</f>
        <v>117120.892230435</v>
      </c>
      <c r="AJ8" s="10" t="n">
        <f aca="false">AJ7*Допущения!$C$59</f>
        <v>123504.212049208</v>
      </c>
      <c r="AK8" s="10" t="n">
        <f aca="false">AK7*Допущения!$C$59</f>
        <v>129964.610730724</v>
      </c>
      <c r="AL8" s="10" t="n">
        <f aca="false">AL7*Допущения!$C$59</f>
        <v>136500</v>
      </c>
      <c r="AM8" s="10" t="n">
        <f aca="false">SUM(C8:N8)</f>
        <v>14357.571370252</v>
      </c>
      <c r="AN8" s="10" t="n">
        <f aca="false">SUM(O8:Z8)</f>
        <v>432418.698429511</v>
      </c>
      <c r="AO8" s="10" t="n">
        <f aca="false">SUM(AA8:AL8)</f>
        <v>1224330.97188845</v>
      </c>
      <c r="AP8" s="10" t="n">
        <f aca="false">SUM(C8:AL8)</f>
        <v>1671107.24168821</v>
      </c>
    </row>
    <row r="9" customFormat="false" ht="15" hidden="false" customHeight="false" outlineLevel="0" collapsed="false">
      <c r="A9" s="0" t="s">
        <v>275</v>
      </c>
      <c r="B9" s="0" t="s">
        <v>326</v>
      </c>
      <c r="C9" s="10" t="n">
        <f aca="false">C8*(1-Допущения!$C$14)</f>
        <v>0</v>
      </c>
      <c r="D9" s="10" t="n">
        <f aca="false">D8*(1-Допущения!$C$14)</f>
        <v>0</v>
      </c>
      <c r="E9" s="10" t="n">
        <f aca="false">E8*(1-Допущения!$C$14)</f>
        <v>0</v>
      </c>
      <c r="F9" s="10" t="n">
        <f aca="false">F8*(1-Допущения!$C$14)</f>
        <v>0</v>
      </c>
      <c r="G9" s="10" t="n">
        <f aca="false">G8*(1-Допущения!$C$14)</f>
        <v>0</v>
      </c>
      <c r="H9" s="10" t="n">
        <f aca="false">H8*(1-Допущения!$C$14)</f>
        <v>0</v>
      </c>
      <c r="I9" s="10" t="n">
        <f aca="false">I8*(1-Допущения!$C$14)</f>
        <v>0</v>
      </c>
      <c r="J9" s="10" t="n">
        <f aca="false">J8*(1-Допущения!$C$14)</f>
        <v>0</v>
      </c>
      <c r="K9" s="10" t="n">
        <f aca="false">K8*(1-Допущения!$C$14)</f>
        <v>0</v>
      </c>
      <c r="L9" s="10" t="n">
        <f aca="false">L8*(1-Допущения!$C$14)</f>
        <v>1768.02178346037</v>
      </c>
      <c r="M9" s="10" t="n">
        <f aca="false">M8*(1-Допущения!$C$14)</f>
        <v>4353.38028275871</v>
      </c>
      <c r="N9" s="10" t="n">
        <f aca="false">N8*(1-Допущения!$C$14)</f>
        <v>7374.71502181777</v>
      </c>
      <c r="O9" s="10" t="n">
        <f aca="false">O8*(1-Допущения!$C$14)</f>
        <v>10719.2796285686</v>
      </c>
      <c r="P9" s="10" t="n">
        <f aca="false">P8*(1-Допущения!$C$14)</f>
        <v>14326.7808323078</v>
      </c>
      <c r="Q9" s="10" t="n">
        <f aca="false">Q8*(1-Допущения!$C$14)</f>
        <v>18158.6783982436</v>
      </c>
      <c r="R9" s="10" t="n">
        <f aca="false">R8*(1-Допущения!$C$14)</f>
        <v>22187.8419483436</v>
      </c>
      <c r="S9" s="10" t="n">
        <f aca="false">S8*(1-Допущения!$C$14)</f>
        <v>26393.9624595884</v>
      </c>
      <c r="T9" s="10" t="n">
        <f aca="false">T8*(1-Допущения!$C$14)</f>
        <v>30761.1717015044</v>
      </c>
      <c r="U9" s="10" t="n">
        <f aca="false">U8*(1-Допущения!$C$14)</f>
        <v>35276.6723658255</v>
      </c>
      <c r="V9" s="10" t="n">
        <f aca="false">V8*(1-Допущения!$C$14)</f>
        <v>39929.88894141</v>
      </c>
      <c r="W9" s="10" t="n">
        <f aca="false">W8*(1-Допущения!$C$14)</f>
        <v>44711.9109274491</v>
      </c>
      <c r="X9" s="10" t="n">
        <f aca="false">X8*(1-Допущения!$C$14)</f>
        <v>49615.1112585418</v>
      </c>
      <c r="Y9" s="10" t="n">
        <f aca="false">Y8*(1-Допущения!$C$14)</f>
        <v>54632.8753177664</v>
      </c>
      <c r="Z9" s="10" t="n">
        <f aca="false">Z8*(1-Допущения!$C$14)</f>
        <v>59759.4027441909</v>
      </c>
      <c r="AA9" s="10" t="n">
        <f aca="false">AA8*(1-Допущения!$C$14)</f>
        <v>64989.5588563153</v>
      </c>
      <c r="AB9" s="10" t="n">
        <f aca="false">AB8*(1-Допущения!$C$14)</f>
        <v>70318.7609020184</v>
      </c>
      <c r="AC9" s="10" t="n">
        <f aca="false">AC8*(1-Допущения!$C$14)</f>
        <v>75742.8893765019</v>
      </c>
      <c r="AD9" s="10" t="n">
        <f aca="false">AD8*(1-Допущения!$C$14)</f>
        <v>81258.2177811888</v>
      </c>
      <c r="AE9" s="10" t="n">
        <f aca="false">AE8*(1-Допущения!$C$14)</f>
        <v>86861.3562091702</v>
      </c>
      <c r="AF9" s="10" t="n">
        <f aca="false">AF8*(1-Допущения!$C$14)</f>
        <v>92549.205472974</v>
      </c>
      <c r="AG9" s="10" t="n">
        <f aca="false">AG8*(1-Допущения!$C$14)</f>
        <v>98318.9193913997</v>
      </c>
      <c r="AH9" s="10" t="n">
        <f aca="false">AH8*(1-Допущения!$C$14)</f>
        <v>104167.873475829</v>
      </c>
      <c r="AI9" s="10" t="n">
        <f aca="false">AI8*(1-Допущения!$C$14)</f>
        <v>110093.638696609</v>
      </c>
      <c r="AJ9" s="10" t="n">
        <f aca="false">AJ8*(1-Допущения!$C$14)</f>
        <v>116093.959326255</v>
      </c>
      <c r="AK9" s="10" t="n">
        <f aca="false">AK8*(1-Допущения!$C$14)</f>
        <v>122166.73408688</v>
      </c>
      <c r="AL9" s="10" t="n">
        <f aca="false">AL8*(1-Допущения!$C$14)</f>
        <v>128310</v>
      </c>
      <c r="AM9" s="10" t="n">
        <f aca="false">SUM(C9:N9)</f>
        <v>13496.1170880369</v>
      </c>
      <c r="AN9" s="10" t="n">
        <f aca="false">SUM(O9:Z9)</f>
        <v>406473.57652374</v>
      </c>
      <c r="AO9" s="10" t="n">
        <f aca="false">SUM(AA9:AL9)</f>
        <v>1150871.11357514</v>
      </c>
      <c r="AP9" s="10" t="n">
        <f aca="false">SUM(C9:AL9)</f>
        <v>1570840.80718692</v>
      </c>
    </row>
    <row r="10" customFormat="false" ht="15" hidden="false" customHeight="false" outlineLevel="0" collapsed="false">
      <c r="A10" s="0" t="s">
        <v>277</v>
      </c>
      <c r="B10" s="0" t="s">
        <v>178</v>
      </c>
      <c r="C10" s="10" t="n">
        <f aca="false">C7*Допущения!$C$64</f>
        <v>0</v>
      </c>
      <c r="D10" s="10" t="n">
        <f aca="false">D7*Допущения!$C$64</f>
        <v>0</v>
      </c>
      <c r="E10" s="10" t="n">
        <f aca="false">E7*Допущения!$C$64</f>
        <v>0</v>
      </c>
      <c r="F10" s="10" t="n">
        <f aca="false">F7*Допущения!$C$64</f>
        <v>0</v>
      </c>
      <c r="G10" s="10" t="n">
        <f aca="false">G7*Допущения!$C$64</f>
        <v>0</v>
      </c>
      <c r="H10" s="10" t="n">
        <f aca="false">H7*Допущения!$C$64</f>
        <v>0</v>
      </c>
      <c r="I10" s="10" t="n">
        <f aca="false">I7*Допущения!$C$64</f>
        <v>0</v>
      </c>
      <c r="J10" s="10" t="n">
        <f aca="false">J7*Допущения!$C$64</f>
        <v>0</v>
      </c>
      <c r="K10" s="10" t="n">
        <f aca="false">K7*Допущения!$C$64</f>
        <v>0</v>
      </c>
      <c r="L10" s="10" t="n">
        <f aca="false">L7*Допущения!$C$64</f>
        <v>1880.8742377238</v>
      </c>
      <c r="M10" s="10" t="n">
        <f aca="false">M7*Допущения!$C$64</f>
        <v>4631.25561995607</v>
      </c>
      <c r="N10" s="10" t="n">
        <f aca="false">N7*Допущения!$C$64</f>
        <v>7845.44151257209</v>
      </c>
      <c r="O10" s="10" t="n">
        <f aca="false">O7*Допущения!$C$64</f>
        <v>11403.4889665623</v>
      </c>
      <c r="P10" s="10" t="n">
        <f aca="false">P7*Допущения!$C$64</f>
        <v>15241.2562045827</v>
      </c>
      <c r="Q10" s="10" t="n">
        <f aca="false">Q7*Допущения!$C$64</f>
        <v>19317.7429768548</v>
      </c>
      <c r="R10" s="10" t="n">
        <f aca="false">R7*Допущения!$C$64</f>
        <v>23604.0871790889</v>
      </c>
      <c r="S10" s="10" t="n">
        <f aca="false">S7*Допущения!$C$64</f>
        <v>28078.6834676472</v>
      </c>
      <c r="T10" s="10" t="n">
        <f aca="false">T7*Допущения!$C$64</f>
        <v>32724.6507462813</v>
      </c>
      <c r="U10" s="10" t="n">
        <f aca="false">U7*Допущения!$C$64</f>
        <v>37528.3748572612</v>
      </c>
      <c r="V10" s="10" t="n">
        <f aca="false">V7*Допущения!$C$64</f>
        <v>42478.6052568191</v>
      </c>
      <c r="W10" s="10" t="n">
        <f aca="false">W7*Допущения!$C$64</f>
        <v>47565.8626887757</v>
      </c>
      <c r="X10" s="10" t="n">
        <f aca="false">X7*Допущения!$C$64</f>
        <v>52782.0332537679</v>
      </c>
      <c r="Y10" s="10" t="n">
        <f aca="false">Y7*Допущения!$C$64</f>
        <v>58120.0801252834</v>
      </c>
      <c r="Z10" s="10" t="n">
        <f aca="false">Z7*Допущения!$C$64</f>
        <v>63573.8327065861</v>
      </c>
      <c r="AA10" s="10" t="n">
        <f aca="false">AA7*Допущения!$C$64</f>
        <v>69137.8285705482</v>
      </c>
      <c r="AB10" s="10" t="n">
        <f aca="false">AB7*Допущения!$C$64</f>
        <v>74807.1924489557</v>
      </c>
      <c r="AC10" s="10" t="n">
        <f aca="false">AC7*Допущения!$C$64</f>
        <v>80577.5418898956</v>
      </c>
      <c r="AD10" s="10" t="n">
        <f aca="false">AD7*Допущения!$C$64</f>
        <v>86444.9125331796</v>
      </c>
      <c r="AE10" s="10" t="n">
        <f aca="false">AE7*Допущения!$C$64</f>
        <v>92405.6980948619</v>
      </c>
      <c r="AF10" s="10" t="n">
        <f aca="false">AF7*Допущения!$C$64</f>
        <v>98456.6015669936</v>
      </c>
      <c r="AG10" s="10" t="n">
        <f aca="false">AG7*Допущения!$C$64</f>
        <v>104594.595097234</v>
      </c>
      <c r="AH10" s="10" t="n">
        <f aca="false">AH7*Допущения!$C$64</f>
        <v>110816.886676414</v>
      </c>
      <c r="AI10" s="10" t="n">
        <f aca="false">AI7*Допущения!$C$64</f>
        <v>117120.892230435</v>
      </c>
      <c r="AJ10" s="10" t="n">
        <f aca="false">AJ7*Допущения!$C$64</f>
        <v>123504.212049208</v>
      </c>
      <c r="AK10" s="10" t="n">
        <f aca="false">AK7*Допущения!$C$64</f>
        <v>129964.610730724</v>
      </c>
      <c r="AL10" s="10" t="n">
        <f aca="false">AL7*Допущения!$C$64</f>
        <v>136500</v>
      </c>
      <c r="AM10" s="10" t="n">
        <f aca="false">SUM(C10:N10)</f>
        <v>14357.571370252</v>
      </c>
      <c r="AN10" s="10" t="n">
        <f aca="false">SUM(O10:Z10)</f>
        <v>432418.698429511</v>
      </c>
      <c r="AO10" s="10" t="n">
        <f aca="false">SUM(AA10:AL10)</f>
        <v>1224330.97188845</v>
      </c>
      <c r="AP10" s="10" t="n">
        <f aca="false">SUM(C10:AL10)</f>
        <v>1671107.24168821</v>
      </c>
    </row>
    <row r="11" customFormat="false" ht="15" hidden="false" customHeight="false" outlineLevel="0" collapsed="false">
      <c r="A11" s="0" t="s">
        <v>279</v>
      </c>
      <c r="B11" s="0" t="s">
        <v>280</v>
      </c>
      <c r="C11" s="10" t="n">
        <f aca="false">IF(C$4&gt;=2,Допущения!$C$65,0)</f>
        <v>0</v>
      </c>
      <c r="D11" s="10" t="n">
        <f aca="false">IF(D$4&gt;=2,Допущения!$C$65,0)</f>
        <v>200000</v>
      </c>
      <c r="E11" s="10" t="n">
        <f aca="false">IF(E$4&gt;=2,Допущения!$C$65,0)</f>
        <v>200000</v>
      </c>
      <c r="F11" s="10" t="n">
        <f aca="false">IF(F$4&gt;=2,Допущения!$C$65,0)</f>
        <v>200000</v>
      </c>
      <c r="G11" s="10" t="n">
        <f aca="false">IF(G$4&gt;=2,Допущения!$C$65,0)</f>
        <v>200000</v>
      </c>
      <c r="H11" s="10" t="n">
        <f aca="false">IF(H$4&gt;=2,Допущения!$C$65,0)</f>
        <v>200000</v>
      </c>
      <c r="I11" s="10" t="n">
        <f aca="false">IF(I$4&gt;=2,Допущения!$C$65,0)</f>
        <v>200000</v>
      </c>
      <c r="J11" s="10" t="n">
        <f aca="false">IF(J$4&gt;=2,Допущения!$C$65,0)</f>
        <v>200000</v>
      </c>
      <c r="K11" s="10" t="n">
        <f aca="false">IF(K$4&gt;=2,Допущения!$C$65,0)</f>
        <v>200000</v>
      </c>
      <c r="L11" s="10" t="n">
        <f aca="false">IF(L$4&gt;=2,Допущения!$C$65,0)</f>
        <v>200000</v>
      </c>
      <c r="M11" s="10" t="n">
        <f aca="false">IF(M$4&gt;=2,Допущения!$C$65,0)</f>
        <v>200000</v>
      </c>
      <c r="N11" s="10" t="n">
        <f aca="false">IF(N$4&gt;=2,Допущения!$C$65,0)</f>
        <v>200000</v>
      </c>
      <c r="O11" s="10" t="n">
        <f aca="false">IF(O$4&gt;=2,Допущения!$C$65,0)</f>
        <v>200000</v>
      </c>
      <c r="P11" s="10" t="n">
        <f aca="false">IF(P$4&gt;=2,Допущения!$C$65,0)</f>
        <v>200000</v>
      </c>
      <c r="Q11" s="10" t="n">
        <f aca="false">IF(Q$4&gt;=2,Допущения!$C$65,0)</f>
        <v>200000</v>
      </c>
      <c r="R11" s="10" t="n">
        <f aca="false">IF(R$4&gt;=2,Допущения!$C$65,0)</f>
        <v>200000</v>
      </c>
      <c r="S11" s="10" t="n">
        <f aca="false">IF(S$4&gt;=2,Допущения!$C$65,0)</f>
        <v>200000</v>
      </c>
      <c r="T11" s="10" t="n">
        <f aca="false">IF(T$4&gt;=2,Допущения!$C$65,0)</f>
        <v>200000</v>
      </c>
      <c r="U11" s="10" t="n">
        <f aca="false">IF(U$4&gt;=2,Допущения!$C$65,0)</f>
        <v>200000</v>
      </c>
      <c r="V11" s="10" t="n">
        <f aca="false">IF(V$4&gt;=2,Допущения!$C$65,0)</f>
        <v>200000</v>
      </c>
      <c r="W11" s="10" t="n">
        <f aca="false">IF(W$4&gt;=2,Допущения!$C$65,0)</f>
        <v>200000</v>
      </c>
      <c r="X11" s="10" t="n">
        <f aca="false">IF(X$4&gt;=2,Допущения!$C$65,0)</f>
        <v>200000</v>
      </c>
      <c r="Y11" s="10" t="n">
        <f aca="false">IF(Y$4&gt;=2,Допущения!$C$65,0)</f>
        <v>200000</v>
      </c>
      <c r="Z11" s="10" t="n">
        <f aca="false">IF(Z$4&gt;=2,Допущения!$C$65,0)</f>
        <v>200000</v>
      </c>
      <c r="AA11" s="10" t="n">
        <f aca="false">IF(AA$4&gt;=2,Допущения!$C$65,0)</f>
        <v>200000</v>
      </c>
      <c r="AB11" s="10" t="n">
        <f aca="false">IF(AB$4&gt;=2,Допущения!$C$65,0)</f>
        <v>200000</v>
      </c>
      <c r="AC11" s="10" t="n">
        <f aca="false">IF(AC$4&gt;=2,Допущения!$C$65,0)</f>
        <v>200000</v>
      </c>
      <c r="AD11" s="10" t="n">
        <f aca="false">IF(AD$4&gt;=2,Допущения!$C$65,0)</f>
        <v>200000</v>
      </c>
      <c r="AE11" s="10" t="n">
        <f aca="false">IF(AE$4&gt;=2,Допущения!$C$65,0)</f>
        <v>200000</v>
      </c>
      <c r="AF11" s="10" t="n">
        <f aca="false">IF(AF$4&gt;=2,Допущения!$C$65,0)</f>
        <v>200000</v>
      </c>
      <c r="AG11" s="10" t="n">
        <f aca="false">IF(AG$4&gt;=2,Допущения!$C$65,0)</f>
        <v>200000</v>
      </c>
      <c r="AH11" s="10" t="n">
        <f aca="false">IF(AH$4&gt;=2,Допущения!$C$65,0)</f>
        <v>200000</v>
      </c>
      <c r="AI11" s="10" t="n">
        <f aca="false">IF(AI$4&gt;=2,Допущения!$C$65,0)</f>
        <v>200000</v>
      </c>
      <c r="AJ11" s="10" t="n">
        <f aca="false">IF(AJ$4&gt;=2,Допущения!$C$65,0)</f>
        <v>200000</v>
      </c>
      <c r="AK11" s="10" t="n">
        <f aca="false">IF(AK$4&gt;=2,Допущения!$C$65,0)</f>
        <v>200000</v>
      </c>
      <c r="AL11" s="10" t="n">
        <f aca="false">IF(AL$4&gt;=2,Допущения!$C$65,0)</f>
        <v>200000</v>
      </c>
      <c r="AM11" s="10" t="n">
        <f aca="false">SUM(C11:N11)</f>
        <v>2200000</v>
      </c>
      <c r="AN11" s="10" t="n">
        <f aca="false">SUM(O11:Z11)</f>
        <v>2400000</v>
      </c>
      <c r="AO11" s="10" t="n">
        <f aca="false">SUM(AA11:AL11)</f>
        <v>2400000</v>
      </c>
      <c r="AP11" s="10" t="n">
        <f aca="false">SUM(C11:AL11)</f>
        <v>7000000</v>
      </c>
    </row>
    <row r="12" customFormat="false" ht="15" hidden="false" customHeight="false" outlineLevel="0" collapsed="false">
      <c r="A12" s="1" t="s">
        <v>281</v>
      </c>
      <c r="B12" s="1" t="s">
        <v>282</v>
      </c>
      <c r="C12" s="11" t="n">
        <f aca="false">C9-C11-C10</f>
        <v>0</v>
      </c>
      <c r="D12" s="11" t="n">
        <f aca="false">D9-D11-D10</f>
        <v>-200000</v>
      </c>
      <c r="E12" s="11" t="n">
        <f aca="false">E9-E11-E10</f>
        <v>-200000</v>
      </c>
      <c r="F12" s="11" t="n">
        <f aca="false">F9-F11-F10</f>
        <v>-200000</v>
      </c>
      <c r="G12" s="11" t="n">
        <f aca="false">G9-G11-G10</f>
        <v>-200000</v>
      </c>
      <c r="H12" s="11" t="n">
        <f aca="false">H9-H11-H10</f>
        <v>-200000</v>
      </c>
      <c r="I12" s="11" t="n">
        <f aca="false">I9-I11-I10</f>
        <v>-200000</v>
      </c>
      <c r="J12" s="11" t="n">
        <f aca="false">J9-J11-J10</f>
        <v>-200000</v>
      </c>
      <c r="K12" s="11" t="n">
        <f aca="false">K9-K11-K10</f>
        <v>-200000</v>
      </c>
      <c r="L12" s="11" t="n">
        <f aca="false">L9-L11-L10</f>
        <v>-200112.852454263</v>
      </c>
      <c r="M12" s="11" t="n">
        <f aca="false">M9-M11-M10</f>
        <v>-200277.875337197</v>
      </c>
      <c r="N12" s="11" t="n">
        <f aca="false">N9-N11-N10</f>
        <v>-200470.726490754</v>
      </c>
      <c r="O12" s="11" t="n">
        <f aca="false">O9-O11-O10</f>
        <v>-200684.209337994</v>
      </c>
      <c r="P12" s="11" t="n">
        <f aca="false">P9-P11-P10</f>
        <v>-200914.475372275</v>
      </c>
      <c r="Q12" s="11" t="n">
        <f aca="false">Q9-Q11-Q10</f>
        <v>-201159.064578611</v>
      </c>
      <c r="R12" s="11" t="n">
        <f aca="false">R9-R11-R10</f>
        <v>-201416.245230745</v>
      </c>
      <c r="S12" s="11" t="n">
        <f aca="false">S9-S11-S10</f>
        <v>-201684.721008059</v>
      </c>
      <c r="T12" s="11" t="n">
        <f aca="false">T9-T11-T10</f>
        <v>-201963.479044777</v>
      </c>
      <c r="U12" s="11" t="n">
        <f aca="false">U9-U11-U10</f>
        <v>-202251.702491436</v>
      </c>
      <c r="V12" s="11" t="n">
        <f aca="false">V9-V11-V10</f>
        <v>-202548.716315409</v>
      </c>
      <c r="W12" s="11" t="n">
        <f aca="false">W9-W11-W10</f>
        <v>-202853.951761327</v>
      </c>
      <c r="X12" s="11" t="n">
        <f aca="false">X9-X11-X10</f>
        <v>-203166.921995226</v>
      </c>
      <c r="Y12" s="11" t="n">
        <f aca="false">Y9-Y11-Y10</f>
        <v>-203487.204807517</v>
      </c>
      <c r="Z12" s="11" t="n">
        <f aca="false">Z9-Z11-Z10</f>
        <v>-203814.429962395</v>
      </c>
      <c r="AA12" s="11" t="n">
        <f aca="false">AA9-AA11-AA10</f>
        <v>-204148.269714233</v>
      </c>
      <c r="AB12" s="11" t="n">
        <f aca="false">AB9-AB11-AB10</f>
        <v>-204488.431546937</v>
      </c>
      <c r="AC12" s="11" t="n">
        <f aca="false">AC9-AC11-AC10</f>
        <v>-204834.652513394</v>
      </c>
      <c r="AD12" s="11" t="n">
        <f aca="false">AD9-AD11-AD10</f>
        <v>-205186.694751991</v>
      </c>
      <c r="AE12" s="11" t="n">
        <f aca="false">AE9-AE11-AE10</f>
        <v>-205544.341885692</v>
      </c>
      <c r="AF12" s="11" t="n">
        <f aca="false">AF9-AF11-AF10</f>
        <v>-205907.39609402</v>
      </c>
      <c r="AG12" s="11" t="n">
        <f aca="false">AG9-AG11-AG10</f>
        <v>-206275.675705834</v>
      </c>
      <c r="AH12" s="11" t="n">
        <f aca="false">AH9-AH11-AH10</f>
        <v>-206649.013200585</v>
      </c>
      <c r="AI12" s="11" t="n">
        <f aca="false">AI9-AI11-AI10</f>
        <v>-207027.253533826</v>
      </c>
      <c r="AJ12" s="11" t="n">
        <f aca="false">AJ9-AJ11-AJ10</f>
        <v>-207410.252722952</v>
      </c>
      <c r="AK12" s="11" t="n">
        <f aca="false">AK9-AK11-AK10</f>
        <v>-207797.876643843</v>
      </c>
      <c r="AL12" s="11" t="n">
        <f aca="false">AL9-AL11-AL10</f>
        <v>-208190</v>
      </c>
      <c r="AM12" s="11" t="n">
        <f aca="false">SUM(C12:N12)</f>
        <v>-2200861.45428222</v>
      </c>
      <c r="AN12" s="11" t="n">
        <f aca="false">SUM(O12:Z12)</f>
        <v>-2425945.12190577</v>
      </c>
      <c r="AO12" s="11" t="n">
        <f aca="false">SUM(AA12:AL12)</f>
        <v>-2473459.85831331</v>
      </c>
      <c r="AP12" s="11" t="n">
        <f aca="false">SUM(C12:AL12)</f>
        <v>-7100266.43450129</v>
      </c>
    </row>
    <row r="13" customFormat="false" ht="15" hidden="false" customHeight="false" outlineLevel="0" collapsed="false">
      <c r="A13" s="0" t="s">
        <v>283</v>
      </c>
      <c r="B13" s="0" t="s">
        <v>284</v>
      </c>
      <c r="C13" s="10" t="n">
        <f aca="false">IF(AND(C$4&gt;=MAX(1,Допущения!$C$58-4),C$4&lt;Допущения!$C$58),Допущения!$C$66/(Допущения!$C$58-MAX(1,Допущения!$C$58-4)),0)</f>
        <v>0</v>
      </c>
      <c r="D13" s="10" t="n">
        <f aca="false">IF(AND(D$4&gt;=MAX(1,Допущения!$C$58-4),D$4&lt;Допущения!$C$58),Допущения!$C$66/(Допущения!$C$58-MAX(1,Допущения!$C$58-4)),0)</f>
        <v>0</v>
      </c>
      <c r="E13" s="10" t="n">
        <f aca="false">IF(AND(E$4&gt;=MAX(1,Допущения!$C$58-4),E$4&lt;Допущения!$C$58),Допущения!$C$66/(Допущения!$C$58-MAX(1,Допущения!$C$58-4)),0)</f>
        <v>0</v>
      </c>
      <c r="F13" s="10" t="n">
        <f aca="false">IF(AND(F$4&gt;=MAX(1,Допущения!$C$58-4),F$4&lt;Допущения!$C$58),Допущения!$C$66/(Допущения!$C$58-MAX(1,Допущения!$C$58-4)),0)</f>
        <v>0</v>
      </c>
      <c r="G13" s="10" t="n">
        <f aca="false">IF(AND(G$4&gt;=MAX(1,Допущения!$C$58-4),G$4&lt;Допущения!$C$58),Допущения!$C$66/(Допущения!$C$58-MAX(1,Допущения!$C$58-4)),0)</f>
        <v>0</v>
      </c>
      <c r="H13" s="10" t="n">
        <f aca="false">IF(AND(H$4&gt;=MAX(1,Допущения!$C$58-4),H$4&lt;Допущения!$C$58),Допущения!$C$66/(Допущения!$C$58-MAX(1,Допущения!$C$58-4)),0)</f>
        <v>375000</v>
      </c>
      <c r="I13" s="10" t="n">
        <f aca="false">IF(AND(I$4&gt;=MAX(1,Допущения!$C$58-4),I$4&lt;Допущения!$C$58),Допущения!$C$66/(Допущения!$C$58-MAX(1,Допущения!$C$58-4)),0)</f>
        <v>375000</v>
      </c>
      <c r="J13" s="10" t="n">
        <f aca="false">IF(AND(J$4&gt;=MAX(1,Допущения!$C$58-4),J$4&lt;Допущения!$C$58),Допущения!$C$66/(Допущения!$C$58-MAX(1,Допущения!$C$58-4)),0)</f>
        <v>375000</v>
      </c>
      <c r="K13" s="10" t="n">
        <f aca="false">IF(AND(K$4&gt;=MAX(1,Допущения!$C$58-4),K$4&lt;Допущения!$C$58),Допущения!$C$66/(Допущения!$C$58-MAX(1,Допущения!$C$58-4)),0)</f>
        <v>375000</v>
      </c>
      <c r="L13" s="10" t="n">
        <f aca="false">IF(AND(L$4&gt;=MAX(1,Допущения!$C$58-4),L$4&lt;Допущения!$C$58),Допущения!$C$66/(Допущения!$C$58-MAX(1,Допущения!$C$58-4)),0)</f>
        <v>0</v>
      </c>
      <c r="M13" s="10" t="n">
        <f aca="false">IF(AND(M$4&gt;=MAX(1,Допущения!$C$58-4),M$4&lt;Допущения!$C$58),Допущения!$C$66/(Допущения!$C$58-MAX(1,Допущения!$C$58-4)),0)</f>
        <v>0</v>
      </c>
      <c r="N13" s="10" t="n">
        <f aca="false">IF(AND(N$4&gt;=MAX(1,Допущения!$C$58-4),N$4&lt;Допущения!$C$58),Допущения!$C$66/(Допущения!$C$58-MAX(1,Допущения!$C$58-4)),0)</f>
        <v>0</v>
      </c>
      <c r="O13" s="10" t="n">
        <f aca="false">IF(AND(O$4&gt;=MAX(1,Допущения!$C$58-4),O$4&lt;Допущения!$C$58),Допущения!$C$66/(Допущения!$C$58-MAX(1,Допущения!$C$58-4)),0)</f>
        <v>0</v>
      </c>
      <c r="P13" s="10" t="n">
        <f aca="false">IF(AND(P$4&gt;=MAX(1,Допущения!$C$58-4),P$4&lt;Допущения!$C$58),Допущения!$C$66/(Допущения!$C$58-MAX(1,Допущения!$C$58-4)),0)</f>
        <v>0</v>
      </c>
      <c r="Q13" s="10" t="n">
        <f aca="false">IF(AND(Q$4&gt;=MAX(1,Допущения!$C$58-4),Q$4&lt;Допущения!$C$58),Допущения!$C$66/(Допущения!$C$58-MAX(1,Допущения!$C$58-4)),0)</f>
        <v>0</v>
      </c>
      <c r="R13" s="10" t="n">
        <f aca="false">IF(AND(R$4&gt;=MAX(1,Допущения!$C$58-4),R$4&lt;Допущения!$C$58),Допущения!$C$66/(Допущения!$C$58-MAX(1,Допущения!$C$58-4)),0)</f>
        <v>0</v>
      </c>
      <c r="S13" s="10" t="n">
        <f aca="false">IF(AND(S$4&gt;=MAX(1,Допущения!$C$58-4),S$4&lt;Допущения!$C$58),Допущения!$C$66/(Допущения!$C$58-MAX(1,Допущения!$C$58-4)),0)</f>
        <v>0</v>
      </c>
      <c r="T13" s="10" t="n">
        <f aca="false">IF(AND(T$4&gt;=MAX(1,Допущения!$C$58-4),T$4&lt;Допущения!$C$58),Допущения!$C$66/(Допущения!$C$58-MAX(1,Допущения!$C$58-4)),0)</f>
        <v>0</v>
      </c>
      <c r="U13" s="10" t="n">
        <f aca="false">IF(AND(U$4&gt;=MAX(1,Допущения!$C$58-4),U$4&lt;Допущения!$C$58),Допущения!$C$66/(Допущения!$C$58-MAX(1,Допущения!$C$58-4)),0)</f>
        <v>0</v>
      </c>
      <c r="V13" s="10" t="n">
        <f aca="false">IF(AND(V$4&gt;=MAX(1,Допущения!$C$58-4),V$4&lt;Допущения!$C$58),Допущения!$C$66/(Допущения!$C$58-MAX(1,Допущения!$C$58-4)),0)</f>
        <v>0</v>
      </c>
      <c r="W13" s="10" t="n">
        <f aca="false">IF(AND(W$4&gt;=MAX(1,Допущения!$C$58-4),W$4&lt;Допущения!$C$58),Допущения!$C$66/(Допущения!$C$58-MAX(1,Допущения!$C$58-4)),0)</f>
        <v>0</v>
      </c>
      <c r="X13" s="10" t="n">
        <f aca="false">IF(AND(X$4&gt;=MAX(1,Допущения!$C$58-4),X$4&lt;Допущения!$C$58),Допущения!$C$66/(Допущения!$C$58-MAX(1,Допущения!$C$58-4)),0)</f>
        <v>0</v>
      </c>
      <c r="Y13" s="10" t="n">
        <f aca="false">IF(AND(Y$4&gt;=MAX(1,Допущения!$C$58-4),Y$4&lt;Допущения!$C$58),Допущения!$C$66/(Допущения!$C$58-MAX(1,Допущения!$C$58-4)),0)</f>
        <v>0</v>
      </c>
      <c r="Z13" s="10" t="n">
        <f aca="false">IF(AND(Z$4&gt;=MAX(1,Допущения!$C$58-4),Z$4&lt;Допущения!$C$58),Допущения!$C$66/(Допущения!$C$58-MAX(1,Допущения!$C$58-4)),0)</f>
        <v>0</v>
      </c>
      <c r="AA13" s="10" t="n">
        <f aca="false">IF(AND(AA$4&gt;=MAX(1,Допущения!$C$58-4),AA$4&lt;Допущения!$C$58),Допущения!$C$66/(Допущения!$C$58-MAX(1,Допущения!$C$58-4)),0)</f>
        <v>0</v>
      </c>
      <c r="AB13" s="10" t="n">
        <f aca="false">IF(AND(AB$4&gt;=MAX(1,Допущения!$C$58-4),AB$4&lt;Допущения!$C$58),Допущения!$C$66/(Допущения!$C$58-MAX(1,Допущения!$C$58-4)),0)</f>
        <v>0</v>
      </c>
      <c r="AC13" s="10" t="n">
        <f aca="false">IF(AND(AC$4&gt;=MAX(1,Допущения!$C$58-4),AC$4&lt;Допущения!$C$58),Допущения!$C$66/(Допущения!$C$58-MAX(1,Допущения!$C$58-4)),0)</f>
        <v>0</v>
      </c>
      <c r="AD13" s="10" t="n">
        <f aca="false">IF(AND(AD$4&gt;=MAX(1,Допущения!$C$58-4),AD$4&lt;Допущения!$C$58),Допущения!$C$66/(Допущения!$C$58-MAX(1,Допущения!$C$58-4)),0)</f>
        <v>0</v>
      </c>
      <c r="AE13" s="10" t="n">
        <f aca="false">IF(AND(AE$4&gt;=MAX(1,Допущения!$C$58-4),AE$4&lt;Допущения!$C$58),Допущения!$C$66/(Допущения!$C$58-MAX(1,Допущения!$C$58-4)),0)</f>
        <v>0</v>
      </c>
      <c r="AF13" s="10" t="n">
        <f aca="false">IF(AND(AF$4&gt;=MAX(1,Допущения!$C$58-4),AF$4&lt;Допущения!$C$58),Допущения!$C$66/(Допущения!$C$58-MAX(1,Допущения!$C$58-4)),0)</f>
        <v>0</v>
      </c>
      <c r="AG13" s="10" t="n">
        <f aca="false">IF(AND(AG$4&gt;=MAX(1,Допущения!$C$58-4),AG$4&lt;Допущения!$C$58),Допущения!$C$66/(Допущения!$C$58-MAX(1,Допущения!$C$58-4)),0)</f>
        <v>0</v>
      </c>
      <c r="AH13" s="10" t="n">
        <f aca="false">IF(AND(AH$4&gt;=MAX(1,Допущения!$C$58-4),AH$4&lt;Допущения!$C$58),Допущения!$C$66/(Допущения!$C$58-MAX(1,Допущения!$C$58-4)),0)</f>
        <v>0</v>
      </c>
      <c r="AI13" s="10" t="n">
        <f aca="false">IF(AND(AI$4&gt;=MAX(1,Допущения!$C$58-4),AI$4&lt;Допущения!$C$58),Допущения!$C$66/(Допущения!$C$58-MAX(1,Допущения!$C$58-4)),0)</f>
        <v>0</v>
      </c>
      <c r="AJ13" s="10" t="n">
        <f aca="false">IF(AND(AJ$4&gt;=MAX(1,Допущения!$C$58-4),AJ$4&lt;Допущения!$C$58),Допущения!$C$66/(Допущения!$C$58-MAX(1,Допущения!$C$58-4)),0)</f>
        <v>0</v>
      </c>
      <c r="AK13" s="10" t="n">
        <f aca="false">IF(AND(AK$4&gt;=MAX(1,Допущения!$C$58-4),AK$4&lt;Допущения!$C$58),Допущения!$C$66/(Допущения!$C$58-MAX(1,Допущения!$C$58-4)),0)</f>
        <v>0</v>
      </c>
      <c r="AL13" s="10" t="n">
        <f aca="false">IF(AND(AL$4&gt;=MAX(1,Допущения!$C$58-4),AL$4&lt;Допущения!$C$58),Допущения!$C$66/(Допущения!$C$58-MAX(1,Допущения!$C$58-4)),0)</f>
        <v>0</v>
      </c>
      <c r="AM13" s="10" t="n">
        <f aca="false">SUM(C13:N13)</f>
        <v>1500000</v>
      </c>
      <c r="AN13" s="10" t="n">
        <f aca="false">SUM(O13:Z13)</f>
        <v>0</v>
      </c>
      <c r="AO13" s="10" t="n">
        <f aca="false">SUM(AA13:AL13)</f>
        <v>0</v>
      </c>
      <c r="AP13" s="10" t="n">
        <f aca="false">SUM(C13:AL13)</f>
        <v>1500000</v>
      </c>
    </row>
    <row r="14" customFormat="false" ht="15" hidden="false" customHeight="false" outlineLevel="0" collapsed="false">
      <c r="A14" s="1" t="s">
        <v>285</v>
      </c>
      <c r="B14" s="1" t="s">
        <v>286</v>
      </c>
      <c r="C14" s="11" t="n">
        <f aca="false">C12-C13</f>
        <v>0</v>
      </c>
      <c r="D14" s="11" t="n">
        <f aca="false">D12-D13</f>
        <v>-200000</v>
      </c>
      <c r="E14" s="11" t="n">
        <f aca="false">E12-E13</f>
        <v>-200000</v>
      </c>
      <c r="F14" s="11" t="n">
        <f aca="false">F12-F13</f>
        <v>-200000</v>
      </c>
      <c r="G14" s="11" t="n">
        <f aca="false">G12-G13</f>
        <v>-200000</v>
      </c>
      <c r="H14" s="11" t="n">
        <f aca="false">H12-H13</f>
        <v>-575000</v>
      </c>
      <c r="I14" s="11" t="n">
        <f aca="false">I12-I13</f>
        <v>-575000</v>
      </c>
      <c r="J14" s="11" t="n">
        <f aca="false">J12-J13</f>
        <v>-575000</v>
      </c>
      <c r="K14" s="11" t="n">
        <f aca="false">K12-K13</f>
        <v>-575000</v>
      </c>
      <c r="L14" s="11" t="n">
        <f aca="false">L12-L13</f>
        <v>-200112.852454263</v>
      </c>
      <c r="M14" s="11" t="n">
        <f aca="false">M12-M13</f>
        <v>-200277.875337197</v>
      </c>
      <c r="N14" s="11" t="n">
        <f aca="false">N12-N13</f>
        <v>-200470.726490754</v>
      </c>
      <c r="O14" s="11" t="n">
        <f aca="false">O12-O13</f>
        <v>-200684.209337994</v>
      </c>
      <c r="P14" s="11" t="n">
        <f aca="false">P12-P13</f>
        <v>-200914.475372275</v>
      </c>
      <c r="Q14" s="11" t="n">
        <f aca="false">Q12-Q13</f>
        <v>-201159.064578611</v>
      </c>
      <c r="R14" s="11" t="n">
        <f aca="false">R12-R13</f>
        <v>-201416.245230745</v>
      </c>
      <c r="S14" s="11" t="n">
        <f aca="false">S12-S13</f>
        <v>-201684.721008059</v>
      </c>
      <c r="T14" s="11" t="n">
        <f aca="false">T12-T13</f>
        <v>-201963.479044777</v>
      </c>
      <c r="U14" s="11" t="n">
        <f aca="false">U12-U13</f>
        <v>-202251.702491436</v>
      </c>
      <c r="V14" s="11" t="n">
        <f aca="false">V12-V13</f>
        <v>-202548.716315409</v>
      </c>
      <c r="W14" s="11" t="n">
        <f aca="false">W12-W13</f>
        <v>-202853.951761327</v>
      </c>
      <c r="X14" s="11" t="n">
        <f aca="false">X12-X13</f>
        <v>-203166.921995226</v>
      </c>
      <c r="Y14" s="11" t="n">
        <f aca="false">Y12-Y13</f>
        <v>-203487.204807517</v>
      </c>
      <c r="Z14" s="11" t="n">
        <f aca="false">Z12-Z13</f>
        <v>-203814.429962395</v>
      </c>
      <c r="AA14" s="11" t="n">
        <f aca="false">AA12-AA13</f>
        <v>-204148.269714233</v>
      </c>
      <c r="AB14" s="11" t="n">
        <f aca="false">AB12-AB13</f>
        <v>-204488.431546937</v>
      </c>
      <c r="AC14" s="11" t="n">
        <f aca="false">AC12-AC13</f>
        <v>-204834.652513394</v>
      </c>
      <c r="AD14" s="11" t="n">
        <f aca="false">AD12-AD13</f>
        <v>-205186.694751991</v>
      </c>
      <c r="AE14" s="11" t="n">
        <f aca="false">AE12-AE13</f>
        <v>-205544.341885692</v>
      </c>
      <c r="AF14" s="11" t="n">
        <f aca="false">AF12-AF13</f>
        <v>-205907.39609402</v>
      </c>
      <c r="AG14" s="11" t="n">
        <f aca="false">AG12-AG13</f>
        <v>-206275.675705834</v>
      </c>
      <c r="AH14" s="11" t="n">
        <f aca="false">AH12-AH13</f>
        <v>-206649.013200585</v>
      </c>
      <c r="AI14" s="11" t="n">
        <f aca="false">AI12-AI13</f>
        <v>-207027.253533826</v>
      </c>
      <c r="AJ14" s="11" t="n">
        <f aca="false">AJ12-AJ13</f>
        <v>-207410.252722952</v>
      </c>
      <c r="AK14" s="11" t="n">
        <f aca="false">AK12-AK13</f>
        <v>-207797.876643843</v>
      </c>
      <c r="AL14" s="11" t="n">
        <f aca="false">AL12-AL13</f>
        <v>-208190</v>
      </c>
      <c r="AM14" s="11" t="n">
        <f aca="false">SUM(C14:N14)</f>
        <v>-3700861.45428222</v>
      </c>
      <c r="AN14" s="11" t="n">
        <f aca="false">SUM(O14:Z14)</f>
        <v>-2425945.12190577</v>
      </c>
      <c r="AO14" s="11" t="n">
        <f aca="false">SUM(AA14:AL14)</f>
        <v>-2473459.85831331</v>
      </c>
      <c r="AP14" s="11" t="n">
        <f aca="false">SUM(C14:AL14)</f>
        <v>-8600266.43450129</v>
      </c>
    </row>
    <row r="15" customFormat="false" ht="15" hidden="false" customHeight="false" outlineLevel="0" collapsed="false">
      <c r="A15" s="1" t="s">
        <v>287</v>
      </c>
      <c r="B15" s="1" t="s">
        <v>288</v>
      </c>
      <c r="C15" s="11" t="n">
        <f aca="false">0+C14</f>
        <v>0</v>
      </c>
      <c r="D15" s="11" t="n">
        <f aca="false">C15+D14</f>
        <v>-200000</v>
      </c>
      <c r="E15" s="11" t="n">
        <f aca="false">D15+E14</f>
        <v>-400000</v>
      </c>
      <c r="F15" s="11" t="n">
        <f aca="false">E15+F14</f>
        <v>-600000</v>
      </c>
      <c r="G15" s="11" t="n">
        <f aca="false">F15+G14</f>
        <v>-800000</v>
      </c>
      <c r="H15" s="11" t="n">
        <f aca="false">G15+H14</f>
        <v>-1375000</v>
      </c>
      <c r="I15" s="11" t="n">
        <f aca="false">H15+I14</f>
        <v>-1950000</v>
      </c>
      <c r="J15" s="11" t="n">
        <f aca="false">I15+J14</f>
        <v>-2525000</v>
      </c>
      <c r="K15" s="11" t="n">
        <f aca="false">J15+K14</f>
        <v>-3100000</v>
      </c>
      <c r="L15" s="11" t="n">
        <f aca="false">K15+L14</f>
        <v>-3300112.85245426</v>
      </c>
      <c r="M15" s="11" t="n">
        <f aca="false">L15+M14</f>
        <v>-3500390.72779146</v>
      </c>
      <c r="N15" s="11" t="n">
        <f aca="false">M15+N14</f>
        <v>-3700861.45428222</v>
      </c>
      <c r="O15" s="11" t="n">
        <f aca="false">N15+O14</f>
        <v>-3901545.66362021</v>
      </c>
      <c r="P15" s="11" t="n">
        <f aca="false">O15+P14</f>
        <v>-4102460.13899248</v>
      </c>
      <c r="Q15" s="11" t="n">
        <f aca="false">P15+Q14</f>
        <v>-4303619.20357109</v>
      </c>
      <c r="R15" s="11" t="n">
        <f aca="false">Q15+R14</f>
        <v>-4505035.44880184</v>
      </c>
      <c r="S15" s="11" t="n">
        <f aca="false">R15+S14</f>
        <v>-4706720.1698099</v>
      </c>
      <c r="T15" s="11" t="n">
        <f aca="false">S15+T14</f>
        <v>-4908683.64885468</v>
      </c>
      <c r="U15" s="11" t="n">
        <f aca="false">T15+U14</f>
        <v>-5110935.35134611</v>
      </c>
      <c r="V15" s="11" t="n">
        <f aca="false">U15+V14</f>
        <v>-5313484.06766152</v>
      </c>
      <c r="W15" s="11" t="n">
        <f aca="false">V15+W14</f>
        <v>-5516338.01942285</v>
      </c>
      <c r="X15" s="11" t="n">
        <f aca="false">W15+X14</f>
        <v>-5719504.94141807</v>
      </c>
      <c r="Y15" s="11" t="n">
        <f aca="false">X15+Y14</f>
        <v>-5922992.14622559</v>
      </c>
      <c r="Z15" s="11" t="n">
        <f aca="false">Y15+Z14</f>
        <v>-6126806.57618799</v>
      </c>
      <c r="AA15" s="11" t="n">
        <f aca="false">Z15+AA14</f>
        <v>-6330954.84590222</v>
      </c>
      <c r="AB15" s="11" t="n">
        <f aca="false">AA15+AB14</f>
        <v>-6535443.27744916</v>
      </c>
      <c r="AC15" s="11" t="n">
        <f aca="false">AB15+AC14</f>
        <v>-6740277.92996255</v>
      </c>
      <c r="AD15" s="11" t="n">
        <f aca="false">AC15+AD14</f>
        <v>-6945464.62471454</v>
      </c>
      <c r="AE15" s="11" t="n">
        <f aca="false">AD15+AE14</f>
        <v>-7151008.96660023</v>
      </c>
      <c r="AF15" s="11" t="n">
        <f aca="false">AE15+AF14</f>
        <v>-7356916.36269425</v>
      </c>
      <c r="AG15" s="11" t="n">
        <f aca="false">AF15+AG14</f>
        <v>-7563192.03840009</v>
      </c>
      <c r="AH15" s="11" t="n">
        <f aca="false">AG15+AH14</f>
        <v>-7769841.05160067</v>
      </c>
      <c r="AI15" s="11" t="n">
        <f aca="false">AH15+AI14</f>
        <v>-7976868.3051345</v>
      </c>
      <c r="AJ15" s="11" t="n">
        <f aca="false">AI15+AJ14</f>
        <v>-8184278.55785745</v>
      </c>
      <c r="AK15" s="11" t="n">
        <f aca="false">AJ15+AK14</f>
        <v>-8392076.43450129</v>
      </c>
      <c r="AL15" s="11" t="n">
        <f aca="false">AK15+AL14</f>
        <v>-8600266.43450129</v>
      </c>
      <c r="AM15" s="11" t="n">
        <f aca="false">N15</f>
        <v>-3700861.45428222</v>
      </c>
      <c r="AN15" s="11" t="n">
        <f aca="false">Z15</f>
        <v>-6126806.57618799</v>
      </c>
      <c r="AO15" s="11" t="n">
        <f aca="false">AL15</f>
        <v>-8600266.43450129</v>
      </c>
      <c r="AP15" s="1"/>
    </row>
    <row r="16" customFormat="false" ht="15" hidden="false" customHeight="false" outlineLevel="0" collapsed="false">
      <c r="A16" s="0" t="s">
        <v>289</v>
      </c>
      <c r="B16" s="0" t="s">
        <v>290</v>
      </c>
      <c r="C16" s="0" t="n">
        <f aca="false">IF(AND(C12&gt;0,COUNTIF(C12:AL12,"&lt;=0")=0),C$4,99)</f>
        <v>99</v>
      </c>
      <c r="D16" s="0" t="n">
        <f aca="false">IF(AND(D12&gt;0,COUNTIF(D12:AL12,"&lt;=0")=0),D$4,99)</f>
        <v>99</v>
      </c>
      <c r="E16" s="0" t="n">
        <f aca="false">IF(AND(E12&gt;0,COUNTIF(E12:AL12,"&lt;=0")=0),E$4,99)</f>
        <v>99</v>
      </c>
      <c r="F16" s="0" t="n">
        <f aca="false">IF(AND(F12&gt;0,COUNTIF(F12:AL12,"&lt;=0")=0),F$4,99)</f>
        <v>99</v>
      </c>
      <c r="G16" s="0" t="n">
        <f aca="false">IF(AND(G12&gt;0,COUNTIF(G12:AL12,"&lt;=0")=0),G$4,99)</f>
        <v>99</v>
      </c>
      <c r="H16" s="0" t="n">
        <f aca="false">IF(AND(H12&gt;0,COUNTIF(H12:AL12,"&lt;=0")=0),H$4,99)</f>
        <v>99</v>
      </c>
      <c r="I16" s="0" t="n">
        <f aca="false">IF(AND(I12&gt;0,COUNTIF(I12:AL12,"&lt;=0")=0),I$4,99)</f>
        <v>99</v>
      </c>
      <c r="J16" s="0" t="n">
        <f aca="false">IF(AND(J12&gt;0,COUNTIF(J12:AL12,"&lt;=0")=0),J$4,99)</f>
        <v>99</v>
      </c>
      <c r="K16" s="0" t="n">
        <f aca="false">IF(AND(K12&gt;0,COUNTIF(K12:AL12,"&lt;=0")=0),K$4,99)</f>
        <v>99</v>
      </c>
      <c r="L16" s="0" t="n">
        <f aca="false">IF(AND(L12&gt;0,COUNTIF(L12:AL12,"&lt;=0")=0),L$4,99)</f>
        <v>99</v>
      </c>
      <c r="M16" s="0" t="n">
        <f aca="false">IF(AND(M12&gt;0,COUNTIF(M12:AL12,"&lt;=0")=0),M$4,99)</f>
        <v>99</v>
      </c>
      <c r="N16" s="0" t="n">
        <f aca="false">IF(AND(N12&gt;0,COUNTIF(N12:AL12,"&lt;=0")=0),N$4,99)</f>
        <v>99</v>
      </c>
      <c r="O16" s="0" t="n">
        <f aca="false">IF(AND(O12&gt;0,COUNTIF(O12:AL12,"&lt;=0")=0),O$4,99)</f>
        <v>99</v>
      </c>
      <c r="P16" s="0" t="n">
        <f aca="false">IF(AND(P12&gt;0,COUNTIF(P12:AL12,"&lt;=0")=0),P$4,99)</f>
        <v>99</v>
      </c>
      <c r="Q16" s="0" t="n">
        <f aca="false">IF(AND(Q12&gt;0,COUNTIF(Q12:AL12,"&lt;=0")=0),Q$4,99)</f>
        <v>99</v>
      </c>
      <c r="R16" s="0" t="n">
        <f aca="false">IF(AND(R12&gt;0,COUNTIF(R12:AL12,"&lt;=0")=0),R$4,99)</f>
        <v>99</v>
      </c>
      <c r="S16" s="0" t="n">
        <f aca="false">IF(AND(S12&gt;0,COUNTIF(S12:AL12,"&lt;=0")=0),S$4,99)</f>
        <v>99</v>
      </c>
      <c r="T16" s="0" t="n">
        <f aca="false">IF(AND(T12&gt;0,COUNTIF(T12:AL12,"&lt;=0")=0),T$4,99)</f>
        <v>99</v>
      </c>
      <c r="U16" s="0" t="n">
        <f aca="false">IF(AND(U12&gt;0,COUNTIF(U12:AL12,"&lt;=0")=0),U$4,99)</f>
        <v>99</v>
      </c>
      <c r="V16" s="0" t="n">
        <f aca="false">IF(AND(V12&gt;0,COUNTIF(V12:AL12,"&lt;=0")=0),V$4,99)</f>
        <v>99</v>
      </c>
      <c r="W16" s="0" t="n">
        <f aca="false">IF(AND(W12&gt;0,COUNTIF(W12:AL12,"&lt;=0")=0),W$4,99)</f>
        <v>99</v>
      </c>
      <c r="X16" s="0" t="n">
        <f aca="false">IF(AND(X12&gt;0,COUNTIF(X12:AL12,"&lt;=0")=0),X$4,99)</f>
        <v>99</v>
      </c>
      <c r="Y16" s="0" t="n">
        <f aca="false">IF(AND(Y12&gt;0,COUNTIF(Y12:AL12,"&lt;=0")=0),Y$4,99)</f>
        <v>99</v>
      </c>
      <c r="Z16" s="0" t="n">
        <f aca="false">IF(AND(Z12&gt;0,COUNTIF(Z12:AL12,"&lt;=0")=0),Z$4,99)</f>
        <v>99</v>
      </c>
      <c r="AA16" s="0" t="n">
        <f aca="false">IF(AND(AA12&gt;0,COUNTIF(AA12:AL12,"&lt;=0")=0),AA$4,99)</f>
        <v>99</v>
      </c>
      <c r="AB16" s="0" t="n">
        <f aca="false">IF(AND(AB12&gt;0,COUNTIF(AB12:AL12,"&lt;=0")=0),AB$4,99)</f>
        <v>99</v>
      </c>
      <c r="AC16" s="0" t="n">
        <f aca="false">IF(AND(AC12&gt;0,COUNTIF(AC12:AL12,"&lt;=0")=0),AC$4,99)</f>
        <v>99</v>
      </c>
      <c r="AD16" s="0" t="n">
        <f aca="false">IF(AND(AD12&gt;0,COUNTIF(AD12:AL12,"&lt;=0")=0),AD$4,99)</f>
        <v>99</v>
      </c>
      <c r="AE16" s="0" t="n">
        <f aca="false">IF(AND(AE12&gt;0,COUNTIF(AE12:AL12,"&lt;=0")=0),AE$4,99)</f>
        <v>99</v>
      </c>
      <c r="AF16" s="0" t="n">
        <f aca="false">IF(AND(AF12&gt;0,COUNTIF(AF12:AL12,"&lt;=0")=0),AF$4,99)</f>
        <v>99</v>
      </c>
      <c r="AG16" s="0" t="n">
        <f aca="false">IF(AND(AG12&gt;0,COUNTIF(AG12:AL12,"&lt;=0")=0),AG$4,99)</f>
        <v>99</v>
      </c>
      <c r="AH16" s="0" t="n">
        <f aca="false">IF(AND(AH12&gt;0,COUNTIF(AH12:AL12,"&lt;=0")=0),AH$4,99)</f>
        <v>99</v>
      </c>
      <c r="AI16" s="0" t="n">
        <f aca="false">IF(AND(AI12&gt;0,COUNTIF(AI12:AL12,"&lt;=0")=0),AI$4,99)</f>
        <v>99</v>
      </c>
      <c r="AJ16" s="0" t="n">
        <f aca="false">IF(AND(AJ12&gt;0,COUNTIF(AJ12:AL12,"&lt;=0")=0),AJ$4,99)</f>
        <v>99</v>
      </c>
      <c r="AK16" s="0" t="n">
        <f aca="false">IF(AND(AK12&gt;0,COUNTIF(AK12:AL12,"&lt;=0")=0),AK$4,99)</f>
        <v>99</v>
      </c>
      <c r="AL16" s="0" t="n">
        <f aca="false">IF(AND(AL12&gt;0,COUNTIF(AL12:AL12,"&lt;=0")=0),AL$4,99)</f>
        <v>99</v>
      </c>
    </row>
    <row r="17" customFormat="false" ht="15" hidden="false" customHeight="false" outlineLevel="0" collapsed="false">
      <c r="A17" s="0" t="s">
        <v>291</v>
      </c>
      <c r="B17" s="0" t="s">
        <v>292</v>
      </c>
      <c r="C17" s="0" t="n">
        <f aca="false">IF(AND(C15&gt;=0,COUNTIF(C15:AL15,"&lt;0")=0),C$4,99)</f>
        <v>99</v>
      </c>
      <c r="D17" s="0" t="n">
        <f aca="false">IF(AND(D15&gt;=0,COUNTIF(D15:AL15,"&lt;0")=0),D$4,99)</f>
        <v>99</v>
      </c>
      <c r="E17" s="0" t="n">
        <f aca="false">IF(AND(E15&gt;=0,COUNTIF(E15:AL15,"&lt;0")=0),E$4,99)</f>
        <v>99</v>
      </c>
      <c r="F17" s="0" t="n">
        <f aca="false">IF(AND(F15&gt;=0,COUNTIF(F15:AL15,"&lt;0")=0),F$4,99)</f>
        <v>99</v>
      </c>
      <c r="G17" s="0" t="n">
        <f aca="false">IF(AND(G15&gt;=0,COUNTIF(G15:AL15,"&lt;0")=0),G$4,99)</f>
        <v>99</v>
      </c>
      <c r="H17" s="0" t="n">
        <f aca="false">IF(AND(H15&gt;=0,COUNTIF(H15:AL15,"&lt;0")=0),H$4,99)</f>
        <v>99</v>
      </c>
      <c r="I17" s="0" t="n">
        <f aca="false">IF(AND(I15&gt;=0,COUNTIF(I15:AL15,"&lt;0")=0),I$4,99)</f>
        <v>99</v>
      </c>
      <c r="J17" s="0" t="n">
        <f aca="false">IF(AND(J15&gt;=0,COUNTIF(J15:AL15,"&lt;0")=0),J$4,99)</f>
        <v>99</v>
      </c>
      <c r="K17" s="0" t="n">
        <f aca="false">IF(AND(K15&gt;=0,COUNTIF(K15:AL15,"&lt;0")=0),K$4,99)</f>
        <v>99</v>
      </c>
      <c r="L17" s="0" t="n">
        <f aca="false">IF(AND(L15&gt;=0,COUNTIF(L15:AL15,"&lt;0")=0),L$4,99)</f>
        <v>99</v>
      </c>
      <c r="M17" s="0" t="n">
        <f aca="false">IF(AND(M15&gt;=0,COUNTIF(M15:AL15,"&lt;0")=0),M$4,99)</f>
        <v>99</v>
      </c>
      <c r="N17" s="0" t="n">
        <f aca="false">IF(AND(N15&gt;=0,COUNTIF(N15:AL15,"&lt;0")=0),N$4,99)</f>
        <v>99</v>
      </c>
      <c r="O17" s="0" t="n">
        <f aca="false">IF(AND(O15&gt;=0,COUNTIF(O15:AL15,"&lt;0")=0),O$4,99)</f>
        <v>99</v>
      </c>
      <c r="P17" s="0" t="n">
        <f aca="false">IF(AND(P15&gt;=0,COUNTIF(P15:AL15,"&lt;0")=0),P$4,99)</f>
        <v>99</v>
      </c>
      <c r="Q17" s="0" t="n">
        <f aca="false">IF(AND(Q15&gt;=0,COUNTIF(Q15:AL15,"&lt;0")=0),Q$4,99)</f>
        <v>99</v>
      </c>
      <c r="R17" s="0" t="n">
        <f aca="false">IF(AND(R15&gt;=0,COUNTIF(R15:AL15,"&lt;0")=0),R$4,99)</f>
        <v>99</v>
      </c>
      <c r="S17" s="0" t="n">
        <f aca="false">IF(AND(S15&gt;=0,COUNTIF(S15:AL15,"&lt;0")=0),S$4,99)</f>
        <v>99</v>
      </c>
      <c r="T17" s="0" t="n">
        <f aca="false">IF(AND(T15&gt;=0,COUNTIF(T15:AL15,"&lt;0")=0),T$4,99)</f>
        <v>99</v>
      </c>
      <c r="U17" s="0" t="n">
        <f aca="false">IF(AND(U15&gt;=0,COUNTIF(U15:AL15,"&lt;0")=0),U$4,99)</f>
        <v>99</v>
      </c>
      <c r="V17" s="0" t="n">
        <f aca="false">IF(AND(V15&gt;=0,COUNTIF(V15:AL15,"&lt;0")=0),V$4,99)</f>
        <v>99</v>
      </c>
      <c r="W17" s="0" t="n">
        <f aca="false">IF(AND(W15&gt;=0,COUNTIF(W15:AL15,"&lt;0")=0),W$4,99)</f>
        <v>99</v>
      </c>
      <c r="X17" s="0" t="n">
        <f aca="false">IF(AND(X15&gt;=0,COUNTIF(X15:AL15,"&lt;0")=0),X$4,99)</f>
        <v>99</v>
      </c>
      <c r="Y17" s="0" t="n">
        <f aca="false">IF(AND(Y15&gt;=0,COUNTIF(Y15:AL15,"&lt;0")=0),Y$4,99)</f>
        <v>99</v>
      </c>
      <c r="Z17" s="0" t="n">
        <f aca="false">IF(AND(Z15&gt;=0,COUNTIF(Z15:AL15,"&lt;0")=0),Z$4,99)</f>
        <v>99</v>
      </c>
      <c r="AA17" s="0" t="n">
        <f aca="false">IF(AND(AA15&gt;=0,COUNTIF(AA15:AL15,"&lt;0")=0),AA$4,99)</f>
        <v>99</v>
      </c>
      <c r="AB17" s="0" t="n">
        <f aca="false">IF(AND(AB15&gt;=0,COUNTIF(AB15:AL15,"&lt;0")=0),AB$4,99)</f>
        <v>99</v>
      </c>
      <c r="AC17" s="0" t="n">
        <f aca="false">IF(AND(AC15&gt;=0,COUNTIF(AC15:AL15,"&lt;0")=0),AC$4,99)</f>
        <v>99</v>
      </c>
      <c r="AD17" s="0" t="n">
        <f aca="false">IF(AND(AD15&gt;=0,COUNTIF(AD15:AL15,"&lt;0")=0),AD$4,99)</f>
        <v>99</v>
      </c>
      <c r="AE17" s="0" t="n">
        <f aca="false">IF(AND(AE15&gt;=0,COUNTIF(AE15:AL15,"&lt;0")=0),AE$4,99)</f>
        <v>99</v>
      </c>
      <c r="AF17" s="0" t="n">
        <f aca="false">IF(AND(AF15&gt;=0,COUNTIF(AF15:AL15,"&lt;0")=0),AF$4,99)</f>
        <v>99</v>
      </c>
      <c r="AG17" s="0" t="n">
        <f aca="false">IF(AND(AG15&gt;=0,COUNTIF(AG15:AL15,"&lt;0")=0),AG$4,99)</f>
        <v>99</v>
      </c>
      <c r="AH17" s="0" t="n">
        <f aca="false">IF(AND(AH15&gt;=0,COUNTIF(AH15:AL15,"&lt;0")=0),AH$4,99)</f>
        <v>99</v>
      </c>
      <c r="AI17" s="0" t="n">
        <f aca="false">IF(AND(AI15&gt;=0,COUNTIF(AI15:AL15,"&lt;0")=0),AI$4,99)</f>
        <v>99</v>
      </c>
      <c r="AJ17" s="0" t="n">
        <f aca="false">IF(AND(AJ15&gt;=0,COUNTIF(AJ15:AL15,"&lt;0")=0),AJ$4,99)</f>
        <v>99</v>
      </c>
      <c r="AK17" s="0" t="n">
        <f aca="false">IF(AND(AK15&gt;=0,COUNTIF(AK15:AL15,"&lt;0")=0),AK$4,99)</f>
        <v>99</v>
      </c>
      <c r="AL17" s="0" t="n">
        <f aca="false">IF(AND(AL15&gt;=0,COUNTIF(AL15:AL15,"&lt;0")=0),AL$4,99)</f>
        <v>99</v>
      </c>
    </row>
    <row r="19" customFormat="false" ht="15" hidden="false" customHeight="false" outlineLevel="0" collapsed="false">
      <c r="A19" s="1" t="s">
        <v>293</v>
      </c>
      <c r="B19" s="1" t="s">
        <v>252</v>
      </c>
      <c r="C19" s="1" t="n">
        <v>1</v>
      </c>
      <c r="D19" s="1" t="n">
        <v>2</v>
      </c>
      <c r="E19" s="1" t="n">
        <v>3</v>
      </c>
      <c r="F19" s="1" t="n">
        <v>4</v>
      </c>
      <c r="G19" s="1" t="n">
        <v>5</v>
      </c>
      <c r="H19" s="1" t="n">
        <v>6</v>
      </c>
      <c r="I19" s="1" t="n">
        <v>7</v>
      </c>
      <c r="J19" s="1" t="n">
        <v>8</v>
      </c>
      <c r="K19" s="1" t="n">
        <v>9</v>
      </c>
      <c r="L19" s="1" t="n">
        <v>10</v>
      </c>
      <c r="M19" s="1" t="n">
        <v>11</v>
      </c>
      <c r="N19" s="1" t="n">
        <v>12</v>
      </c>
      <c r="O19" s="1" t="n">
        <v>13</v>
      </c>
      <c r="P19" s="1" t="n">
        <v>14</v>
      </c>
      <c r="Q19" s="1" t="n">
        <v>15</v>
      </c>
      <c r="R19" s="1" t="n">
        <v>16</v>
      </c>
      <c r="S19" s="1" t="n">
        <v>17</v>
      </c>
      <c r="T19" s="1" t="n">
        <v>18</v>
      </c>
      <c r="U19" s="1" t="n">
        <v>19</v>
      </c>
      <c r="V19" s="1" t="n">
        <v>20</v>
      </c>
      <c r="W19" s="1" t="n">
        <v>21</v>
      </c>
      <c r="X19" s="1" t="n">
        <v>22</v>
      </c>
      <c r="Y19" s="1" t="n">
        <v>23</v>
      </c>
      <c r="Z19" s="1" t="n">
        <v>24</v>
      </c>
      <c r="AA19" s="1" t="n">
        <v>25</v>
      </c>
      <c r="AB19" s="1" t="n">
        <v>26</v>
      </c>
      <c r="AC19" s="1" t="n">
        <v>27</v>
      </c>
      <c r="AD19" s="1" t="n">
        <v>28</v>
      </c>
      <c r="AE19" s="1" t="n">
        <v>29</v>
      </c>
      <c r="AF19" s="1" t="n">
        <v>30</v>
      </c>
      <c r="AG19" s="1" t="n">
        <v>31</v>
      </c>
      <c r="AH19" s="1" t="n">
        <v>32</v>
      </c>
      <c r="AI19" s="1" t="n">
        <v>33</v>
      </c>
      <c r="AJ19" s="1" t="n">
        <v>34</v>
      </c>
      <c r="AK19" s="1" t="n">
        <v>35</v>
      </c>
      <c r="AL19" s="1" t="n">
        <v>36</v>
      </c>
      <c r="AM19" s="1" t="s">
        <v>253</v>
      </c>
      <c r="AN19" s="1" t="s">
        <v>254</v>
      </c>
      <c r="AO19" s="1" t="s">
        <v>255</v>
      </c>
      <c r="AP19" s="1" t="s">
        <v>256</v>
      </c>
    </row>
    <row r="20" customFormat="false" ht="15" hidden="false" customHeight="false" outlineLevel="0" collapsed="false">
      <c r="A20" s="0" t="s">
        <v>319</v>
      </c>
      <c r="B20" s="0" t="s">
        <v>320</v>
      </c>
      <c r="C20" s="10" t="n">
        <f aca="false">Допущения!$D$61*IF(C$19&lt;Допущения!$D$58,0,((C$19-Допущения!$D$58+1)/(36-Допущения!$D$58+1))^Допущения!$D$67)</f>
        <v>0</v>
      </c>
      <c r="D20" s="10" t="n">
        <f aca="false">Допущения!$D$61*IF(D$19&lt;Допущения!$D$58,0,((D$19-Допущения!$D$58+1)/(36-Допущения!$D$58+1))^Допущения!$D$67)</f>
        <v>0</v>
      </c>
      <c r="E20" s="10" t="n">
        <f aca="false">Допущения!$D$61*IF(E$19&lt;Допущения!$D$58,0,((E$19-Допущения!$D$58+1)/(36-Допущения!$D$58+1))^Допущения!$D$67)</f>
        <v>0</v>
      </c>
      <c r="F20" s="10" t="n">
        <f aca="false">Допущения!$D$61*IF(F$19&lt;Допущения!$D$58,0,((F$19-Допущения!$D$58+1)/(36-Допущения!$D$58+1))^Допущения!$D$67)</f>
        <v>0</v>
      </c>
      <c r="G20" s="10" t="n">
        <f aca="false">Допущения!$D$61*IF(G$19&lt;Допущения!$D$58,0,((G$19-Допущения!$D$58+1)/(36-Допущения!$D$58+1))^Допущения!$D$67)</f>
        <v>0</v>
      </c>
      <c r="H20" s="10" t="n">
        <f aca="false">Допущения!$D$61*IF(H$19&lt;Допущения!$D$58,0,((H$19-Допущения!$D$58+1)/(36-Допущения!$D$58+1))^Допущения!$D$67)</f>
        <v>0</v>
      </c>
      <c r="I20" s="10" t="n">
        <f aca="false">Допущения!$D$61*IF(I$19&lt;Допущения!$D$58,0,((I$19-Допущения!$D$58+1)/(36-Допущения!$D$58+1))^Допущения!$D$67)</f>
        <v>3.37663789408079</v>
      </c>
      <c r="J20" s="10" t="n">
        <f aca="false">Допущения!$D$61*IF(J$19&lt;Допущения!$D$58,0,((J$19-Допущения!$D$58+1)/(36-Допущения!$D$58+1))^Допущения!$D$67)</f>
        <v>7.75747678870251</v>
      </c>
      <c r="K20" s="10" t="n">
        <f aca="false">Допущения!$D$61*IF(K$19&lt;Допущения!$D$58,0,((K$19-Допущения!$D$58+1)/(36-Допущения!$D$58+1))^Допущения!$D$67)</f>
        <v>12.6191468896039</v>
      </c>
      <c r="L20" s="10" t="n">
        <f aca="false">Допущения!$D$61*IF(L$19&lt;Допущения!$D$58,0,((L$19-Допущения!$D$58+1)/(36-Допущения!$D$58+1))^Допущения!$D$67)</f>
        <v>17.8220016522205</v>
      </c>
      <c r="M20" s="10" t="n">
        <f aca="false">Допущения!$D$61*IF(M$19&lt;Допущения!$D$58,0,((M$19-Допущения!$D$58+1)/(36-Допущения!$D$58+1))^Допущения!$D$67)</f>
        <v>23.294237292386</v>
      </c>
      <c r="N20" s="10" t="n">
        <f aca="false">Допущения!$D$61*IF(N$19&lt;Допущения!$D$58,0,((N$19-Допущения!$D$58+1)/(36-Допущения!$D$58+1))^Допущения!$D$67)</f>
        <v>28.9911865471078</v>
      </c>
      <c r="O20" s="10" t="n">
        <f aca="false">Допущения!$D$61*IF(O$19&lt;Допущения!$D$58,0,((O$19-Допущения!$D$58+1)/(36-Допущения!$D$58+1))^Допущения!$D$67)</f>
        <v>34.882061063553</v>
      </c>
      <c r="P20" s="10" t="n">
        <f aca="false">Допущения!$D$61*IF(P$19&lt;Допущения!$D$58,0,((P$19-Допущения!$D$58+1)/(36-Допущения!$D$58+1))^Допущения!$D$67)</f>
        <v>40.9442079613203</v>
      </c>
      <c r="Q20" s="10" t="n">
        <f aca="false">Допущения!$D$61*IF(Q$19&lt;Допущения!$D$58,0,((Q$19-Допущения!$D$58+1)/(36-Допущения!$D$58+1))^Допущения!$D$67)</f>
        <v>47.1601851357974</v>
      </c>
      <c r="R20" s="10" t="n">
        <f aca="false">Допущения!$D$61*IF(R$19&lt;Допущения!$D$58,0,((R$19-Допущения!$D$58+1)/(36-Допущения!$D$58+1))^Допущения!$D$67)</f>
        <v>53.5161041173487</v>
      </c>
      <c r="S20" s="10" t="n">
        <f aca="false">Допущения!$D$61*IF(S$19&lt;Допущения!$D$58,0,((S$19-Допущения!$D$58+1)/(36-Допущения!$D$58+1))^Допущения!$D$67)</f>
        <v>60.0006164245301</v>
      </c>
      <c r="T20" s="10" t="n">
        <f aca="false">Допущения!$D$61*IF(T$19&lt;Допущения!$D$58,0,((T$19-Допущения!$D$58+1)/(36-Допущения!$D$58+1))^Допущения!$D$67)</f>
        <v>66.6042565921499</v>
      </c>
      <c r="U20" s="10" t="n">
        <f aca="false">Допущения!$D$61*IF(U$19&lt;Допущения!$D$58,0,((U$19-Допущения!$D$58+1)/(36-Допущения!$D$58+1))^Допущения!$D$67)</f>
        <v>73.3189965886302</v>
      </c>
      <c r="V20" s="10" t="n">
        <f aca="false">Допущения!$D$61*IF(V$19&lt;Допущения!$D$58,0,((V$19-Допущения!$D$58+1)/(36-Допущения!$D$58+1))^Допущения!$D$67)</f>
        <v>80.137932325219</v>
      </c>
      <c r="W20" s="10" t="n">
        <f aca="false">Допущения!$D$61*IF(W$19&lt;Допущения!$D$58,0,((W$19-Допущения!$D$58+1)/(36-Допущения!$D$58+1))^Допущения!$D$67)</f>
        <v>87.0550563296124</v>
      </c>
      <c r="X20" s="10" t="n">
        <f aca="false">Допущения!$D$61*IF(X$19&lt;Допущения!$D$58,0,((X$19-Допущения!$D$58+1)/(36-Допущения!$D$58+1))^Допущения!$D$67)</f>
        <v>94.0650886636502</v>
      </c>
      <c r="Y20" s="10" t="n">
        <f aca="false">Допущения!$D$61*IF(Y$19&lt;Допущения!$D$58,0,((Y$19-Допущения!$D$58+1)/(36-Допущения!$D$58+1))^Допущения!$D$67)</f>
        <v>101.163348412888</v>
      </c>
      <c r="Z20" s="10" t="n">
        <f aca="false">Допущения!$D$61*IF(Z$19&lt;Допущения!$D$58,0,((Z$19-Допущения!$D$58+1)/(36-Допущения!$D$58+1))^Допущения!$D$67)</f>
        <v>108.345654173692</v>
      </c>
      <c r="AA20" s="10" t="n">
        <f aca="false">Допущения!$D$61*IF(AA$19&lt;Допущения!$D$58,0,((AA$19-Допущения!$D$58+1)/(36-Допущения!$D$58+1))^Допущения!$D$67)</f>
        <v>115.608245731672</v>
      </c>
      <c r="AB20" s="10" t="n">
        <f aca="false">Допущения!$D$61*IF(AB$19&lt;Допущения!$D$58,0,((AB$19-Допущения!$D$58+1)/(36-Допущения!$D$58+1))^Допущения!$D$67)</f>
        <v>122.947721530897</v>
      </c>
      <c r="AC20" s="10" t="n">
        <f aca="false">Допущения!$D$61*IF(AC$19&lt;Допущения!$D$58,0,((AC$19-Допущения!$D$58+1)/(36-Допущения!$D$58+1))^Допущения!$D$67)</f>
        <v>130.360988113277</v>
      </c>
      <c r="AD20" s="10" t="n">
        <f aca="false">Допущения!$D$61*IF(AD$19&lt;Допущения!$D$58,0,((AD$19-Допущения!$D$58+1)/(36-Допущения!$D$58+1))^Допущения!$D$67)</f>
        <v>137.845218771332</v>
      </c>
      <c r="AE20" s="10" t="n">
        <f aca="false">Допущения!$D$61*IF(AE$19&lt;Допущения!$D$58,0,((AE$19-Допущения!$D$58+1)/(36-Допущения!$D$58+1))^Допущения!$D$67)</f>
        <v>145.397819389886</v>
      </c>
      <c r="AF20" s="10" t="n">
        <f aca="false">Допущения!$D$61*IF(AF$19&lt;Допущения!$D$58,0,((AF$19-Допущения!$D$58+1)/(36-Допущения!$D$58+1))^Допущения!$D$67)</f>
        <v>153.016399966406</v>
      </c>
      <c r="AG20" s="10" t="n">
        <f aca="false">Допущения!$D$61*IF(AG$19&lt;Допущения!$D$58,0,((AG$19-Допущения!$D$58+1)/(36-Допущения!$D$58+1))^Допущения!$D$67)</f>
        <v>160.698750667105</v>
      </c>
      <c r="AH20" s="10" t="n">
        <f aca="false">Допущения!$D$61*IF(AH$19&lt;Допущения!$D$58,0,((AH$19-Допущения!$D$58+1)/(36-Допущения!$D$58+1))^Допущения!$D$67)</f>
        <v>168.442821542786</v>
      </c>
      <c r="AI20" s="10" t="n">
        <f aca="false">Допущения!$D$61*IF(AI$19&lt;Допущения!$D$58,0,((AI$19-Допущения!$D$58+1)/(36-Допущения!$D$58+1))^Допущения!$D$67)</f>
        <v>176.246705224976</v>
      </c>
      <c r="AJ20" s="10" t="n">
        <f aca="false">Допущения!$D$61*IF(AJ$19&lt;Допущения!$D$58,0,((AJ$19-Допущения!$D$58+1)/(36-Допущения!$D$58+1))^Допущения!$D$67)</f>
        <v>184.108622069685</v>
      </c>
      <c r="AK20" s="10" t="n">
        <f aca="false">Допущения!$D$61*IF(AK$19&lt;Допущения!$D$58,0,((AK$19-Допущения!$D$58+1)/(36-Допущения!$D$58+1))^Допущения!$D$67)</f>
        <v>192.026907327064</v>
      </c>
      <c r="AL20" s="10" t="n">
        <f aca="false">Допущения!$D$61*IF(AL$19&lt;Допущения!$D$58,0,((AL$19-Допущения!$D$58+1)/(36-Допущения!$D$58+1))^Допущения!$D$67)</f>
        <v>200</v>
      </c>
      <c r="AM20" s="10" t="n">
        <f aca="false">SUM(C20:N20)</f>
        <v>93.8606870641015</v>
      </c>
      <c r="AN20" s="10" t="n">
        <f aca="false">SUM(O20:Z20)</f>
        <v>847.193507788391</v>
      </c>
      <c r="AO20" s="10" t="n">
        <f aca="false">SUM(AA20:AL20)</f>
        <v>1886.70020033509</v>
      </c>
      <c r="AP20" s="10" t="n">
        <f aca="false">SUM(C20:AL20)</f>
        <v>2827.75439518758</v>
      </c>
    </row>
    <row r="21" customFormat="false" ht="15" hidden="false" customHeight="false" outlineLevel="0" collapsed="false">
      <c r="A21" s="0" t="s">
        <v>321</v>
      </c>
      <c r="B21" s="0" t="s">
        <v>322</v>
      </c>
      <c r="C21" s="10" t="n">
        <f aca="false">Допущения!$D$63*IF(C$19&lt;Допущения!$D$58,0,((C$19-Допущения!$D$58+1)/(36-Допущения!$D$58+1))^Допущения!$D$67)</f>
        <v>0</v>
      </c>
      <c r="D21" s="10" t="n">
        <f aca="false">Допущения!$D$63*IF(D$19&lt;Допущения!$D$58,0,((D$19-Допущения!$D$58+1)/(36-Допущения!$D$58+1))^Допущения!$D$67)</f>
        <v>0</v>
      </c>
      <c r="E21" s="10" t="n">
        <f aca="false">Допущения!$D$63*IF(E$19&lt;Допущения!$D$58,0,((E$19-Допущения!$D$58+1)/(36-Допущения!$D$58+1))^Допущения!$D$67)</f>
        <v>0</v>
      </c>
      <c r="F21" s="10" t="n">
        <f aca="false">Допущения!$D$63*IF(F$19&lt;Допущения!$D$58,0,((F$19-Допущения!$D$58+1)/(36-Допущения!$D$58+1))^Допущения!$D$67)</f>
        <v>0</v>
      </c>
      <c r="G21" s="10" t="n">
        <f aca="false">Допущения!$D$63*IF(G$19&lt;Допущения!$D$58,0,((G$19-Допущения!$D$58+1)/(36-Допущения!$D$58+1))^Допущения!$D$67)</f>
        <v>0</v>
      </c>
      <c r="H21" s="10" t="n">
        <f aca="false">Допущения!$D$63*IF(H$19&lt;Допущения!$D$58,0,((H$19-Допущения!$D$58+1)/(36-Допущения!$D$58+1))^Допущения!$D$67)</f>
        <v>0</v>
      </c>
      <c r="I21" s="10" t="n">
        <f aca="false">Допущения!$D$63*IF(I$19&lt;Допущения!$D$58,0,((I$19-Допущения!$D$58+1)/(36-Допущения!$D$58+1))^Допущения!$D$67)</f>
        <v>10.1299136822424</v>
      </c>
      <c r="J21" s="10" t="n">
        <f aca="false">Допущения!$D$63*IF(J$19&lt;Допущения!$D$58,0,((J$19-Допущения!$D$58+1)/(36-Допущения!$D$58+1))^Допущения!$D$67)</f>
        <v>23.2724303661075</v>
      </c>
      <c r="K21" s="10" t="n">
        <f aca="false">Допущения!$D$63*IF(K$19&lt;Допущения!$D$58,0,((K$19-Допущения!$D$58+1)/(36-Допущения!$D$58+1))^Допущения!$D$67)</f>
        <v>37.8574406688116</v>
      </c>
      <c r="L21" s="10" t="n">
        <f aca="false">Допущения!$D$63*IF(L$19&lt;Допущения!$D$58,0,((L$19-Допущения!$D$58+1)/(36-Допущения!$D$58+1))^Допущения!$D$67)</f>
        <v>53.4660049566615</v>
      </c>
      <c r="M21" s="10" t="n">
        <f aca="false">Допущения!$D$63*IF(M$19&lt;Допущения!$D$58,0,((M$19-Допущения!$D$58+1)/(36-Допущения!$D$58+1))^Допущения!$D$67)</f>
        <v>69.8827118771579</v>
      </c>
      <c r="N21" s="10" t="n">
        <f aca="false">Допущения!$D$63*IF(N$19&lt;Допущения!$D$58,0,((N$19-Допущения!$D$58+1)/(36-Допущения!$D$58+1))^Допущения!$D$67)</f>
        <v>86.9735596413235</v>
      </c>
      <c r="O21" s="10" t="n">
        <f aca="false">Допущения!$D$63*IF(O$19&lt;Допущения!$D$58,0,((O$19-Допущения!$D$58+1)/(36-Допущения!$D$58+1))^Допущения!$D$67)</f>
        <v>104.646183190659</v>
      </c>
      <c r="P21" s="10" t="n">
        <f aca="false">Допущения!$D$63*IF(P$19&lt;Допущения!$D$58,0,((P$19-Допущения!$D$58+1)/(36-Допущения!$D$58+1))^Допущения!$D$67)</f>
        <v>122.832623883961</v>
      </c>
      <c r="Q21" s="10" t="n">
        <f aca="false">Допущения!$D$63*IF(Q$19&lt;Допущения!$D$58,0,((Q$19-Допущения!$D$58+1)/(36-Допущения!$D$58+1))^Допущения!$D$67)</f>
        <v>141.480555407392</v>
      </c>
      <c r="R21" s="10" t="n">
        <f aca="false">Допущения!$D$63*IF(R$19&lt;Допущения!$D$58,0,((R$19-Допущения!$D$58+1)/(36-Допущения!$D$58+1))^Допущения!$D$67)</f>
        <v>160.548312352046</v>
      </c>
      <c r="S21" s="10" t="n">
        <f aca="false">Допущения!$D$63*IF(S$19&lt;Допущения!$D$58,0,((S$19-Допущения!$D$58+1)/(36-Допущения!$D$58+1))^Допущения!$D$67)</f>
        <v>180.00184927359</v>
      </c>
      <c r="T21" s="10" t="n">
        <f aca="false">Допущения!$D$63*IF(T$19&lt;Допущения!$D$58,0,((T$19-Допущения!$D$58+1)/(36-Допущения!$D$58+1))^Допущения!$D$67)</f>
        <v>199.81276977645</v>
      </c>
      <c r="U21" s="10" t="n">
        <f aca="false">Допущения!$D$63*IF(U$19&lt;Допущения!$D$58,0,((U$19-Допущения!$D$58+1)/(36-Допущения!$D$58+1))^Допущения!$D$67)</f>
        <v>219.956989765891</v>
      </c>
      <c r="V21" s="10" t="n">
        <f aca="false">Допущения!$D$63*IF(V$19&lt;Допущения!$D$58,0,((V$19-Допущения!$D$58+1)/(36-Допущения!$D$58+1))^Допущения!$D$67)</f>
        <v>240.413796975657</v>
      </c>
      <c r="W21" s="10" t="n">
        <f aca="false">Допущения!$D$63*IF(W$19&lt;Допущения!$D$58,0,((W$19-Допущения!$D$58+1)/(36-Допущения!$D$58+1))^Допущения!$D$67)</f>
        <v>261.165168988837</v>
      </c>
      <c r="X21" s="10" t="n">
        <f aca="false">Допущения!$D$63*IF(X$19&lt;Допущения!$D$58,0,((X$19-Допущения!$D$58+1)/(36-Допущения!$D$58+1))^Допущения!$D$67)</f>
        <v>282.195265990951</v>
      </c>
      <c r="Y21" s="10" t="n">
        <f aca="false">Допущения!$D$63*IF(Y$19&lt;Допущения!$D$58,0,((Y$19-Допущения!$D$58+1)/(36-Допущения!$D$58+1))^Допущения!$D$67)</f>
        <v>303.490045238664</v>
      </c>
      <c r="Z21" s="10" t="n">
        <f aca="false">Допущения!$D$63*IF(Z$19&lt;Допущения!$D$58,0,((Z$19-Допущения!$D$58+1)/(36-Допущения!$D$58+1))^Допущения!$D$67)</f>
        <v>325.036962521076</v>
      </c>
      <c r="AA21" s="10" t="n">
        <f aca="false">Допущения!$D$63*IF(AA$19&lt;Допущения!$D$58,0,((AA$19-Допущения!$D$58+1)/(36-Допущения!$D$58+1))^Допущения!$D$67)</f>
        <v>346.824737195016</v>
      </c>
      <c r="AB21" s="10" t="n">
        <f aca="false">Допущения!$D$63*IF(AB$19&lt;Допущения!$D$58,0,((AB$19-Допущения!$D$58+1)/(36-Допущения!$D$58+1))^Допущения!$D$67)</f>
        <v>368.843164592691</v>
      </c>
      <c r="AC21" s="10" t="n">
        <f aca="false">Допущения!$D$63*IF(AC$19&lt;Допущения!$D$58,0,((AC$19-Допущения!$D$58+1)/(36-Допущения!$D$58+1))^Допущения!$D$67)</f>
        <v>391.082964339832</v>
      </c>
      <c r="AD21" s="10" t="n">
        <f aca="false">Допущения!$D$63*IF(AD$19&lt;Допущения!$D$58,0,((AD$19-Допущения!$D$58+1)/(36-Допущения!$D$58+1))^Допущения!$D$67)</f>
        <v>413.535656313995</v>
      </c>
      <c r="AE21" s="10" t="n">
        <f aca="false">Допущения!$D$63*IF(AE$19&lt;Допущения!$D$58,0,((AE$19-Допущения!$D$58+1)/(36-Допущения!$D$58+1))^Допущения!$D$67)</f>
        <v>436.193458169658</v>
      </c>
      <c r="AF21" s="10" t="n">
        <f aca="false">Допущения!$D$63*IF(AF$19&lt;Допущения!$D$58,0,((AF$19-Допущения!$D$58+1)/(36-Допущения!$D$58+1))^Допущения!$D$67)</f>
        <v>459.049199899218</v>
      </c>
      <c r="AG21" s="10" t="n">
        <f aca="false">Допущения!$D$63*IF(AG$19&lt;Допущения!$D$58,0,((AG$19-Допущения!$D$58+1)/(36-Допущения!$D$58+1))^Допущения!$D$67)</f>
        <v>482.096252001314</v>
      </c>
      <c r="AH21" s="10" t="n">
        <f aca="false">Допущения!$D$63*IF(AH$19&lt;Допущения!$D$58,0,((AH$19-Допущения!$D$58+1)/(36-Допущения!$D$58+1))^Допущения!$D$67)</f>
        <v>505.328464628357</v>
      </c>
      <c r="AI21" s="10" t="n">
        <f aca="false">Допущения!$D$63*IF(AI$19&lt;Допущения!$D$58,0,((AI$19-Допущения!$D$58+1)/(36-Допущения!$D$58+1))^Допущения!$D$67)</f>
        <v>528.740115674927</v>
      </c>
      <c r="AJ21" s="10" t="n">
        <f aca="false">Допущения!$D$63*IF(AJ$19&lt;Допущения!$D$58,0,((AJ$19-Допущения!$D$58+1)/(36-Допущения!$D$58+1))^Допущения!$D$67)</f>
        <v>552.325866209057</v>
      </c>
      <c r="AK21" s="10" t="n">
        <f aca="false">Допущения!$D$63*IF(AK$19&lt;Допущения!$D$58,0,((AK$19-Допущения!$D$58+1)/(36-Допущения!$D$58+1))^Допущения!$D$67)</f>
        <v>576.080721981191</v>
      </c>
      <c r="AL21" s="10" t="n">
        <f aca="false">Допущения!$D$63*IF(AL$19&lt;Допущения!$D$58,0,((AL$19-Допущения!$D$58+1)/(36-Допущения!$D$58+1))^Допущения!$D$67)</f>
        <v>600</v>
      </c>
      <c r="AM21" s="10" t="n">
        <f aca="false">SUM(C21:N21)</f>
        <v>281.582061192304</v>
      </c>
      <c r="AN21" s="10" t="n">
        <f aca="false">SUM(O21:Z21)</f>
        <v>2541.58052336517</v>
      </c>
      <c r="AO21" s="10" t="n">
        <f aca="false">SUM(AA21:AL21)</f>
        <v>5660.10060100526</v>
      </c>
      <c r="AP21" s="10" t="n">
        <f aca="false">SUM(C21:AL21)</f>
        <v>8483.26318556273</v>
      </c>
    </row>
    <row r="22" customFormat="false" ht="15" hidden="false" customHeight="false" outlineLevel="0" collapsed="false">
      <c r="A22" s="0" t="s">
        <v>323</v>
      </c>
      <c r="B22" s="0" t="s">
        <v>324</v>
      </c>
      <c r="C22" s="10" t="n">
        <f aca="false">C20*Допущения!$D$60+C21*Допущения!$D$62</f>
        <v>0</v>
      </c>
      <c r="D22" s="10" t="n">
        <f aca="false">D20*Допущения!$D$60+D21*Допущения!$D$62</f>
        <v>0</v>
      </c>
      <c r="E22" s="10" t="n">
        <f aca="false">E20*Допущения!$D$60+E21*Допущения!$D$62</f>
        <v>0</v>
      </c>
      <c r="F22" s="10" t="n">
        <f aca="false">F20*Допущения!$D$60+F21*Допущения!$D$62</f>
        <v>0</v>
      </c>
      <c r="G22" s="10" t="n">
        <f aca="false">G20*Допущения!$D$60+G21*Допущения!$D$62</f>
        <v>0</v>
      </c>
      <c r="H22" s="10" t="n">
        <f aca="false">H20*Допущения!$D$60+H21*Допущения!$D$62</f>
        <v>0</v>
      </c>
      <c r="I22" s="10" t="n">
        <f aca="false">I20*Допущения!$D$60+I21*Допущения!$D$62</f>
        <v>27350.7669420544</v>
      </c>
      <c r="J22" s="10" t="n">
        <f aca="false">J20*Допущения!$D$60+J21*Допущения!$D$62</f>
        <v>62835.5619884903</v>
      </c>
      <c r="K22" s="10" t="n">
        <f aca="false">K20*Допущения!$D$60+K21*Допущения!$D$62</f>
        <v>102215.089805791</v>
      </c>
      <c r="L22" s="10" t="n">
        <f aca="false">L20*Допущения!$D$60+L21*Допущения!$D$62</f>
        <v>144358.213382986</v>
      </c>
      <c r="M22" s="10" t="n">
        <f aca="false">M20*Допущения!$D$60+M21*Допущения!$D$62</f>
        <v>188683.322068326</v>
      </c>
      <c r="N22" s="10" t="n">
        <f aca="false">N20*Допущения!$D$60+N21*Допущения!$D$62</f>
        <v>234828.611031573</v>
      </c>
      <c r="O22" s="10" t="n">
        <f aca="false">O20*Допущения!$D$60+O21*Допущения!$D$62</f>
        <v>282544.69461478</v>
      </c>
      <c r="P22" s="10" t="n">
        <f aca="false">P20*Допущения!$D$60+P21*Допущения!$D$62</f>
        <v>331648.084486694</v>
      </c>
      <c r="Q22" s="10" t="n">
        <f aca="false">Q20*Допущения!$D$60+Q21*Допущения!$D$62</f>
        <v>381997.499599959</v>
      </c>
      <c r="R22" s="10" t="n">
        <f aca="false">R20*Допущения!$D$60+R21*Допущения!$D$62</f>
        <v>433480.443350525</v>
      </c>
      <c r="S22" s="10" t="n">
        <f aca="false">S20*Допущения!$D$60+S21*Допущения!$D$62</f>
        <v>486004.993038694</v>
      </c>
      <c r="T22" s="10" t="n">
        <f aca="false">T20*Допущения!$D$60+T21*Допущения!$D$62</f>
        <v>539494.478396414</v>
      </c>
      <c r="U22" s="10" t="n">
        <f aca="false">U20*Допущения!$D$60+U21*Допущения!$D$62</f>
        <v>593883.872367905</v>
      </c>
      <c r="V22" s="10" t="n">
        <f aca="false">V20*Допущения!$D$60+V21*Допущения!$D$62</f>
        <v>649117.251834274</v>
      </c>
      <c r="W22" s="10" t="n">
        <f aca="false">W20*Допущения!$D$60+W21*Допущения!$D$62</f>
        <v>705145.956269861</v>
      </c>
      <c r="X22" s="10" t="n">
        <f aca="false">X20*Допущения!$D$60+X21*Допущения!$D$62</f>
        <v>761927.218175567</v>
      </c>
      <c r="Y22" s="10" t="n">
        <f aca="false">Y20*Допущения!$D$60+Y21*Допущения!$D$62</f>
        <v>819423.122144393</v>
      </c>
      <c r="Z22" s="10" t="n">
        <f aca="false">Z20*Допущения!$D$60+Z21*Допущения!$D$62</f>
        <v>877599.798806906</v>
      </c>
      <c r="AA22" s="10" t="n">
        <f aca="false">AA20*Допущения!$D$60+AA21*Допущения!$D$62</f>
        <v>936426.790426544</v>
      </c>
      <c r="AB22" s="10" t="n">
        <f aca="false">AB20*Допущения!$D$60+AB21*Допущения!$D$62</f>
        <v>995876.544400266</v>
      </c>
      <c r="AC22" s="10" t="n">
        <f aca="false">AC20*Допущения!$D$60+AC21*Допущения!$D$62</f>
        <v>1055924.00371755</v>
      </c>
      <c r="AD22" s="10" t="n">
        <f aca="false">AD20*Допущения!$D$60+AD21*Допущения!$D$62</f>
        <v>1116546.27204779</v>
      </c>
      <c r="AE22" s="10" t="n">
        <f aca="false">AE20*Допущения!$D$60+AE21*Допущения!$D$62</f>
        <v>1177722.33705808</v>
      </c>
      <c r="AF22" s="10" t="n">
        <f aca="false">AF20*Допущения!$D$60+AF21*Допущения!$D$62</f>
        <v>1239432.83972789</v>
      </c>
      <c r="AG22" s="10" t="n">
        <f aca="false">AG20*Допущения!$D$60+AG21*Допущения!$D$62</f>
        <v>1301659.88040355</v>
      </c>
      <c r="AH22" s="10" t="n">
        <f aca="false">AH20*Допущения!$D$60+AH21*Допущения!$D$62</f>
        <v>1364386.85449656</v>
      </c>
      <c r="AI22" s="10" t="n">
        <f aca="false">AI20*Допущения!$D$60+AI21*Допущения!$D$62</f>
        <v>1427598.3123223</v>
      </c>
      <c r="AJ22" s="10" t="n">
        <f aca="false">AJ20*Допущения!$D$60+AJ21*Допущения!$D$62</f>
        <v>1491279.83876445</v>
      </c>
      <c r="AK22" s="10" t="n">
        <f aca="false">AK20*Допущения!$D$60+AK21*Допущения!$D$62</f>
        <v>1555417.94934922</v>
      </c>
      <c r="AL22" s="10" t="n">
        <f aca="false">AL20*Допущения!$D$60+AL21*Допущения!$D$62</f>
        <v>1620000</v>
      </c>
      <c r="AM22" s="10" t="n">
        <f aca="false">SUM(C22:N22)</f>
        <v>760271.565219222</v>
      </c>
      <c r="AN22" s="10" t="n">
        <f aca="false">SUM(O22:Z22)</f>
        <v>6862267.41308597</v>
      </c>
      <c r="AO22" s="10" t="n">
        <f aca="false">SUM(AA22:AL22)</f>
        <v>15282271.6227142</v>
      </c>
      <c r="AP22" s="10" t="n">
        <f aca="false">SUM(C22:AL22)</f>
        <v>22904810.6010194</v>
      </c>
    </row>
    <row r="23" customFormat="false" ht="15" hidden="false" customHeight="false" outlineLevel="0" collapsed="false">
      <c r="A23" s="0" t="s">
        <v>267</v>
      </c>
      <c r="B23" s="0" t="s">
        <v>325</v>
      </c>
      <c r="C23" s="10" t="n">
        <f aca="false">C22*Допущения!$D$59</f>
        <v>0</v>
      </c>
      <c r="D23" s="10" t="n">
        <f aca="false">D22*Допущения!$D$59</f>
        <v>0</v>
      </c>
      <c r="E23" s="10" t="n">
        <f aca="false">E22*Допущения!$D$59</f>
        <v>0</v>
      </c>
      <c r="F23" s="10" t="n">
        <f aca="false">F22*Допущения!$D$59</f>
        <v>0</v>
      </c>
      <c r="G23" s="10" t="n">
        <f aca="false">G22*Допущения!$D$59</f>
        <v>0</v>
      </c>
      <c r="H23" s="10" t="n">
        <f aca="false">H22*Допущения!$D$59</f>
        <v>0</v>
      </c>
      <c r="I23" s="10" t="n">
        <f aca="false">I22*Допущения!$D$59</f>
        <v>13675.3834710272</v>
      </c>
      <c r="J23" s="10" t="n">
        <f aca="false">J22*Допущения!$D$59</f>
        <v>31417.7809942452</v>
      </c>
      <c r="K23" s="10" t="n">
        <f aca="false">K22*Допущения!$D$59</f>
        <v>51107.5449028957</v>
      </c>
      <c r="L23" s="10" t="n">
        <f aca="false">L22*Допущения!$D$59</f>
        <v>72179.106691493</v>
      </c>
      <c r="M23" s="10" t="n">
        <f aca="false">M22*Допущения!$D$59</f>
        <v>94341.6610341632</v>
      </c>
      <c r="N23" s="10" t="n">
        <f aca="false">N22*Допущения!$D$59</f>
        <v>117414.305515787</v>
      </c>
      <c r="O23" s="10" t="n">
        <f aca="false">O22*Допущения!$D$59</f>
        <v>141272.34730739</v>
      </c>
      <c r="P23" s="10" t="n">
        <f aca="false">P22*Допущения!$D$59</f>
        <v>165824.042243347</v>
      </c>
      <c r="Q23" s="10" t="n">
        <f aca="false">Q22*Допущения!$D$59</f>
        <v>190998.749799979</v>
      </c>
      <c r="R23" s="10" t="n">
        <f aca="false">R22*Допущения!$D$59</f>
        <v>216740.221675262</v>
      </c>
      <c r="S23" s="10" t="n">
        <f aca="false">S22*Допущения!$D$59</f>
        <v>243002.496519347</v>
      </c>
      <c r="T23" s="10" t="n">
        <f aca="false">T22*Допущения!$D$59</f>
        <v>269747.239198207</v>
      </c>
      <c r="U23" s="10" t="n">
        <f aca="false">U22*Допущения!$D$59</f>
        <v>296941.936183952</v>
      </c>
      <c r="V23" s="10" t="n">
        <f aca="false">V22*Допущения!$D$59</f>
        <v>324558.625917137</v>
      </c>
      <c r="W23" s="10" t="n">
        <f aca="false">W22*Допущения!$D$59</f>
        <v>352572.97813493</v>
      </c>
      <c r="X23" s="10" t="n">
        <f aca="false">X22*Допущения!$D$59</f>
        <v>380963.609087783</v>
      </c>
      <c r="Y23" s="10" t="n">
        <f aca="false">Y22*Допущения!$D$59</f>
        <v>409711.561072196</v>
      </c>
      <c r="Z23" s="10" t="n">
        <f aca="false">Z22*Допущения!$D$59</f>
        <v>438799.899403453</v>
      </c>
      <c r="AA23" s="10" t="n">
        <f aca="false">AA22*Допущения!$D$59</f>
        <v>468213.395213272</v>
      </c>
      <c r="AB23" s="10" t="n">
        <f aca="false">AB22*Допущения!$D$59</f>
        <v>497938.272200133</v>
      </c>
      <c r="AC23" s="10" t="n">
        <f aca="false">AC22*Допущения!$D$59</f>
        <v>527962.001858773</v>
      </c>
      <c r="AD23" s="10" t="n">
        <f aca="false">AD22*Допущения!$D$59</f>
        <v>558273.136023893</v>
      </c>
      <c r="AE23" s="10" t="n">
        <f aca="false">AE22*Допущения!$D$59</f>
        <v>588861.168529038</v>
      </c>
      <c r="AF23" s="10" t="n">
        <f aca="false">AF22*Допущения!$D$59</f>
        <v>619716.419863944</v>
      </c>
      <c r="AG23" s="10" t="n">
        <f aca="false">AG22*Допущения!$D$59</f>
        <v>650829.940201773</v>
      </c>
      <c r="AH23" s="10" t="n">
        <f aca="false">AH22*Допущения!$D$59</f>
        <v>682193.427248281</v>
      </c>
      <c r="AI23" s="10" t="n">
        <f aca="false">AI22*Допущения!$D$59</f>
        <v>713799.156161152</v>
      </c>
      <c r="AJ23" s="10" t="n">
        <f aca="false">AJ22*Допущения!$D$59</f>
        <v>745639.919382226</v>
      </c>
      <c r="AK23" s="10" t="n">
        <f aca="false">AK22*Допущения!$D$59</f>
        <v>777708.974674608</v>
      </c>
      <c r="AL23" s="10" t="n">
        <f aca="false">AL22*Допущения!$D$59</f>
        <v>810000</v>
      </c>
      <c r="AM23" s="10" t="n">
        <f aca="false">SUM(C23:N23)</f>
        <v>380135.782609611</v>
      </c>
      <c r="AN23" s="10" t="n">
        <f aca="false">SUM(O23:Z23)</f>
        <v>3431133.70654298</v>
      </c>
      <c r="AO23" s="10" t="n">
        <f aca="false">SUM(AA23:AL23)</f>
        <v>7641135.81135709</v>
      </c>
      <c r="AP23" s="10" t="n">
        <f aca="false">SUM(C23:AL23)</f>
        <v>11452405.3005097</v>
      </c>
    </row>
    <row r="24" customFormat="false" ht="15" hidden="false" customHeight="false" outlineLevel="0" collapsed="false">
      <c r="A24" s="0" t="s">
        <v>275</v>
      </c>
      <c r="B24" s="0" t="s">
        <v>326</v>
      </c>
      <c r="C24" s="10" t="n">
        <f aca="false">C23*(1-Допущения!$D$14)</f>
        <v>0</v>
      </c>
      <c r="D24" s="10" t="n">
        <f aca="false">D23*(1-Допущения!$D$14)</f>
        <v>0</v>
      </c>
      <c r="E24" s="10" t="n">
        <f aca="false">E23*(1-Допущения!$D$14)</f>
        <v>0</v>
      </c>
      <c r="F24" s="10" t="n">
        <f aca="false">F23*(1-Допущения!$D$14)</f>
        <v>0</v>
      </c>
      <c r="G24" s="10" t="n">
        <f aca="false">G23*(1-Допущения!$D$14)</f>
        <v>0</v>
      </c>
      <c r="H24" s="10" t="n">
        <f aca="false">H23*(1-Допущения!$D$14)</f>
        <v>0</v>
      </c>
      <c r="I24" s="10" t="n">
        <f aca="false">I23*(1-Допущения!$D$14)</f>
        <v>12854.8604627656</v>
      </c>
      <c r="J24" s="10" t="n">
        <f aca="false">J23*(1-Допущения!$D$14)</f>
        <v>29532.7141345904</v>
      </c>
      <c r="K24" s="10" t="n">
        <f aca="false">K23*(1-Допущения!$D$14)</f>
        <v>48041.0922087219</v>
      </c>
      <c r="L24" s="10" t="n">
        <f aca="false">L23*(1-Допущения!$D$14)</f>
        <v>67848.3602900035</v>
      </c>
      <c r="M24" s="10" t="n">
        <f aca="false">M23*(1-Допущения!$D$14)</f>
        <v>88681.1613721134</v>
      </c>
      <c r="N24" s="10" t="n">
        <f aca="false">N23*(1-Допущения!$D$14)</f>
        <v>110369.44718484</v>
      </c>
      <c r="O24" s="10" t="n">
        <f aca="false">O23*(1-Допущения!$D$14)</f>
        <v>132796.006468946</v>
      </c>
      <c r="P24" s="10" t="n">
        <f aca="false">P23*(1-Допущения!$D$14)</f>
        <v>155874.599708746</v>
      </c>
      <c r="Q24" s="10" t="n">
        <f aca="false">Q23*(1-Допущения!$D$14)</f>
        <v>179538.824811981</v>
      </c>
      <c r="R24" s="10" t="n">
        <f aca="false">R23*(1-Допущения!$D$14)</f>
        <v>203735.808374747</v>
      </c>
      <c r="S24" s="10" t="n">
        <f aca="false">S23*(1-Допущения!$D$14)</f>
        <v>228422.346728186</v>
      </c>
      <c r="T24" s="10" t="n">
        <f aca="false">T23*(1-Допущения!$D$14)</f>
        <v>253562.404846315</v>
      </c>
      <c r="U24" s="10" t="n">
        <f aca="false">U23*(1-Допущения!$D$14)</f>
        <v>279125.420012915</v>
      </c>
      <c r="V24" s="10" t="n">
        <f aca="false">V23*(1-Допущения!$D$14)</f>
        <v>305085.108362109</v>
      </c>
      <c r="W24" s="10" t="n">
        <f aca="false">W23*(1-Допущения!$D$14)</f>
        <v>331418.599446834</v>
      </c>
      <c r="X24" s="10" t="n">
        <f aca="false">X23*(1-Допущения!$D$14)</f>
        <v>358105.792542516</v>
      </c>
      <c r="Y24" s="10" t="n">
        <f aca="false">Y23*(1-Допущения!$D$14)</f>
        <v>385128.867407865</v>
      </c>
      <c r="Z24" s="10" t="n">
        <f aca="false">Z23*(1-Допущения!$D$14)</f>
        <v>412471.905439246</v>
      </c>
      <c r="AA24" s="10" t="n">
        <f aca="false">AA23*(1-Допущения!$D$14)</f>
        <v>440120.591500476</v>
      </c>
      <c r="AB24" s="10" t="n">
        <f aca="false">AB23*(1-Допущения!$D$14)</f>
        <v>468061.975868125</v>
      </c>
      <c r="AC24" s="10" t="n">
        <f aca="false">AC23*(1-Допущения!$D$14)</f>
        <v>496284.281747247</v>
      </c>
      <c r="AD24" s="10" t="n">
        <f aca="false">AD23*(1-Допущения!$D$14)</f>
        <v>524776.74786246</v>
      </c>
      <c r="AE24" s="10" t="n">
        <f aca="false">AE23*(1-Допущения!$D$14)</f>
        <v>553529.498417296</v>
      </c>
      <c r="AF24" s="10" t="n">
        <f aca="false">AF23*(1-Допущения!$D$14)</f>
        <v>582533.434672107</v>
      </c>
      <c r="AG24" s="10" t="n">
        <f aca="false">AG23*(1-Допущения!$D$14)</f>
        <v>611780.143789667</v>
      </c>
      <c r="AH24" s="10" t="n">
        <f aca="false">AH23*(1-Допущения!$D$14)</f>
        <v>641261.821613384</v>
      </c>
      <c r="AI24" s="10" t="n">
        <f aca="false">AI23*(1-Допущения!$D$14)</f>
        <v>670971.206791483</v>
      </c>
      <c r="AJ24" s="10" t="n">
        <f aca="false">AJ23*(1-Допущения!$D$14)</f>
        <v>700901.524219293</v>
      </c>
      <c r="AK24" s="10" t="n">
        <f aca="false">AK23*(1-Допущения!$D$14)</f>
        <v>731046.436194131</v>
      </c>
      <c r="AL24" s="10" t="n">
        <f aca="false">AL23*(1-Допущения!$D$14)</f>
        <v>761400</v>
      </c>
      <c r="AM24" s="10" t="n">
        <f aca="false">SUM(C24:N24)</f>
        <v>357327.635653034</v>
      </c>
      <c r="AN24" s="10" t="n">
        <f aca="false">SUM(O24:Z24)</f>
        <v>3225265.68415041</v>
      </c>
      <c r="AO24" s="10" t="n">
        <f aca="false">SUM(AA24:AL24)</f>
        <v>7182667.66267567</v>
      </c>
      <c r="AP24" s="10" t="n">
        <f aca="false">SUM(C24:AL24)</f>
        <v>10765260.9824791</v>
      </c>
    </row>
    <row r="25" customFormat="false" ht="15" hidden="false" customHeight="false" outlineLevel="0" collapsed="false">
      <c r="A25" s="0" t="s">
        <v>277</v>
      </c>
      <c r="B25" s="0" t="s">
        <v>178</v>
      </c>
      <c r="C25" s="10" t="n">
        <f aca="false">C22*Допущения!$D$64</f>
        <v>0</v>
      </c>
      <c r="D25" s="10" t="n">
        <f aca="false">D22*Допущения!$D$64</f>
        <v>0</v>
      </c>
      <c r="E25" s="10" t="n">
        <f aca="false">E22*Допущения!$D$64</f>
        <v>0</v>
      </c>
      <c r="F25" s="10" t="n">
        <f aca="false">F22*Допущения!$D$64</f>
        <v>0</v>
      </c>
      <c r="G25" s="10" t="n">
        <f aca="false">G22*Допущения!$D$64</f>
        <v>0</v>
      </c>
      <c r="H25" s="10" t="n">
        <f aca="false">H22*Допущения!$D$64</f>
        <v>0</v>
      </c>
      <c r="I25" s="10" t="n">
        <f aca="false">I22*Допущения!$D$64</f>
        <v>6837.6917355136</v>
      </c>
      <c r="J25" s="10" t="n">
        <f aca="false">J22*Допущения!$D$64</f>
        <v>15708.8904971226</v>
      </c>
      <c r="K25" s="10" t="n">
        <f aca="false">K22*Допущения!$D$64</f>
        <v>25553.7724514478</v>
      </c>
      <c r="L25" s="10" t="n">
        <f aca="false">L22*Допущения!$D$64</f>
        <v>36089.5533457465</v>
      </c>
      <c r="M25" s="10" t="n">
        <f aca="false">M22*Допущения!$D$64</f>
        <v>47170.8305170816</v>
      </c>
      <c r="N25" s="10" t="n">
        <f aca="false">N22*Допущения!$D$64</f>
        <v>58707.1527578934</v>
      </c>
      <c r="O25" s="10" t="n">
        <f aca="false">O22*Допущения!$D$64</f>
        <v>70636.1736536949</v>
      </c>
      <c r="P25" s="10" t="n">
        <f aca="false">P22*Допущения!$D$64</f>
        <v>82912.0211216736</v>
      </c>
      <c r="Q25" s="10" t="n">
        <f aca="false">Q22*Допущения!$D$64</f>
        <v>95499.3748999897</v>
      </c>
      <c r="R25" s="10" t="n">
        <f aca="false">R22*Допущения!$D$64</f>
        <v>108370.110837631</v>
      </c>
      <c r="S25" s="10" t="n">
        <f aca="false">S22*Допущения!$D$64</f>
        <v>121501.248259673</v>
      </c>
      <c r="T25" s="10" t="n">
        <f aca="false">T22*Допущения!$D$64</f>
        <v>134873.619599103</v>
      </c>
      <c r="U25" s="10" t="n">
        <f aca="false">U22*Допущения!$D$64</f>
        <v>148470.968091976</v>
      </c>
      <c r="V25" s="10" t="n">
        <f aca="false">V22*Допущения!$D$64</f>
        <v>162279.312958568</v>
      </c>
      <c r="W25" s="10" t="n">
        <f aca="false">W22*Допущения!$D$64</f>
        <v>176286.489067465</v>
      </c>
      <c r="X25" s="10" t="n">
        <f aca="false">X22*Допущения!$D$64</f>
        <v>190481.804543892</v>
      </c>
      <c r="Y25" s="10" t="n">
        <f aca="false">Y22*Допущения!$D$64</f>
        <v>204855.780536098</v>
      </c>
      <c r="Z25" s="10" t="n">
        <f aca="false">Z22*Допущения!$D$64</f>
        <v>219399.949701727</v>
      </c>
      <c r="AA25" s="10" t="n">
        <f aca="false">AA22*Допущения!$D$64</f>
        <v>234106.697606636</v>
      </c>
      <c r="AB25" s="10" t="n">
        <f aca="false">AB22*Допущения!$D$64</f>
        <v>248969.136100067</v>
      </c>
      <c r="AC25" s="10" t="n">
        <f aca="false">AC22*Допущения!$D$64</f>
        <v>263981.000929387</v>
      </c>
      <c r="AD25" s="10" t="n">
        <f aca="false">AD22*Допущения!$D$64</f>
        <v>279136.568011947</v>
      </c>
      <c r="AE25" s="10" t="n">
        <f aca="false">AE22*Допущения!$D$64</f>
        <v>294430.584264519</v>
      </c>
      <c r="AF25" s="10" t="n">
        <f aca="false">AF22*Допущения!$D$64</f>
        <v>309858.209931972</v>
      </c>
      <c r="AG25" s="10" t="n">
        <f aca="false">AG22*Допущения!$D$64</f>
        <v>325414.970100887</v>
      </c>
      <c r="AH25" s="10" t="n">
        <f aca="false">AH22*Допущения!$D$64</f>
        <v>341096.713624141</v>
      </c>
      <c r="AI25" s="10" t="n">
        <f aca="false">AI22*Допущения!$D$64</f>
        <v>356899.578080576</v>
      </c>
      <c r="AJ25" s="10" t="n">
        <f aca="false">AJ22*Допущения!$D$64</f>
        <v>372819.959691113</v>
      </c>
      <c r="AK25" s="10" t="n">
        <f aca="false">AK22*Допущения!$D$64</f>
        <v>388854.487337304</v>
      </c>
      <c r="AL25" s="10" t="n">
        <f aca="false">AL22*Допущения!$D$64</f>
        <v>405000</v>
      </c>
      <c r="AM25" s="10" t="n">
        <f aca="false">SUM(C25:N25)</f>
        <v>190067.891304805</v>
      </c>
      <c r="AN25" s="10" t="n">
        <f aca="false">SUM(O25:Z25)</f>
        <v>1715566.85327149</v>
      </c>
      <c r="AO25" s="10" t="n">
        <f aca="false">SUM(AA25:AL25)</f>
        <v>3820567.90567855</v>
      </c>
      <c r="AP25" s="10" t="n">
        <f aca="false">SUM(C25:AL25)</f>
        <v>5726202.65025485</v>
      </c>
    </row>
    <row r="26" customFormat="false" ht="15" hidden="false" customHeight="false" outlineLevel="0" collapsed="false">
      <c r="A26" s="0" t="s">
        <v>279</v>
      </c>
      <c r="B26" s="0" t="s">
        <v>280</v>
      </c>
      <c r="C26" s="10" t="n">
        <f aca="false">IF(C$19&gt;=2,Допущения!$D$65,0)</f>
        <v>0</v>
      </c>
      <c r="D26" s="10" t="n">
        <f aca="false">IF(D$19&gt;=2,Допущения!$D$65,0)</f>
        <v>170000</v>
      </c>
      <c r="E26" s="10" t="n">
        <f aca="false">IF(E$19&gt;=2,Допущения!$D$65,0)</f>
        <v>170000</v>
      </c>
      <c r="F26" s="10" t="n">
        <f aca="false">IF(F$19&gt;=2,Допущения!$D$65,0)</f>
        <v>170000</v>
      </c>
      <c r="G26" s="10" t="n">
        <f aca="false">IF(G$19&gt;=2,Допущения!$D$65,0)</f>
        <v>170000</v>
      </c>
      <c r="H26" s="10" t="n">
        <f aca="false">IF(H$19&gt;=2,Допущения!$D$65,0)</f>
        <v>170000</v>
      </c>
      <c r="I26" s="10" t="n">
        <f aca="false">IF(I$19&gt;=2,Допущения!$D$65,0)</f>
        <v>170000</v>
      </c>
      <c r="J26" s="10" t="n">
        <f aca="false">IF(J$19&gt;=2,Допущения!$D$65,0)</f>
        <v>170000</v>
      </c>
      <c r="K26" s="10" t="n">
        <f aca="false">IF(K$19&gt;=2,Допущения!$D$65,0)</f>
        <v>170000</v>
      </c>
      <c r="L26" s="10" t="n">
        <f aca="false">IF(L$19&gt;=2,Допущения!$D$65,0)</f>
        <v>170000</v>
      </c>
      <c r="M26" s="10" t="n">
        <f aca="false">IF(M$19&gt;=2,Допущения!$D$65,0)</f>
        <v>170000</v>
      </c>
      <c r="N26" s="10" t="n">
        <f aca="false">IF(N$19&gt;=2,Допущения!$D$65,0)</f>
        <v>170000</v>
      </c>
      <c r="O26" s="10" t="n">
        <f aca="false">IF(O$19&gt;=2,Допущения!$D$65,0)</f>
        <v>170000</v>
      </c>
      <c r="P26" s="10" t="n">
        <f aca="false">IF(P$19&gt;=2,Допущения!$D$65,0)</f>
        <v>170000</v>
      </c>
      <c r="Q26" s="10" t="n">
        <f aca="false">IF(Q$19&gt;=2,Допущения!$D$65,0)</f>
        <v>170000</v>
      </c>
      <c r="R26" s="10" t="n">
        <f aca="false">IF(R$19&gt;=2,Допущения!$D$65,0)</f>
        <v>170000</v>
      </c>
      <c r="S26" s="10" t="n">
        <f aca="false">IF(S$19&gt;=2,Допущения!$D$65,0)</f>
        <v>170000</v>
      </c>
      <c r="T26" s="10" t="n">
        <f aca="false">IF(T$19&gt;=2,Допущения!$D$65,0)</f>
        <v>170000</v>
      </c>
      <c r="U26" s="10" t="n">
        <f aca="false">IF(U$19&gt;=2,Допущения!$D$65,0)</f>
        <v>170000</v>
      </c>
      <c r="V26" s="10" t="n">
        <f aca="false">IF(V$19&gt;=2,Допущения!$D$65,0)</f>
        <v>170000</v>
      </c>
      <c r="W26" s="10" t="n">
        <f aca="false">IF(W$19&gt;=2,Допущения!$D$65,0)</f>
        <v>170000</v>
      </c>
      <c r="X26" s="10" t="n">
        <f aca="false">IF(X$19&gt;=2,Допущения!$D$65,0)</f>
        <v>170000</v>
      </c>
      <c r="Y26" s="10" t="n">
        <f aca="false">IF(Y$19&gt;=2,Допущения!$D$65,0)</f>
        <v>170000</v>
      </c>
      <c r="Z26" s="10" t="n">
        <f aca="false">IF(Z$19&gt;=2,Допущения!$D$65,0)</f>
        <v>170000</v>
      </c>
      <c r="AA26" s="10" t="n">
        <f aca="false">IF(AA$19&gt;=2,Допущения!$D$65,0)</f>
        <v>170000</v>
      </c>
      <c r="AB26" s="10" t="n">
        <f aca="false">IF(AB$19&gt;=2,Допущения!$D$65,0)</f>
        <v>170000</v>
      </c>
      <c r="AC26" s="10" t="n">
        <f aca="false">IF(AC$19&gt;=2,Допущения!$D$65,0)</f>
        <v>170000</v>
      </c>
      <c r="AD26" s="10" t="n">
        <f aca="false">IF(AD$19&gt;=2,Допущения!$D$65,0)</f>
        <v>170000</v>
      </c>
      <c r="AE26" s="10" t="n">
        <f aca="false">IF(AE$19&gt;=2,Допущения!$D$65,0)</f>
        <v>170000</v>
      </c>
      <c r="AF26" s="10" t="n">
        <f aca="false">IF(AF$19&gt;=2,Допущения!$D$65,0)</f>
        <v>170000</v>
      </c>
      <c r="AG26" s="10" t="n">
        <f aca="false">IF(AG$19&gt;=2,Допущения!$D$65,0)</f>
        <v>170000</v>
      </c>
      <c r="AH26" s="10" t="n">
        <f aca="false">IF(AH$19&gt;=2,Допущения!$D$65,0)</f>
        <v>170000</v>
      </c>
      <c r="AI26" s="10" t="n">
        <f aca="false">IF(AI$19&gt;=2,Допущения!$D$65,0)</f>
        <v>170000</v>
      </c>
      <c r="AJ26" s="10" t="n">
        <f aca="false">IF(AJ$19&gt;=2,Допущения!$D$65,0)</f>
        <v>170000</v>
      </c>
      <c r="AK26" s="10" t="n">
        <f aca="false">IF(AK$19&gt;=2,Допущения!$D$65,0)</f>
        <v>170000</v>
      </c>
      <c r="AL26" s="10" t="n">
        <f aca="false">IF(AL$19&gt;=2,Допущения!$D$65,0)</f>
        <v>170000</v>
      </c>
      <c r="AM26" s="10" t="n">
        <f aca="false">SUM(C26:N26)</f>
        <v>1870000</v>
      </c>
      <c r="AN26" s="10" t="n">
        <f aca="false">SUM(O26:Z26)</f>
        <v>2040000</v>
      </c>
      <c r="AO26" s="10" t="n">
        <f aca="false">SUM(AA26:AL26)</f>
        <v>2040000</v>
      </c>
      <c r="AP26" s="10" t="n">
        <f aca="false">SUM(C26:AL26)</f>
        <v>5950000</v>
      </c>
    </row>
    <row r="27" customFormat="false" ht="15" hidden="false" customHeight="false" outlineLevel="0" collapsed="false">
      <c r="A27" s="1" t="s">
        <v>281</v>
      </c>
      <c r="B27" s="1" t="s">
        <v>282</v>
      </c>
      <c r="C27" s="11" t="n">
        <f aca="false">C24-C26-C25</f>
        <v>0</v>
      </c>
      <c r="D27" s="11" t="n">
        <f aca="false">D24-D26-D25</f>
        <v>-170000</v>
      </c>
      <c r="E27" s="11" t="n">
        <f aca="false">E24-E26-E25</f>
        <v>-170000</v>
      </c>
      <c r="F27" s="11" t="n">
        <f aca="false">F24-F26-F25</f>
        <v>-170000</v>
      </c>
      <c r="G27" s="11" t="n">
        <f aca="false">G24-G26-G25</f>
        <v>-170000</v>
      </c>
      <c r="H27" s="11" t="n">
        <f aca="false">H24-H26-H25</f>
        <v>-170000</v>
      </c>
      <c r="I27" s="11" t="n">
        <f aca="false">I24-I26-I25</f>
        <v>-163982.831272748</v>
      </c>
      <c r="J27" s="11" t="n">
        <f aca="false">J24-J26-J25</f>
        <v>-156176.176362532</v>
      </c>
      <c r="K27" s="11" t="n">
        <f aca="false">K24-K26-K25</f>
        <v>-147512.680242726</v>
      </c>
      <c r="L27" s="11" t="n">
        <f aca="false">L24-L26-L25</f>
        <v>-138241.193055743</v>
      </c>
      <c r="M27" s="11" t="n">
        <f aca="false">M24-M26-M25</f>
        <v>-128489.669144968</v>
      </c>
      <c r="N27" s="11" t="n">
        <f aca="false">N24-N26-N25</f>
        <v>-118337.705573054</v>
      </c>
      <c r="O27" s="11" t="n">
        <f aca="false">O24-O26-O25</f>
        <v>-107840.167184749</v>
      </c>
      <c r="P27" s="11" t="n">
        <f aca="false">P24-P26-P25</f>
        <v>-97037.4214129273</v>
      </c>
      <c r="Q27" s="11" t="n">
        <f aca="false">Q24-Q26-Q25</f>
        <v>-85960.5500880091</v>
      </c>
      <c r="R27" s="11" t="n">
        <f aca="false">R24-R26-R25</f>
        <v>-74634.3024628846</v>
      </c>
      <c r="S27" s="11" t="n">
        <f aca="false">S24-S26-S25</f>
        <v>-63078.9015314874</v>
      </c>
      <c r="T27" s="11" t="n">
        <f aca="false">T24-T26-T25</f>
        <v>-51311.214752789</v>
      </c>
      <c r="U27" s="11" t="n">
        <f aca="false">U24-U26-U25</f>
        <v>-39345.548079061</v>
      </c>
      <c r="V27" s="11" t="n">
        <f aca="false">V24-V26-V25</f>
        <v>-27194.2045964598</v>
      </c>
      <c r="W27" s="11" t="n">
        <f aca="false">W24-W26-W25</f>
        <v>-14867.8896206307</v>
      </c>
      <c r="X27" s="11" t="n">
        <f aca="false">X24-X26-X25</f>
        <v>-2376.01200137538</v>
      </c>
      <c r="Y27" s="11" t="n">
        <f aca="false">Y24-Y26-Y25</f>
        <v>10273.0868717664</v>
      </c>
      <c r="Z27" s="11" t="n">
        <f aca="false">Z24-Z26-Z25</f>
        <v>23071.9557375193</v>
      </c>
      <c r="AA27" s="11" t="n">
        <f aca="false">AA24-AA26-AA25</f>
        <v>36013.8938938396</v>
      </c>
      <c r="AB27" s="11" t="n">
        <f aca="false">AB24-AB26-AB25</f>
        <v>49092.8397680585</v>
      </c>
      <c r="AC27" s="11" t="n">
        <f aca="false">AC24-AC26-AC25</f>
        <v>62303.28081786</v>
      </c>
      <c r="AD27" s="11" t="n">
        <f aca="false">AD24-AD26-AD25</f>
        <v>75640.1798505129</v>
      </c>
      <c r="AE27" s="11" t="n">
        <f aca="false">AE24-AE26-AE25</f>
        <v>89098.9141527768</v>
      </c>
      <c r="AF27" s="11" t="n">
        <f aca="false">AF24-AF26-AF25</f>
        <v>102675.224740135</v>
      </c>
      <c r="AG27" s="11" t="n">
        <f aca="false">AG24-AG26-AG25</f>
        <v>116365.17368878</v>
      </c>
      <c r="AH27" s="11" t="n">
        <f aca="false">AH24-AH26-AH25</f>
        <v>130165.107989244</v>
      </c>
      <c r="AI27" s="11" t="n">
        <f aca="false">AI24-AI26-AI25</f>
        <v>144071.628710907</v>
      </c>
      <c r="AJ27" s="11" t="n">
        <f aca="false">AJ24-AJ26-AJ25</f>
        <v>158081.564528179</v>
      </c>
      <c r="AK27" s="11" t="n">
        <f aca="false">AK24-AK26-AK25</f>
        <v>172191.948856827</v>
      </c>
      <c r="AL27" s="11" t="n">
        <f aca="false">AL24-AL26-AL25</f>
        <v>186400</v>
      </c>
      <c r="AM27" s="11" t="n">
        <f aca="false">SUM(C27:N27)</f>
        <v>-1702740.25565177</v>
      </c>
      <c r="AN27" s="11" t="n">
        <f aca="false">SUM(O27:Z27)</f>
        <v>-530301.169121087</v>
      </c>
      <c r="AO27" s="11" t="n">
        <f aca="false">SUM(AA27:AL27)</f>
        <v>1322099.75699712</v>
      </c>
      <c r="AP27" s="11" t="n">
        <f aca="false">SUM(C27:AL27)</f>
        <v>-910941.667775737</v>
      </c>
    </row>
    <row r="28" customFormat="false" ht="15" hidden="false" customHeight="false" outlineLevel="0" collapsed="false">
      <c r="A28" s="0" t="s">
        <v>283</v>
      </c>
      <c r="B28" s="0" t="s">
        <v>284</v>
      </c>
      <c r="C28" s="10" t="n">
        <f aca="false">IF(AND(C$19&gt;=MAX(1,Допущения!$D$58-4),C$19&lt;Допущения!$D$58),Допущения!$D$66/(Допущения!$D$58-MAX(1,Допущения!$D$58-4)),0)</f>
        <v>0</v>
      </c>
      <c r="D28" s="10" t="n">
        <f aca="false">IF(AND(D$19&gt;=MAX(1,Допущения!$D$58-4),D$19&lt;Допущения!$D$58),Допущения!$D$66/(Допущения!$D$58-MAX(1,Допущения!$D$58-4)),0)</f>
        <v>0</v>
      </c>
      <c r="E28" s="10" t="n">
        <f aca="false">IF(AND(E$19&gt;=MAX(1,Допущения!$D$58-4),E$19&lt;Допущения!$D$58),Допущения!$D$66/(Допущения!$D$58-MAX(1,Допущения!$D$58-4)),0)</f>
        <v>250000</v>
      </c>
      <c r="F28" s="10" t="n">
        <f aca="false">IF(AND(F$19&gt;=MAX(1,Допущения!$D$58-4),F$19&lt;Допущения!$D$58),Допущения!$D$66/(Допущения!$D$58-MAX(1,Допущения!$D$58-4)),0)</f>
        <v>250000</v>
      </c>
      <c r="G28" s="10" t="n">
        <f aca="false">IF(AND(G$19&gt;=MAX(1,Допущения!$D$58-4),G$19&lt;Допущения!$D$58),Допущения!$D$66/(Допущения!$D$58-MAX(1,Допущения!$D$58-4)),0)</f>
        <v>250000</v>
      </c>
      <c r="H28" s="10" t="n">
        <f aca="false">IF(AND(H$19&gt;=MAX(1,Допущения!$D$58-4),H$19&lt;Допущения!$D$58),Допущения!$D$66/(Допущения!$D$58-MAX(1,Допущения!$D$58-4)),0)</f>
        <v>250000</v>
      </c>
      <c r="I28" s="10" t="n">
        <f aca="false">IF(AND(I$19&gt;=MAX(1,Допущения!$D$58-4),I$19&lt;Допущения!$D$58),Допущения!$D$66/(Допущения!$D$58-MAX(1,Допущения!$D$58-4)),0)</f>
        <v>0</v>
      </c>
      <c r="J28" s="10" t="n">
        <f aca="false">IF(AND(J$19&gt;=MAX(1,Допущения!$D$58-4),J$19&lt;Допущения!$D$58),Допущения!$D$66/(Допущения!$D$58-MAX(1,Допущения!$D$58-4)),0)</f>
        <v>0</v>
      </c>
      <c r="K28" s="10" t="n">
        <f aca="false">IF(AND(K$19&gt;=MAX(1,Допущения!$D$58-4),K$19&lt;Допущения!$D$58),Допущения!$D$66/(Допущения!$D$58-MAX(1,Допущения!$D$58-4)),0)</f>
        <v>0</v>
      </c>
      <c r="L28" s="10" t="n">
        <f aca="false">IF(AND(L$19&gt;=MAX(1,Допущения!$D$58-4),L$19&lt;Допущения!$D$58),Допущения!$D$66/(Допущения!$D$58-MAX(1,Допущения!$D$58-4)),0)</f>
        <v>0</v>
      </c>
      <c r="M28" s="10" t="n">
        <f aca="false">IF(AND(M$19&gt;=MAX(1,Допущения!$D$58-4),M$19&lt;Допущения!$D$58),Допущения!$D$66/(Допущения!$D$58-MAX(1,Допущения!$D$58-4)),0)</f>
        <v>0</v>
      </c>
      <c r="N28" s="10" t="n">
        <f aca="false">IF(AND(N$19&gt;=MAX(1,Допущения!$D$58-4),N$19&lt;Допущения!$D$58),Допущения!$D$66/(Допущения!$D$58-MAX(1,Допущения!$D$58-4)),0)</f>
        <v>0</v>
      </c>
      <c r="O28" s="10" t="n">
        <f aca="false">IF(AND(O$19&gt;=MAX(1,Допущения!$D$58-4),O$19&lt;Допущения!$D$58),Допущения!$D$66/(Допущения!$D$58-MAX(1,Допущения!$D$58-4)),0)</f>
        <v>0</v>
      </c>
      <c r="P28" s="10" t="n">
        <f aca="false">IF(AND(P$19&gt;=MAX(1,Допущения!$D$58-4),P$19&lt;Допущения!$D$58),Допущения!$D$66/(Допущения!$D$58-MAX(1,Допущения!$D$58-4)),0)</f>
        <v>0</v>
      </c>
      <c r="Q28" s="10" t="n">
        <f aca="false">IF(AND(Q$19&gt;=MAX(1,Допущения!$D$58-4),Q$19&lt;Допущения!$D$58),Допущения!$D$66/(Допущения!$D$58-MAX(1,Допущения!$D$58-4)),0)</f>
        <v>0</v>
      </c>
      <c r="R28" s="10" t="n">
        <f aca="false">IF(AND(R$19&gt;=MAX(1,Допущения!$D$58-4),R$19&lt;Допущения!$D$58),Допущения!$D$66/(Допущения!$D$58-MAX(1,Допущения!$D$58-4)),0)</f>
        <v>0</v>
      </c>
      <c r="S28" s="10" t="n">
        <f aca="false">IF(AND(S$19&gt;=MAX(1,Допущения!$D$58-4),S$19&lt;Допущения!$D$58),Допущения!$D$66/(Допущения!$D$58-MAX(1,Допущения!$D$58-4)),0)</f>
        <v>0</v>
      </c>
      <c r="T28" s="10" t="n">
        <f aca="false">IF(AND(T$19&gt;=MAX(1,Допущения!$D$58-4),T$19&lt;Допущения!$D$58),Допущения!$D$66/(Допущения!$D$58-MAX(1,Допущения!$D$58-4)),0)</f>
        <v>0</v>
      </c>
      <c r="U28" s="10" t="n">
        <f aca="false">IF(AND(U$19&gt;=MAX(1,Допущения!$D$58-4),U$19&lt;Допущения!$D$58),Допущения!$D$66/(Допущения!$D$58-MAX(1,Допущения!$D$58-4)),0)</f>
        <v>0</v>
      </c>
      <c r="V28" s="10" t="n">
        <f aca="false">IF(AND(V$19&gt;=MAX(1,Допущения!$D$58-4),V$19&lt;Допущения!$D$58),Допущения!$D$66/(Допущения!$D$58-MAX(1,Допущения!$D$58-4)),0)</f>
        <v>0</v>
      </c>
      <c r="W28" s="10" t="n">
        <f aca="false">IF(AND(W$19&gt;=MAX(1,Допущения!$D$58-4),W$19&lt;Допущения!$D$58),Допущения!$D$66/(Допущения!$D$58-MAX(1,Допущения!$D$58-4)),0)</f>
        <v>0</v>
      </c>
      <c r="X28" s="10" t="n">
        <f aca="false">IF(AND(X$19&gt;=MAX(1,Допущения!$D$58-4),X$19&lt;Допущения!$D$58),Допущения!$D$66/(Допущения!$D$58-MAX(1,Допущения!$D$58-4)),0)</f>
        <v>0</v>
      </c>
      <c r="Y28" s="10" t="n">
        <f aca="false">IF(AND(Y$19&gt;=MAX(1,Допущения!$D$58-4),Y$19&lt;Допущения!$D$58),Допущения!$D$66/(Допущения!$D$58-MAX(1,Допущения!$D$58-4)),0)</f>
        <v>0</v>
      </c>
      <c r="Z28" s="10" t="n">
        <f aca="false">IF(AND(Z$19&gt;=MAX(1,Допущения!$D$58-4),Z$19&lt;Допущения!$D$58),Допущения!$D$66/(Допущения!$D$58-MAX(1,Допущения!$D$58-4)),0)</f>
        <v>0</v>
      </c>
      <c r="AA28" s="10" t="n">
        <f aca="false">IF(AND(AA$19&gt;=MAX(1,Допущения!$D$58-4),AA$19&lt;Допущения!$D$58),Допущения!$D$66/(Допущения!$D$58-MAX(1,Допущения!$D$58-4)),0)</f>
        <v>0</v>
      </c>
      <c r="AB28" s="10" t="n">
        <f aca="false">IF(AND(AB$19&gt;=MAX(1,Допущения!$D$58-4),AB$19&lt;Допущения!$D$58),Допущения!$D$66/(Допущения!$D$58-MAX(1,Допущения!$D$58-4)),0)</f>
        <v>0</v>
      </c>
      <c r="AC28" s="10" t="n">
        <f aca="false">IF(AND(AC$19&gt;=MAX(1,Допущения!$D$58-4),AC$19&lt;Допущения!$D$58),Допущения!$D$66/(Допущения!$D$58-MAX(1,Допущения!$D$58-4)),0)</f>
        <v>0</v>
      </c>
      <c r="AD28" s="10" t="n">
        <f aca="false">IF(AND(AD$19&gt;=MAX(1,Допущения!$D$58-4),AD$19&lt;Допущения!$D$58),Допущения!$D$66/(Допущения!$D$58-MAX(1,Допущения!$D$58-4)),0)</f>
        <v>0</v>
      </c>
      <c r="AE28" s="10" t="n">
        <f aca="false">IF(AND(AE$19&gt;=MAX(1,Допущения!$D$58-4),AE$19&lt;Допущения!$D$58),Допущения!$D$66/(Допущения!$D$58-MAX(1,Допущения!$D$58-4)),0)</f>
        <v>0</v>
      </c>
      <c r="AF28" s="10" t="n">
        <f aca="false">IF(AND(AF$19&gt;=MAX(1,Допущения!$D$58-4),AF$19&lt;Допущения!$D$58),Допущения!$D$66/(Допущения!$D$58-MAX(1,Допущения!$D$58-4)),0)</f>
        <v>0</v>
      </c>
      <c r="AG28" s="10" t="n">
        <f aca="false">IF(AND(AG$19&gt;=MAX(1,Допущения!$D$58-4),AG$19&lt;Допущения!$D$58),Допущения!$D$66/(Допущения!$D$58-MAX(1,Допущения!$D$58-4)),0)</f>
        <v>0</v>
      </c>
      <c r="AH28" s="10" t="n">
        <f aca="false">IF(AND(AH$19&gt;=MAX(1,Допущения!$D$58-4),AH$19&lt;Допущения!$D$58),Допущения!$D$66/(Допущения!$D$58-MAX(1,Допущения!$D$58-4)),0)</f>
        <v>0</v>
      </c>
      <c r="AI28" s="10" t="n">
        <f aca="false">IF(AND(AI$19&gt;=MAX(1,Допущения!$D$58-4),AI$19&lt;Допущения!$D$58),Допущения!$D$66/(Допущения!$D$58-MAX(1,Допущения!$D$58-4)),0)</f>
        <v>0</v>
      </c>
      <c r="AJ28" s="10" t="n">
        <f aca="false">IF(AND(AJ$19&gt;=MAX(1,Допущения!$D$58-4),AJ$19&lt;Допущения!$D$58),Допущения!$D$66/(Допущения!$D$58-MAX(1,Допущения!$D$58-4)),0)</f>
        <v>0</v>
      </c>
      <c r="AK28" s="10" t="n">
        <f aca="false">IF(AND(AK$19&gt;=MAX(1,Допущения!$D$58-4),AK$19&lt;Допущения!$D$58),Допущения!$D$66/(Допущения!$D$58-MAX(1,Допущения!$D$58-4)),0)</f>
        <v>0</v>
      </c>
      <c r="AL28" s="10" t="n">
        <f aca="false">IF(AND(AL$19&gt;=MAX(1,Допущения!$D$58-4),AL$19&lt;Допущения!$D$58),Допущения!$D$66/(Допущения!$D$58-MAX(1,Допущения!$D$58-4)),0)</f>
        <v>0</v>
      </c>
      <c r="AM28" s="10" t="n">
        <f aca="false">SUM(C28:N28)</f>
        <v>1000000</v>
      </c>
      <c r="AN28" s="10" t="n">
        <f aca="false">SUM(O28:Z28)</f>
        <v>0</v>
      </c>
      <c r="AO28" s="10" t="n">
        <f aca="false">SUM(AA28:AL28)</f>
        <v>0</v>
      </c>
      <c r="AP28" s="10" t="n">
        <f aca="false">SUM(C28:AL28)</f>
        <v>1000000</v>
      </c>
    </row>
    <row r="29" customFormat="false" ht="15" hidden="false" customHeight="false" outlineLevel="0" collapsed="false">
      <c r="A29" s="1" t="s">
        <v>285</v>
      </c>
      <c r="B29" s="1" t="s">
        <v>286</v>
      </c>
      <c r="C29" s="11" t="n">
        <f aca="false">C27-C28</f>
        <v>0</v>
      </c>
      <c r="D29" s="11" t="n">
        <f aca="false">D27-D28</f>
        <v>-170000</v>
      </c>
      <c r="E29" s="11" t="n">
        <f aca="false">E27-E28</f>
        <v>-420000</v>
      </c>
      <c r="F29" s="11" t="n">
        <f aca="false">F27-F28</f>
        <v>-420000</v>
      </c>
      <c r="G29" s="11" t="n">
        <f aca="false">G27-G28</f>
        <v>-420000</v>
      </c>
      <c r="H29" s="11" t="n">
        <f aca="false">H27-H28</f>
        <v>-420000</v>
      </c>
      <c r="I29" s="11" t="n">
        <f aca="false">I27-I28</f>
        <v>-163982.831272748</v>
      </c>
      <c r="J29" s="11" t="n">
        <f aca="false">J27-J28</f>
        <v>-156176.176362532</v>
      </c>
      <c r="K29" s="11" t="n">
        <f aca="false">K27-K28</f>
        <v>-147512.680242726</v>
      </c>
      <c r="L29" s="11" t="n">
        <f aca="false">L27-L28</f>
        <v>-138241.193055743</v>
      </c>
      <c r="M29" s="11" t="n">
        <f aca="false">M27-M28</f>
        <v>-128489.669144968</v>
      </c>
      <c r="N29" s="11" t="n">
        <f aca="false">N27-N28</f>
        <v>-118337.705573054</v>
      </c>
      <c r="O29" s="11" t="n">
        <f aca="false">O27-O28</f>
        <v>-107840.167184749</v>
      </c>
      <c r="P29" s="11" t="n">
        <f aca="false">P27-P28</f>
        <v>-97037.4214129273</v>
      </c>
      <c r="Q29" s="11" t="n">
        <f aca="false">Q27-Q28</f>
        <v>-85960.5500880091</v>
      </c>
      <c r="R29" s="11" t="n">
        <f aca="false">R27-R28</f>
        <v>-74634.3024628846</v>
      </c>
      <c r="S29" s="11" t="n">
        <f aca="false">S27-S28</f>
        <v>-63078.9015314874</v>
      </c>
      <c r="T29" s="11" t="n">
        <f aca="false">T27-T28</f>
        <v>-51311.214752789</v>
      </c>
      <c r="U29" s="11" t="n">
        <f aca="false">U27-U28</f>
        <v>-39345.548079061</v>
      </c>
      <c r="V29" s="11" t="n">
        <f aca="false">V27-V28</f>
        <v>-27194.2045964598</v>
      </c>
      <c r="W29" s="11" t="n">
        <f aca="false">W27-W28</f>
        <v>-14867.8896206307</v>
      </c>
      <c r="X29" s="11" t="n">
        <f aca="false">X27-X28</f>
        <v>-2376.01200137538</v>
      </c>
      <c r="Y29" s="11" t="n">
        <f aca="false">Y27-Y28</f>
        <v>10273.0868717664</v>
      </c>
      <c r="Z29" s="11" t="n">
        <f aca="false">Z27-Z28</f>
        <v>23071.9557375193</v>
      </c>
      <c r="AA29" s="11" t="n">
        <f aca="false">AA27-AA28</f>
        <v>36013.8938938396</v>
      </c>
      <c r="AB29" s="11" t="n">
        <f aca="false">AB27-AB28</f>
        <v>49092.8397680585</v>
      </c>
      <c r="AC29" s="11" t="n">
        <f aca="false">AC27-AC28</f>
        <v>62303.28081786</v>
      </c>
      <c r="AD29" s="11" t="n">
        <f aca="false">AD27-AD28</f>
        <v>75640.1798505129</v>
      </c>
      <c r="AE29" s="11" t="n">
        <f aca="false">AE27-AE28</f>
        <v>89098.9141527768</v>
      </c>
      <c r="AF29" s="11" t="n">
        <f aca="false">AF27-AF28</f>
        <v>102675.224740135</v>
      </c>
      <c r="AG29" s="11" t="n">
        <f aca="false">AG27-AG28</f>
        <v>116365.17368878</v>
      </c>
      <c r="AH29" s="11" t="n">
        <f aca="false">AH27-AH28</f>
        <v>130165.107989244</v>
      </c>
      <c r="AI29" s="11" t="n">
        <f aca="false">AI27-AI28</f>
        <v>144071.628710907</v>
      </c>
      <c r="AJ29" s="11" t="n">
        <f aca="false">AJ27-AJ28</f>
        <v>158081.564528179</v>
      </c>
      <c r="AK29" s="11" t="n">
        <f aca="false">AK27-AK28</f>
        <v>172191.948856827</v>
      </c>
      <c r="AL29" s="11" t="n">
        <f aca="false">AL27-AL28</f>
        <v>186400</v>
      </c>
      <c r="AM29" s="11" t="n">
        <f aca="false">SUM(C29:N29)</f>
        <v>-2702740.25565177</v>
      </c>
      <c r="AN29" s="11" t="n">
        <f aca="false">SUM(O29:Z29)</f>
        <v>-530301.169121087</v>
      </c>
      <c r="AO29" s="11" t="n">
        <f aca="false">SUM(AA29:AL29)</f>
        <v>1322099.75699712</v>
      </c>
      <c r="AP29" s="11" t="n">
        <f aca="false">SUM(C29:AL29)</f>
        <v>-1910941.66777574</v>
      </c>
    </row>
    <row r="30" customFormat="false" ht="15" hidden="false" customHeight="false" outlineLevel="0" collapsed="false">
      <c r="A30" s="1" t="s">
        <v>287</v>
      </c>
      <c r="B30" s="1" t="s">
        <v>288</v>
      </c>
      <c r="C30" s="11" t="n">
        <f aca="false">0+C29</f>
        <v>0</v>
      </c>
      <c r="D30" s="11" t="n">
        <f aca="false">C30+D29</f>
        <v>-170000</v>
      </c>
      <c r="E30" s="11" t="n">
        <f aca="false">D30+E29</f>
        <v>-590000</v>
      </c>
      <c r="F30" s="11" t="n">
        <f aca="false">E30+F29</f>
        <v>-1010000</v>
      </c>
      <c r="G30" s="11" t="n">
        <f aca="false">F30+G29</f>
        <v>-1430000</v>
      </c>
      <c r="H30" s="11" t="n">
        <f aca="false">G30+H29</f>
        <v>-1850000</v>
      </c>
      <c r="I30" s="11" t="n">
        <f aca="false">H30+I29</f>
        <v>-2013982.83127275</v>
      </c>
      <c r="J30" s="11" t="n">
        <f aca="false">I30+J29</f>
        <v>-2170159.00763528</v>
      </c>
      <c r="K30" s="11" t="n">
        <f aca="false">J30+K29</f>
        <v>-2317671.68787801</v>
      </c>
      <c r="L30" s="11" t="n">
        <f aca="false">K30+L29</f>
        <v>-2455912.88093375</v>
      </c>
      <c r="M30" s="11" t="n">
        <f aca="false">L30+M29</f>
        <v>-2584402.55007872</v>
      </c>
      <c r="N30" s="11" t="n">
        <f aca="false">M30+N29</f>
        <v>-2702740.25565177</v>
      </c>
      <c r="O30" s="11" t="n">
        <f aca="false">N30+O29</f>
        <v>-2810580.42283652</v>
      </c>
      <c r="P30" s="11" t="n">
        <f aca="false">O30+P29</f>
        <v>-2907617.84424945</v>
      </c>
      <c r="Q30" s="11" t="n">
        <f aca="false">P30+Q29</f>
        <v>-2993578.39433746</v>
      </c>
      <c r="R30" s="11" t="n">
        <f aca="false">Q30+R29</f>
        <v>-3068212.69680034</v>
      </c>
      <c r="S30" s="11" t="n">
        <f aca="false">R30+S29</f>
        <v>-3131291.59833183</v>
      </c>
      <c r="T30" s="11" t="n">
        <f aca="false">S30+T29</f>
        <v>-3182602.81308462</v>
      </c>
      <c r="U30" s="11" t="n">
        <f aca="false">T30+U29</f>
        <v>-3221948.36116368</v>
      </c>
      <c r="V30" s="11" t="n">
        <f aca="false">U30+V29</f>
        <v>-3249142.56576014</v>
      </c>
      <c r="W30" s="11" t="n">
        <f aca="false">V30+W29</f>
        <v>-3264010.45538077</v>
      </c>
      <c r="X30" s="11" t="n">
        <f aca="false">W30+X29</f>
        <v>-3266386.46738214</v>
      </c>
      <c r="Y30" s="11" t="n">
        <f aca="false">X30+Y29</f>
        <v>-3256113.38051038</v>
      </c>
      <c r="Z30" s="11" t="n">
        <f aca="false">Y30+Z29</f>
        <v>-3233041.42477286</v>
      </c>
      <c r="AA30" s="11" t="n">
        <f aca="false">Z30+AA29</f>
        <v>-3197027.53087902</v>
      </c>
      <c r="AB30" s="11" t="n">
        <f aca="false">AA30+AB29</f>
        <v>-3147934.69111096</v>
      </c>
      <c r="AC30" s="11" t="n">
        <f aca="false">AB30+AC29</f>
        <v>-3085631.4102931</v>
      </c>
      <c r="AD30" s="11" t="n">
        <f aca="false">AC30+AD29</f>
        <v>-3009991.23044259</v>
      </c>
      <c r="AE30" s="11" t="n">
        <f aca="false">AD30+AE29</f>
        <v>-2920892.31628981</v>
      </c>
      <c r="AF30" s="11" t="n">
        <f aca="false">AE30+AF29</f>
        <v>-2818217.09154967</v>
      </c>
      <c r="AG30" s="11" t="n">
        <f aca="false">AF30+AG29</f>
        <v>-2701851.91786089</v>
      </c>
      <c r="AH30" s="11" t="n">
        <f aca="false">AG30+AH29</f>
        <v>-2571686.80987165</v>
      </c>
      <c r="AI30" s="11" t="n">
        <f aca="false">AH30+AI29</f>
        <v>-2427615.18116074</v>
      </c>
      <c r="AJ30" s="11" t="n">
        <f aca="false">AI30+AJ29</f>
        <v>-2269533.61663256</v>
      </c>
      <c r="AK30" s="11" t="n">
        <f aca="false">AJ30+AK29</f>
        <v>-2097341.66777574</v>
      </c>
      <c r="AL30" s="11" t="n">
        <f aca="false">AK30+AL29</f>
        <v>-1910941.66777574</v>
      </c>
      <c r="AM30" s="11" t="n">
        <f aca="false">N30</f>
        <v>-2702740.25565177</v>
      </c>
      <c r="AN30" s="11" t="n">
        <f aca="false">Z30</f>
        <v>-3233041.42477286</v>
      </c>
      <c r="AO30" s="11" t="n">
        <f aca="false">AL30</f>
        <v>-1910941.66777574</v>
      </c>
      <c r="AP30" s="1"/>
    </row>
    <row r="31" customFormat="false" ht="15" hidden="false" customHeight="false" outlineLevel="0" collapsed="false">
      <c r="A31" s="0" t="s">
        <v>289</v>
      </c>
      <c r="B31" s="0" t="s">
        <v>290</v>
      </c>
      <c r="C31" s="0" t="n">
        <f aca="false">IF(AND(C27&gt;0,COUNTIF(C27:AL27,"&lt;=0")=0),C$19,99)</f>
        <v>99</v>
      </c>
      <c r="D31" s="0" t="n">
        <f aca="false">IF(AND(D27&gt;0,COUNTIF(D27:AL27,"&lt;=0")=0),D$19,99)</f>
        <v>99</v>
      </c>
      <c r="E31" s="0" t="n">
        <f aca="false">IF(AND(E27&gt;0,COUNTIF(E27:AL27,"&lt;=0")=0),E$19,99)</f>
        <v>99</v>
      </c>
      <c r="F31" s="0" t="n">
        <f aca="false">IF(AND(F27&gt;0,COUNTIF(F27:AL27,"&lt;=0")=0),F$19,99)</f>
        <v>99</v>
      </c>
      <c r="G31" s="0" t="n">
        <f aca="false">IF(AND(G27&gt;0,COUNTIF(G27:AL27,"&lt;=0")=0),G$19,99)</f>
        <v>99</v>
      </c>
      <c r="H31" s="0" t="n">
        <f aca="false">IF(AND(H27&gt;0,COUNTIF(H27:AL27,"&lt;=0")=0),H$19,99)</f>
        <v>99</v>
      </c>
      <c r="I31" s="0" t="n">
        <f aca="false">IF(AND(I27&gt;0,COUNTIF(I27:AL27,"&lt;=0")=0),I$19,99)</f>
        <v>99</v>
      </c>
      <c r="J31" s="0" t="n">
        <f aca="false">IF(AND(J27&gt;0,COUNTIF(J27:AL27,"&lt;=0")=0),J$19,99)</f>
        <v>99</v>
      </c>
      <c r="K31" s="0" t="n">
        <f aca="false">IF(AND(K27&gt;0,COUNTIF(K27:AL27,"&lt;=0")=0),K$19,99)</f>
        <v>99</v>
      </c>
      <c r="L31" s="0" t="n">
        <f aca="false">IF(AND(L27&gt;0,COUNTIF(L27:AL27,"&lt;=0")=0),L$19,99)</f>
        <v>99</v>
      </c>
      <c r="M31" s="0" t="n">
        <f aca="false">IF(AND(M27&gt;0,COUNTIF(M27:AL27,"&lt;=0")=0),M$19,99)</f>
        <v>99</v>
      </c>
      <c r="N31" s="0" t="n">
        <f aca="false">IF(AND(N27&gt;0,COUNTIF(N27:AL27,"&lt;=0")=0),N$19,99)</f>
        <v>99</v>
      </c>
      <c r="O31" s="0" t="n">
        <f aca="false">IF(AND(O27&gt;0,COUNTIF(O27:AL27,"&lt;=0")=0),O$19,99)</f>
        <v>99</v>
      </c>
      <c r="P31" s="0" t="n">
        <f aca="false">IF(AND(P27&gt;0,COUNTIF(P27:AL27,"&lt;=0")=0),P$19,99)</f>
        <v>99</v>
      </c>
      <c r="Q31" s="0" t="n">
        <f aca="false">IF(AND(Q27&gt;0,COUNTIF(Q27:AL27,"&lt;=0")=0),Q$19,99)</f>
        <v>99</v>
      </c>
      <c r="R31" s="0" t="n">
        <f aca="false">IF(AND(R27&gt;0,COUNTIF(R27:AL27,"&lt;=0")=0),R$19,99)</f>
        <v>99</v>
      </c>
      <c r="S31" s="0" t="n">
        <f aca="false">IF(AND(S27&gt;0,COUNTIF(S27:AL27,"&lt;=0")=0),S$19,99)</f>
        <v>99</v>
      </c>
      <c r="T31" s="0" t="n">
        <f aca="false">IF(AND(T27&gt;0,COUNTIF(T27:AL27,"&lt;=0")=0),T$19,99)</f>
        <v>99</v>
      </c>
      <c r="U31" s="0" t="n">
        <f aca="false">IF(AND(U27&gt;0,COUNTIF(U27:AL27,"&lt;=0")=0),U$19,99)</f>
        <v>99</v>
      </c>
      <c r="V31" s="0" t="n">
        <f aca="false">IF(AND(V27&gt;0,COUNTIF(V27:AL27,"&lt;=0")=0),V$19,99)</f>
        <v>99</v>
      </c>
      <c r="W31" s="0" t="n">
        <f aca="false">IF(AND(W27&gt;0,COUNTIF(W27:AL27,"&lt;=0")=0),W$19,99)</f>
        <v>99</v>
      </c>
      <c r="X31" s="0" t="n">
        <f aca="false">IF(AND(X27&gt;0,COUNTIF(X27:AL27,"&lt;=0")=0),X$19,99)</f>
        <v>99</v>
      </c>
      <c r="Y31" s="0" t="n">
        <f aca="false">IF(AND(Y27&gt;0,COUNTIF(Y27:AL27,"&lt;=0")=0),Y$19,99)</f>
        <v>23</v>
      </c>
      <c r="Z31" s="0" t="n">
        <f aca="false">IF(AND(Z27&gt;0,COUNTIF(Z27:AL27,"&lt;=0")=0),Z$19,99)</f>
        <v>24</v>
      </c>
      <c r="AA31" s="0" t="n">
        <f aca="false">IF(AND(AA27&gt;0,COUNTIF(AA27:AL27,"&lt;=0")=0),AA$19,99)</f>
        <v>25</v>
      </c>
      <c r="AB31" s="0" t="n">
        <f aca="false">IF(AND(AB27&gt;0,COUNTIF(AB27:AL27,"&lt;=0")=0),AB$19,99)</f>
        <v>26</v>
      </c>
      <c r="AC31" s="0" t="n">
        <f aca="false">IF(AND(AC27&gt;0,COUNTIF(AC27:AL27,"&lt;=0")=0),AC$19,99)</f>
        <v>27</v>
      </c>
      <c r="AD31" s="0" t="n">
        <f aca="false">IF(AND(AD27&gt;0,COUNTIF(AD27:AL27,"&lt;=0")=0),AD$19,99)</f>
        <v>28</v>
      </c>
      <c r="AE31" s="0" t="n">
        <f aca="false">IF(AND(AE27&gt;0,COUNTIF(AE27:AL27,"&lt;=0")=0),AE$19,99)</f>
        <v>29</v>
      </c>
      <c r="AF31" s="0" t="n">
        <f aca="false">IF(AND(AF27&gt;0,COUNTIF(AF27:AL27,"&lt;=0")=0),AF$19,99)</f>
        <v>30</v>
      </c>
      <c r="AG31" s="0" t="n">
        <f aca="false">IF(AND(AG27&gt;0,COUNTIF(AG27:AL27,"&lt;=0")=0),AG$19,99)</f>
        <v>31</v>
      </c>
      <c r="AH31" s="0" t="n">
        <f aca="false">IF(AND(AH27&gt;0,COUNTIF(AH27:AL27,"&lt;=0")=0),AH$19,99)</f>
        <v>32</v>
      </c>
      <c r="AI31" s="0" t="n">
        <f aca="false">IF(AND(AI27&gt;0,COUNTIF(AI27:AL27,"&lt;=0")=0),AI$19,99)</f>
        <v>33</v>
      </c>
      <c r="AJ31" s="0" t="n">
        <f aca="false">IF(AND(AJ27&gt;0,COUNTIF(AJ27:AL27,"&lt;=0")=0),AJ$19,99)</f>
        <v>34</v>
      </c>
      <c r="AK31" s="0" t="n">
        <f aca="false">IF(AND(AK27&gt;0,COUNTIF(AK27:AL27,"&lt;=0")=0),AK$19,99)</f>
        <v>35</v>
      </c>
      <c r="AL31" s="0" t="n">
        <f aca="false">IF(AND(AL27&gt;0,COUNTIF(AL27:AL27,"&lt;=0")=0),AL$19,99)</f>
        <v>36</v>
      </c>
    </row>
    <row r="32" customFormat="false" ht="15" hidden="false" customHeight="false" outlineLevel="0" collapsed="false">
      <c r="A32" s="0" t="s">
        <v>291</v>
      </c>
      <c r="B32" s="0" t="s">
        <v>292</v>
      </c>
      <c r="C32" s="0" t="n">
        <f aca="false">IF(AND(C30&gt;=0,COUNTIF(C30:AL30,"&lt;0")=0),C$19,99)</f>
        <v>99</v>
      </c>
      <c r="D32" s="0" t="n">
        <f aca="false">IF(AND(D30&gt;=0,COUNTIF(D30:AL30,"&lt;0")=0),D$19,99)</f>
        <v>99</v>
      </c>
      <c r="E32" s="0" t="n">
        <f aca="false">IF(AND(E30&gt;=0,COUNTIF(E30:AL30,"&lt;0")=0),E$19,99)</f>
        <v>99</v>
      </c>
      <c r="F32" s="0" t="n">
        <f aca="false">IF(AND(F30&gt;=0,COUNTIF(F30:AL30,"&lt;0")=0),F$19,99)</f>
        <v>99</v>
      </c>
      <c r="G32" s="0" t="n">
        <f aca="false">IF(AND(G30&gt;=0,COUNTIF(G30:AL30,"&lt;0")=0),G$19,99)</f>
        <v>99</v>
      </c>
      <c r="H32" s="0" t="n">
        <f aca="false">IF(AND(H30&gt;=0,COUNTIF(H30:AL30,"&lt;0")=0),H$19,99)</f>
        <v>99</v>
      </c>
      <c r="I32" s="0" t="n">
        <f aca="false">IF(AND(I30&gt;=0,COUNTIF(I30:AL30,"&lt;0")=0),I$19,99)</f>
        <v>99</v>
      </c>
      <c r="J32" s="0" t="n">
        <f aca="false">IF(AND(J30&gt;=0,COUNTIF(J30:AL30,"&lt;0")=0),J$19,99)</f>
        <v>99</v>
      </c>
      <c r="K32" s="0" t="n">
        <f aca="false">IF(AND(K30&gt;=0,COUNTIF(K30:AL30,"&lt;0")=0),K$19,99)</f>
        <v>99</v>
      </c>
      <c r="L32" s="0" t="n">
        <f aca="false">IF(AND(L30&gt;=0,COUNTIF(L30:AL30,"&lt;0")=0),L$19,99)</f>
        <v>99</v>
      </c>
      <c r="M32" s="0" t="n">
        <f aca="false">IF(AND(M30&gt;=0,COUNTIF(M30:AL30,"&lt;0")=0),M$19,99)</f>
        <v>99</v>
      </c>
      <c r="N32" s="0" t="n">
        <f aca="false">IF(AND(N30&gt;=0,COUNTIF(N30:AL30,"&lt;0")=0),N$19,99)</f>
        <v>99</v>
      </c>
      <c r="O32" s="0" t="n">
        <f aca="false">IF(AND(O30&gt;=0,COUNTIF(O30:AL30,"&lt;0")=0),O$19,99)</f>
        <v>99</v>
      </c>
      <c r="P32" s="0" t="n">
        <f aca="false">IF(AND(P30&gt;=0,COUNTIF(P30:AL30,"&lt;0")=0),P$19,99)</f>
        <v>99</v>
      </c>
      <c r="Q32" s="0" t="n">
        <f aca="false">IF(AND(Q30&gt;=0,COUNTIF(Q30:AL30,"&lt;0")=0),Q$19,99)</f>
        <v>99</v>
      </c>
      <c r="R32" s="0" t="n">
        <f aca="false">IF(AND(R30&gt;=0,COUNTIF(R30:AL30,"&lt;0")=0),R$19,99)</f>
        <v>99</v>
      </c>
      <c r="S32" s="0" t="n">
        <f aca="false">IF(AND(S30&gt;=0,COUNTIF(S30:AL30,"&lt;0")=0),S$19,99)</f>
        <v>99</v>
      </c>
      <c r="T32" s="0" t="n">
        <f aca="false">IF(AND(T30&gt;=0,COUNTIF(T30:AL30,"&lt;0")=0),T$19,99)</f>
        <v>99</v>
      </c>
      <c r="U32" s="0" t="n">
        <f aca="false">IF(AND(U30&gt;=0,COUNTIF(U30:AL30,"&lt;0")=0),U$19,99)</f>
        <v>99</v>
      </c>
      <c r="V32" s="0" t="n">
        <f aca="false">IF(AND(V30&gt;=0,COUNTIF(V30:AL30,"&lt;0")=0),V$19,99)</f>
        <v>99</v>
      </c>
      <c r="W32" s="0" t="n">
        <f aca="false">IF(AND(W30&gt;=0,COUNTIF(W30:AL30,"&lt;0")=0),W$19,99)</f>
        <v>99</v>
      </c>
      <c r="X32" s="0" t="n">
        <f aca="false">IF(AND(X30&gt;=0,COUNTIF(X30:AL30,"&lt;0")=0),X$19,99)</f>
        <v>99</v>
      </c>
      <c r="Y32" s="0" t="n">
        <f aca="false">IF(AND(Y30&gt;=0,COUNTIF(Y30:AL30,"&lt;0")=0),Y$19,99)</f>
        <v>99</v>
      </c>
      <c r="Z32" s="0" t="n">
        <f aca="false">IF(AND(Z30&gt;=0,COUNTIF(Z30:AL30,"&lt;0")=0),Z$19,99)</f>
        <v>99</v>
      </c>
      <c r="AA32" s="0" t="n">
        <f aca="false">IF(AND(AA30&gt;=0,COUNTIF(AA30:AL30,"&lt;0")=0),AA$19,99)</f>
        <v>99</v>
      </c>
      <c r="AB32" s="0" t="n">
        <f aca="false">IF(AND(AB30&gt;=0,COUNTIF(AB30:AL30,"&lt;0")=0),AB$19,99)</f>
        <v>99</v>
      </c>
      <c r="AC32" s="0" t="n">
        <f aca="false">IF(AND(AC30&gt;=0,COUNTIF(AC30:AL30,"&lt;0")=0),AC$19,99)</f>
        <v>99</v>
      </c>
      <c r="AD32" s="0" t="n">
        <f aca="false">IF(AND(AD30&gt;=0,COUNTIF(AD30:AL30,"&lt;0")=0),AD$19,99)</f>
        <v>99</v>
      </c>
      <c r="AE32" s="0" t="n">
        <f aca="false">IF(AND(AE30&gt;=0,COUNTIF(AE30:AL30,"&lt;0")=0),AE$19,99)</f>
        <v>99</v>
      </c>
      <c r="AF32" s="0" t="n">
        <f aca="false">IF(AND(AF30&gt;=0,COUNTIF(AF30:AL30,"&lt;0")=0),AF$19,99)</f>
        <v>99</v>
      </c>
      <c r="AG32" s="0" t="n">
        <f aca="false">IF(AND(AG30&gt;=0,COUNTIF(AG30:AL30,"&lt;0")=0),AG$19,99)</f>
        <v>99</v>
      </c>
      <c r="AH32" s="0" t="n">
        <f aca="false">IF(AND(AH30&gt;=0,COUNTIF(AH30:AL30,"&lt;0")=0),AH$19,99)</f>
        <v>99</v>
      </c>
      <c r="AI32" s="0" t="n">
        <f aca="false">IF(AND(AI30&gt;=0,COUNTIF(AI30:AL30,"&lt;0")=0),AI$19,99)</f>
        <v>99</v>
      </c>
      <c r="AJ32" s="0" t="n">
        <f aca="false">IF(AND(AJ30&gt;=0,COUNTIF(AJ30:AL30,"&lt;0")=0),AJ$19,99)</f>
        <v>99</v>
      </c>
      <c r="AK32" s="0" t="n">
        <f aca="false">IF(AND(AK30&gt;=0,COUNTIF(AK30:AL30,"&lt;0")=0),AK$19,99)</f>
        <v>99</v>
      </c>
      <c r="AL32" s="0" t="n">
        <f aca="false">IF(AND(AL30&gt;=0,COUNTIF(AL30:AL30,"&lt;0")=0),AL$19,99)</f>
        <v>99</v>
      </c>
    </row>
    <row r="34" customFormat="false" ht="15" hidden="false" customHeight="false" outlineLevel="0" collapsed="false">
      <c r="A34" s="1" t="s">
        <v>294</v>
      </c>
      <c r="B34" s="1" t="s">
        <v>252</v>
      </c>
      <c r="C34" s="1" t="n">
        <v>1</v>
      </c>
      <c r="D34" s="1" t="n">
        <v>2</v>
      </c>
      <c r="E34" s="1" t="n">
        <v>3</v>
      </c>
      <c r="F34" s="1" t="n">
        <v>4</v>
      </c>
      <c r="G34" s="1" t="n">
        <v>5</v>
      </c>
      <c r="H34" s="1" t="n">
        <v>6</v>
      </c>
      <c r="I34" s="1" t="n">
        <v>7</v>
      </c>
      <c r="J34" s="1" t="n">
        <v>8</v>
      </c>
      <c r="K34" s="1" t="n">
        <v>9</v>
      </c>
      <c r="L34" s="1" t="n">
        <v>10</v>
      </c>
      <c r="M34" s="1" t="n">
        <v>11</v>
      </c>
      <c r="N34" s="1" t="n">
        <v>12</v>
      </c>
      <c r="O34" s="1" t="n">
        <v>13</v>
      </c>
      <c r="P34" s="1" t="n">
        <v>14</v>
      </c>
      <c r="Q34" s="1" t="n">
        <v>15</v>
      </c>
      <c r="R34" s="1" t="n">
        <v>16</v>
      </c>
      <c r="S34" s="1" t="n">
        <v>17</v>
      </c>
      <c r="T34" s="1" t="n">
        <v>18</v>
      </c>
      <c r="U34" s="1" t="n">
        <v>19</v>
      </c>
      <c r="V34" s="1" t="n">
        <v>20</v>
      </c>
      <c r="W34" s="1" t="n">
        <v>21</v>
      </c>
      <c r="X34" s="1" t="n">
        <v>22</v>
      </c>
      <c r="Y34" s="1" t="n">
        <v>23</v>
      </c>
      <c r="Z34" s="1" t="n">
        <v>24</v>
      </c>
      <c r="AA34" s="1" t="n">
        <v>25</v>
      </c>
      <c r="AB34" s="1" t="n">
        <v>26</v>
      </c>
      <c r="AC34" s="1" t="n">
        <v>27</v>
      </c>
      <c r="AD34" s="1" t="n">
        <v>28</v>
      </c>
      <c r="AE34" s="1" t="n">
        <v>29</v>
      </c>
      <c r="AF34" s="1" t="n">
        <v>30</v>
      </c>
      <c r="AG34" s="1" t="n">
        <v>31</v>
      </c>
      <c r="AH34" s="1" t="n">
        <v>32</v>
      </c>
      <c r="AI34" s="1" t="n">
        <v>33</v>
      </c>
      <c r="AJ34" s="1" t="n">
        <v>34</v>
      </c>
      <c r="AK34" s="1" t="n">
        <v>35</v>
      </c>
      <c r="AL34" s="1" t="n">
        <v>36</v>
      </c>
      <c r="AM34" s="1" t="s">
        <v>253</v>
      </c>
      <c r="AN34" s="1" t="s">
        <v>254</v>
      </c>
      <c r="AO34" s="1" t="s">
        <v>255</v>
      </c>
      <c r="AP34" s="1" t="s">
        <v>256</v>
      </c>
    </row>
    <row r="35" customFormat="false" ht="15" hidden="false" customHeight="false" outlineLevel="0" collapsed="false">
      <c r="A35" s="0" t="s">
        <v>319</v>
      </c>
      <c r="B35" s="0" t="s">
        <v>320</v>
      </c>
      <c r="C35" s="10" t="n">
        <f aca="false">Допущения!$E$61*IF(C$34&lt;Допущения!$E$58,0,((C$34-Допущения!$E$58+1)/(36-Допущения!$E$58+1))^Допущения!$E$67)</f>
        <v>0</v>
      </c>
      <c r="D35" s="10" t="n">
        <f aca="false">Допущения!$E$61*IF(D$34&lt;Допущения!$E$58,0,((D$34-Допущения!$E$58+1)/(36-Допущения!$E$58+1))^Допущения!$E$67)</f>
        <v>0</v>
      </c>
      <c r="E35" s="10" t="n">
        <f aca="false">Допущения!$E$61*IF(E$34&lt;Допущения!$E$58,0,((E$34-Допущения!$E$58+1)/(36-Допущения!$E$58+1))^Допущения!$E$67)</f>
        <v>0</v>
      </c>
      <c r="F35" s="10" t="n">
        <f aca="false">Допущения!$E$61*IF(F$34&lt;Допущения!$E$58,0,((F$34-Допущения!$E$58+1)/(36-Допущения!$E$58+1))^Допущения!$E$67)</f>
        <v>0</v>
      </c>
      <c r="G35" s="10" t="n">
        <f aca="false">Допущения!$E$61*IF(G$34&lt;Допущения!$E$58,0,((G$34-Допущения!$E$58+1)/(36-Допущения!$E$58+1))^Допущения!$E$67)</f>
        <v>15.625</v>
      </c>
      <c r="H35" s="10" t="n">
        <f aca="false">Допущения!$E$61*IF(H$34&lt;Допущения!$E$58,0,((H$34-Допущения!$E$58+1)/(36-Допущения!$E$58+1))^Допущения!$E$67)</f>
        <v>31.25</v>
      </c>
      <c r="I35" s="10" t="n">
        <f aca="false">Допущения!$E$61*IF(I$34&lt;Допущения!$E$58,0,((I$34-Допущения!$E$58+1)/(36-Допущения!$E$58+1))^Допущения!$E$67)</f>
        <v>46.875</v>
      </c>
      <c r="J35" s="10" t="n">
        <f aca="false">Допущения!$E$61*IF(J$34&lt;Допущения!$E$58,0,((J$34-Допущения!$E$58+1)/(36-Допущения!$E$58+1))^Допущения!$E$67)</f>
        <v>62.5</v>
      </c>
      <c r="K35" s="10" t="n">
        <f aca="false">Допущения!$E$61*IF(K$34&lt;Допущения!$E$58,0,((K$34-Допущения!$E$58+1)/(36-Допущения!$E$58+1))^Допущения!$E$67)</f>
        <v>78.125</v>
      </c>
      <c r="L35" s="10" t="n">
        <f aca="false">Допущения!$E$61*IF(L$34&lt;Допущения!$E$58,0,((L$34-Допущения!$E$58+1)/(36-Допущения!$E$58+1))^Допущения!$E$67)</f>
        <v>93.75</v>
      </c>
      <c r="M35" s="10" t="n">
        <f aca="false">Допущения!$E$61*IF(M$34&lt;Допущения!$E$58,0,((M$34-Допущения!$E$58+1)/(36-Допущения!$E$58+1))^Допущения!$E$67)</f>
        <v>109.375</v>
      </c>
      <c r="N35" s="10" t="n">
        <f aca="false">Допущения!$E$61*IF(N$34&lt;Допущения!$E$58,0,((N$34-Допущения!$E$58+1)/(36-Допущения!$E$58+1))^Допущения!$E$67)</f>
        <v>125</v>
      </c>
      <c r="O35" s="10" t="n">
        <f aca="false">Допущения!$E$61*IF(O$34&lt;Допущения!$E$58,0,((O$34-Допущения!$E$58+1)/(36-Допущения!$E$58+1))^Допущения!$E$67)</f>
        <v>140.625</v>
      </c>
      <c r="P35" s="10" t="n">
        <f aca="false">Допущения!$E$61*IF(P$34&lt;Допущения!$E$58,0,((P$34-Допущения!$E$58+1)/(36-Допущения!$E$58+1))^Допущения!$E$67)</f>
        <v>156.25</v>
      </c>
      <c r="Q35" s="10" t="n">
        <f aca="false">Допущения!$E$61*IF(Q$34&lt;Допущения!$E$58,0,((Q$34-Допущения!$E$58+1)/(36-Допущения!$E$58+1))^Допущения!$E$67)</f>
        <v>171.875</v>
      </c>
      <c r="R35" s="10" t="n">
        <f aca="false">Допущения!$E$61*IF(R$34&lt;Допущения!$E$58,0,((R$34-Допущения!$E$58+1)/(36-Допущения!$E$58+1))^Допущения!$E$67)</f>
        <v>187.5</v>
      </c>
      <c r="S35" s="10" t="n">
        <f aca="false">Допущения!$E$61*IF(S$34&lt;Допущения!$E$58,0,((S$34-Допущения!$E$58+1)/(36-Допущения!$E$58+1))^Допущения!$E$67)</f>
        <v>203.125</v>
      </c>
      <c r="T35" s="10" t="n">
        <f aca="false">Допущения!$E$61*IF(T$34&lt;Допущения!$E$58,0,((T$34-Допущения!$E$58+1)/(36-Допущения!$E$58+1))^Допущения!$E$67)</f>
        <v>218.75</v>
      </c>
      <c r="U35" s="10" t="n">
        <f aca="false">Допущения!$E$61*IF(U$34&lt;Допущения!$E$58,0,((U$34-Допущения!$E$58+1)/(36-Допущения!$E$58+1))^Допущения!$E$67)</f>
        <v>234.375</v>
      </c>
      <c r="V35" s="10" t="n">
        <f aca="false">Допущения!$E$61*IF(V$34&lt;Допущения!$E$58,0,((V$34-Допущения!$E$58+1)/(36-Допущения!$E$58+1))^Допущения!$E$67)</f>
        <v>250</v>
      </c>
      <c r="W35" s="10" t="n">
        <f aca="false">Допущения!$E$61*IF(W$34&lt;Допущения!$E$58,0,((W$34-Допущения!$E$58+1)/(36-Допущения!$E$58+1))^Допущения!$E$67)</f>
        <v>265.625</v>
      </c>
      <c r="X35" s="10" t="n">
        <f aca="false">Допущения!$E$61*IF(X$34&lt;Допущения!$E$58,0,((X$34-Допущения!$E$58+1)/(36-Допущения!$E$58+1))^Допущения!$E$67)</f>
        <v>281.25</v>
      </c>
      <c r="Y35" s="10" t="n">
        <f aca="false">Допущения!$E$61*IF(Y$34&lt;Допущения!$E$58,0,((Y$34-Допущения!$E$58+1)/(36-Допущения!$E$58+1))^Допущения!$E$67)</f>
        <v>296.875</v>
      </c>
      <c r="Z35" s="10" t="n">
        <f aca="false">Допущения!$E$61*IF(Z$34&lt;Допущения!$E$58,0,((Z$34-Допущения!$E$58+1)/(36-Допущения!$E$58+1))^Допущения!$E$67)</f>
        <v>312.5</v>
      </c>
      <c r="AA35" s="10" t="n">
        <f aca="false">Допущения!$E$61*IF(AA$34&lt;Допущения!$E$58,0,((AA$34-Допущения!$E$58+1)/(36-Допущения!$E$58+1))^Допущения!$E$67)</f>
        <v>328.125</v>
      </c>
      <c r="AB35" s="10" t="n">
        <f aca="false">Допущения!$E$61*IF(AB$34&lt;Допущения!$E$58,0,((AB$34-Допущения!$E$58+1)/(36-Допущения!$E$58+1))^Допущения!$E$67)</f>
        <v>343.75</v>
      </c>
      <c r="AC35" s="10" t="n">
        <f aca="false">Допущения!$E$61*IF(AC$34&lt;Допущения!$E$58,0,((AC$34-Допущения!$E$58+1)/(36-Допущения!$E$58+1))^Допущения!$E$67)</f>
        <v>359.375</v>
      </c>
      <c r="AD35" s="10" t="n">
        <f aca="false">Допущения!$E$61*IF(AD$34&lt;Допущения!$E$58,0,((AD$34-Допущения!$E$58+1)/(36-Допущения!$E$58+1))^Допущения!$E$67)</f>
        <v>375</v>
      </c>
      <c r="AE35" s="10" t="n">
        <f aca="false">Допущения!$E$61*IF(AE$34&lt;Допущения!$E$58,0,((AE$34-Допущения!$E$58+1)/(36-Допущения!$E$58+1))^Допущения!$E$67)</f>
        <v>390.625</v>
      </c>
      <c r="AF35" s="10" t="n">
        <f aca="false">Допущения!$E$61*IF(AF$34&lt;Допущения!$E$58,0,((AF$34-Допущения!$E$58+1)/(36-Допущения!$E$58+1))^Допущения!$E$67)</f>
        <v>406.25</v>
      </c>
      <c r="AG35" s="10" t="n">
        <f aca="false">Допущения!$E$61*IF(AG$34&lt;Допущения!$E$58,0,((AG$34-Допущения!$E$58+1)/(36-Допущения!$E$58+1))^Допущения!$E$67)</f>
        <v>421.875</v>
      </c>
      <c r="AH35" s="10" t="n">
        <f aca="false">Допущения!$E$61*IF(AH$34&lt;Допущения!$E$58,0,((AH$34-Допущения!$E$58+1)/(36-Допущения!$E$58+1))^Допущения!$E$67)</f>
        <v>437.5</v>
      </c>
      <c r="AI35" s="10" t="n">
        <f aca="false">Допущения!$E$61*IF(AI$34&lt;Допущения!$E$58,0,((AI$34-Допущения!$E$58+1)/(36-Допущения!$E$58+1))^Допущения!$E$67)</f>
        <v>453.125</v>
      </c>
      <c r="AJ35" s="10" t="n">
        <f aca="false">Допущения!$E$61*IF(AJ$34&lt;Допущения!$E$58,0,((AJ$34-Допущения!$E$58+1)/(36-Допущения!$E$58+1))^Допущения!$E$67)</f>
        <v>468.75</v>
      </c>
      <c r="AK35" s="10" t="n">
        <f aca="false">Допущения!$E$61*IF(AK$34&lt;Допущения!$E$58,0,((AK$34-Допущения!$E$58+1)/(36-Допущения!$E$58+1))^Допущения!$E$67)</f>
        <v>484.375</v>
      </c>
      <c r="AL35" s="10" t="n">
        <f aca="false">Допущения!$E$61*IF(AL$34&lt;Допущения!$E$58,0,((AL$34-Допущения!$E$58+1)/(36-Допущения!$E$58+1))^Допущения!$E$67)</f>
        <v>500</v>
      </c>
      <c r="AM35" s="10" t="n">
        <f aca="false">SUM(C35:N35)</f>
        <v>562.5</v>
      </c>
      <c r="AN35" s="10" t="n">
        <f aca="false">SUM(O35:Z35)</f>
        <v>2718.75</v>
      </c>
      <c r="AO35" s="10" t="n">
        <f aca="false">SUM(AA35:AL35)</f>
        <v>4968.75</v>
      </c>
      <c r="AP35" s="10" t="n">
        <f aca="false">SUM(C35:AL35)</f>
        <v>8250</v>
      </c>
    </row>
    <row r="36" customFormat="false" ht="15" hidden="false" customHeight="false" outlineLevel="0" collapsed="false">
      <c r="A36" s="0" t="s">
        <v>321</v>
      </c>
      <c r="B36" s="0" t="s">
        <v>322</v>
      </c>
      <c r="C36" s="10" t="n">
        <f aca="false">Допущения!$E$63*IF(C$34&lt;Допущения!$E$58,0,((C$34-Допущения!$E$58+1)/(36-Допущения!$E$58+1))^Допущения!$E$67)</f>
        <v>0</v>
      </c>
      <c r="D36" s="10" t="n">
        <f aca="false">Допущения!$E$63*IF(D$34&lt;Допущения!$E$58,0,((D$34-Допущения!$E$58+1)/(36-Допущения!$E$58+1))^Допущения!$E$67)</f>
        <v>0</v>
      </c>
      <c r="E36" s="10" t="n">
        <f aca="false">Допущения!$E$63*IF(E$34&lt;Допущения!$E$58,0,((E$34-Допущения!$E$58+1)/(36-Допущения!$E$58+1))^Допущения!$E$67)</f>
        <v>0</v>
      </c>
      <c r="F36" s="10" t="n">
        <f aca="false">Допущения!$E$63*IF(F$34&lt;Допущения!$E$58,0,((F$34-Допущения!$E$58+1)/(36-Допущения!$E$58+1))^Допущения!$E$67)</f>
        <v>0</v>
      </c>
      <c r="G36" s="10" t="n">
        <f aca="false">Допущения!$E$63*IF(G$34&lt;Допущения!$E$58,0,((G$34-Допущения!$E$58+1)/(36-Допущения!$E$58+1))^Допущения!$E$67)</f>
        <v>46.875</v>
      </c>
      <c r="H36" s="10" t="n">
        <f aca="false">Допущения!$E$63*IF(H$34&lt;Допущения!$E$58,0,((H$34-Допущения!$E$58+1)/(36-Допущения!$E$58+1))^Допущения!$E$67)</f>
        <v>93.75</v>
      </c>
      <c r="I36" s="10" t="n">
        <f aca="false">Допущения!$E$63*IF(I$34&lt;Допущения!$E$58,0,((I$34-Допущения!$E$58+1)/(36-Допущения!$E$58+1))^Допущения!$E$67)</f>
        <v>140.625</v>
      </c>
      <c r="J36" s="10" t="n">
        <f aca="false">Допущения!$E$63*IF(J$34&lt;Допущения!$E$58,0,((J$34-Допущения!$E$58+1)/(36-Допущения!$E$58+1))^Допущения!$E$67)</f>
        <v>187.5</v>
      </c>
      <c r="K36" s="10" t="n">
        <f aca="false">Допущения!$E$63*IF(K$34&lt;Допущения!$E$58,0,((K$34-Допущения!$E$58+1)/(36-Допущения!$E$58+1))^Допущения!$E$67)</f>
        <v>234.375</v>
      </c>
      <c r="L36" s="10" t="n">
        <f aca="false">Допущения!$E$63*IF(L$34&lt;Допущения!$E$58,0,((L$34-Допущения!$E$58+1)/(36-Допущения!$E$58+1))^Допущения!$E$67)</f>
        <v>281.25</v>
      </c>
      <c r="M36" s="10" t="n">
        <f aca="false">Допущения!$E$63*IF(M$34&lt;Допущения!$E$58,0,((M$34-Допущения!$E$58+1)/(36-Допущения!$E$58+1))^Допущения!$E$67)</f>
        <v>328.125</v>
      </c>
      <c r="N36" s="10" t="n">
        <f aca="false">Допущения!$E$63*IF(N$34&lt;Допущения!$E$58,0,((N$34-Допущения!$E$58+1)/(36-Допущения!$E$58+1))^Допущения!$E$67)</f>
        <v>375</v>
      </c>
      <c r="O36" s="10" t="n">
        <f aca="false">Допущения!$E$63*IF(O$34&lt;Допущения!$E$58,0,((O$34-Допущения!$E$58+1)/(36-Допущения!$E$58+1))^Допущения!$E$67)</f>
        <v>421.875</v>
      </c>
      <c r="P36" s="10" t="n">
        <f aca="false">Допущения!$E$63*IF(P$34&lt;Допущения!$E$58,0,((P$34-Допущения!$E$58+1)/(36-Допущения!$E$58+1))^Допущения!$E$67)</f>
        <v>468.75</v>
      </c>
      <c r="Q36" s="10" t="n">
        <f aca="false">Допущения!$E$63*IF(Q$34&lt;Допущения!$E$58,0,((Q$34-Допущения!$E$58+1)/(36-Допущения!$E$58+1))^Допущения!$E$67)</f>
        <v>515.625</v>
      </c>
      <c r="R36" s="10" t="n">
        <f aca="false">Допущения!$E$63*IF(R$34&lt;Допущения!$E$58,0,((R$34-Допущения!$E$58+1)/(36-Допущения!$E$58+1))^Допущения!$E$67)</f>
        <v>562.5</v>
      </c>
      <c r="S36" s="10" t="n">
        <f aca="false">Допущения!$E$63*IF(S$34&lt;Допущения!$E$58,0,((S$34-Допущения!$E$58+1)/(36-Допущения!$E$58+1))^Допущения!$E$67)</f>
        <v>609.375</v>
      </c>
      <c r="T36" s="10" t="n">
        <f aca="false">Допущения!$E$63*IF(T$34&lt;Допущения!$E$58,0,((T$34-Допущения!$E$58+1)/(36-Допущения!$E$58+1))^Допущения!$E$67)</f>
        <v>656.25</v>
      </c>
      <c r="U36" s="10" t="n">
        <f aca="false">Допущения!$E$63*IF(U$34&lt;Допущения!$E$58,0,((U$34-Допущения!$E$58+1)/(36-Допущения!$E$58+1))^Допущения!$E$67)</f>
        <v>703.125</v>
      </c>
      <c r="V36" s="10" t="n">
        <f aca="false">Допущения!$E$63*IF(V$34&lt;Допущения!$E$58,0,((V$34-Допущения!$E$58+1)/(36-Допущения!$E$58+1))^Допущения!$E$67)</f>
        <v>750</v>
      </c>
      <c r="W36" s="10" t="n">
        <f aca="false">Допущения!$E$63*IF(W$34&lt;Допущения!$E$58,0,((W$34-Допущения!$E$58+1)/(36-Допущения!$E$58+1))^Допущения!$E$67)</f>
        <v>796.875</v>
      </c>
      <c r="X36" s="10" t="n">
        <f aca="false">Допущения!$E$63*IF(X$34&lt;Допущения!$E$58,0,((X$34-Допущения!$E$58+1)/(36-Допущения!$E$58+1))^Допущения!$E$67)</f>
        <v>843.75</v>
      </c>
      <c r="Y36" s="10" t="n">
        <f aca="false">Допущения!$E$63*IF(Y$34&lt;Допущения!$E$58,0,((Y$34-Допущения!$E$58+1)/(36-Допущения!$E$58+1))^Допущения!$E$67)</f>
        <v>890.625</v>
      </c>
      <c r="Z36" s="10" t="n">
        <f aca="false">Допущения!$E$63*IF(Z$34&lt;Допущения!$E$58,0,((Z$34-Допущения!$E$58+1)/(36-Допущения!$E$58+1))^Допущения!$E$67)</f>
        <v>937.5</v>
      </c>
      <c r="AA36" s="10" t="n">
        <f aca="false">Допущения!$E$63*IF(AA$34&lt;Допущения!$E$58,0,((AA$34-Допущения!$E$58+1)/(36-Допущения!$E$58+1))^Допущения!$E$67)</f>
        <v>984.375</v>
      </c>
      <c r="AB36" s="10" t="n">
        <f aca="false">Допущения!$E$63*IF(AB$34&lt;Допущения!$E$58,0,((AB$34-Допущения!$E$58+1)/(36-Допущения!$E$58+1))^Допущения!$E$67)</f>
        <v>1031.25</v>
      </c>
      <c r="AC36" s="10" t="n">
        <f aca="false">Допущения!$E$63*IF(AC$34&lt;Допущения!$E$58,0,((AC$34-Допущения!$E$58+1)/(36-Допущения!$E$58+1))^Допущения!$E$67)</f>
        <v>1078.125</v>
      </c>
      <c r="AD36" s="10" t="n">
        <f aca="false">Допущения!$E$63*IF(AD$34&lt;Допущения!$E$58,0,((AD$34-Допущения!$E$58+1)/(36-Допущения!$E$58+1))^Допущения!$E$67)</f>
        <v>1125</v>
      </c>
      <c r="AE36" s="10" t="n">
        <f aca="false">Допущения!$E$63*IF(AE$34&lt;Допущения!$E$58,0,((AE$34-Допущения!$E$58+1)/(36-Допущения!$E$58+1))^Допущения!$E$67)</f>
        <v>1171.875</v>
      </c>
      <c r="AF36" s="10" t="n">
        <f aca="false">Допущения!$E$63*IF(AF$34&lt;Допущения!$E$58,0,((AF$34-Допущения!$E$58+1)/(36-Допущения!$E$58+1))^Допущения!$E$67)</f>
        <v>1218.75</v>
      </c>
      <c r="AG36" s="10" t="n">
        <f aca="false">Допущения!$E$63*IF(AG$34&lt;Допущения!$E$58,0,((AG$34-Допущения!$E$58+1)/(36-Допущения!$E$58+1))^Допущения!$E$67)</f>
        <v>1265.625</v>
      </c>
      <c r="AH36" s="10" t="n">
        <f aca="false">Допущения!$E$63*IF(AH$34&lt;Допущения!$E$58,0,((AH$34-Допущения!$E$58+1)/(36-Допущения!$E$58+1))^Допущения!$E$67)</f>
        <v>1312.5</v>
      </c>
      <c r="AI36" s="10" t="n">
        <f aca="false">Допущения!$E$63*IF(AI$34&lt;Допущения!$E$58,0,((AI$34-Допущения!$E$58+1)/(36-Допущения!$E$58+1))^Допущения!$E$67)</f>
        <v>1359.375</v>
      </c>
      <c r="AJ36" s="10" t="n">
        <f aca="false">Допущения!$E$63*IF(AJ$34&lt;Допущения!$E$58,0,((AJ$34-Допущения!$E$58+1)/(36-Допущения!$E$58+1))^Допущения!$E$67)</f>
        <v>1406.25</v>
      </c>
      <c r="AK36" s="10" t="n">
        <f aca="false">Допущения!$E$63*IF(AK$34&lt;Допущения!$E$58,0,((AK$34-Допущения!$E$58+1)/(36-Допущения!$E$58+1))^Допущения!$E$67)</f>
        <v>1453.125</v>
      </c>
      <c r="AL36" s="10" t="n">
        <f aca="false">Допущения!$E$63*IF(AL$34&lt;Допущения!$E$58,0,((AL$34-Допущения!$E$58+1)/(36-Допущения!$E$58+1))^Допущения!$E$67)</f>
        <v>1500</v>
      </c>
      <c r="AM36" s="10" t="n">
        <f aca="false">SUM(C36:N36)</f>
        <v>1687.5</v>
      </c>
      <c r="AN36" s="10" t="n">
        <f aca="false">SUM(O36:Z36)</f>
        <v>8156.25</v>
      </c>
      <c r="AO36" s="10" t="n">
        <f aca="false">SUM(AA36:AL36)</f>
        <v>14906.25</v>
      </c>
      <c r="AP36" s="10" t="n">
        <f aca="false">SUM(C36:AL36)</f>
        <v>24750</v>
      </c>
    </row>
    <row r="37" customFormat="false" ht="15" hidden="false" customHeight="false" outlineLevel="0" collapsed="false">
      <c r="A37" s="0" t="s">
        <v>323</v>
      </c>
      <c r="B37" s="0" t="s">
        <v>324</v>
      </c>
      <c r="C37" s="10" t="n">
        <f aca="false">C35*Допущения!$E$60+C36*Допущения!$E$62</f>
        <v>0</v>
      </c>
      <c r="D37" s="10" t="n">
        <f aca="false">D35*Допущения!$E$60+D36*Допущения!$E$62</f>
        <v>0</v>
      </c>
      <c r="E37" s="10" t="n">
        <f aca="false">E35*Допущения!$E$60+E36*Допущения!$E$62</f>
        <v>0</v>
      </c>
      <c r="F37" s="10" t="n">
        <f aca="false">F35*Допущения!$E$60+F36*Допущения!$E$62</f>
        <v>0</v>
      </c>
      <c r="G37" s="10" t="n">
        <f aca="false">G35*Допущения!$E$60+G36*Допущения!$E$62</f>
        <v>168750</v>
      </c>
      <c r="H37" s="10" t="n">
        <f aca="false">H35*Допущения!$E$60+H36*Допущения!$E$62</f>
        <v>337500</v>
      </c>
      <c r="I37" s="10" t="n">
        <f aca="false">I35*Допущения!$E$60+I36*Допущения!$E$62</f>
        <v>506250</v>
      </c>
      <c r="J37" s="10" t="n">
        <f aca="false">J35*Допущения!$E$60+J36*Допущения!$E$62</f>
        <v>675000</v>
      </c>
      <c r="K37" s="10" t="n">
        <f aca="false">K35*Допущения!$E$60+K36*Допущения!$E$62</f>
        <v>843750</v>
      </c>
      <c r="L37" s="10" t="n">
        <f aca="false">L35*Допущения!$E$60+L36*Допущения!$E$62</f>
        <v>1012500</v>
      </c>
      <c r="M37" s="10" t="n">
        <f aca="false">M35*Допущения!$E$60+M36*Допущения!$E$62</f>
        <v>1181250</v>
      </c>
      <c r="N37" s="10" t="n">
        <f aca="false">N35*Допущения!$E$60+N36*Допущения!$E$62</f>
        <v>1350000</v>
      </c>
      <c r="O37" s="10" t="n">
        <f aca="false">O35*Допущения!$E$60+O36*Допущения!$E$62</f>
        <v>1518750</v>
      </c>
      <c r="P37" s="10" t="n">
        <f aca="false">P35*Допущения!$E$60+P36*Допущения!$E$62</f>
        <v>1687500</v>
      </c>
      <c r="Q37" s="10" t="n">
        <f aca="false">Q35*Допущения!$E$60+Q36*Допущения!$E$62</f>
        <v>1856250</v>
      </c>
      <c r="R37" s="10" t="n">
        <f aca="false">R35*Допущения!$E$60+R36*Допущения!$E$62</f>
        <v>2025000</v>
      </c>
      <c r="S37" s="10" t="n">
        <f aca="false">S35*Допущения!$E$60+S36*Допущения!$E$62</f>
        <v>2193750</v>
      </c>
      <c r="T37" s="10" t="n">
        <f aca="false">T35*Допущения!$E$60+T36*Допущения!$E$62</f>
        <v>2362500</v>
      </c>
      <c r="U37" s="10" t="n">
        <f aca="false">U35*Допущения!$E$60+U36*Допущения!$E$62</f>
        <v>2531250</v>
      </c>
      <c r="V37" s="10" t="n">
        <f aca="false">V35*Допущения!$E$60+V36*Допущения!$E$62</f>
        <v>2700000</v>
      </c>
      <c r="W37" s="10" t="n">
        <f aca="false">W35*Допущения!$E$60+W36*Допущения!$E$62</f>
        <v>2868750</v>
      </c>
      <c r="X37" s="10" t="n">
        <f aca="false">X35*Допущения!$E$60+X36*Допущения!$E$62</f>
        <v>3037500</v>
      </c>
      <c r="Y37" s="10" t="n">
        <f aca="false">Y35*Допущения!$E$60+Y36*Допущения!$E$62</f>
        <v>3206250</v>
      </c>
      <c r="Z37" s="10" t="n">
        <f aca="false">Z35*Допущения!$E$60+Z36*Допущения!$E$62</f>
        <v>3375000</v>
      </c>
      <c r="AA37" s="10" t="n">
        <f aca="false">AA35*Допущения!$E$60+AA36*Допущения!$E$62</f>
        <v>3543750</v>
      </c>
      <c r="AB37" s="10" t="n">
        <f aca="false">AB35*Допущения!$E$60+AB36*Допущения!$E$62</f>
        <v>3712500</v>
      </c>
      <c r="AC37" s="10" t="n">
        <f aca="false">AC35*Допущения!$E$60+AC36*Допущения!$E$62</f>
        <v>3881250</v>
      </c>
      <c r="AD37" s="10" t="n">
        <f aca="false">AD35*Допущения!$E$60+AD36*Допущения!$E$62</f>
        <v>4050000</v>
      </c>
      <c r="AE37" s="10" t="n">
        <f aca="false">AE35*Допущения!$E$60+AE36*Допущения!$E$62</f>
        <v>4218750</v>
      </c>
      <c r="AF37" s="10" t="n">
        <f aca="false">AF35*Допущения!$E$60+AF36*Допущения!$E$62</f>
        <v>4387500</v>
      </c>
      <c r="AG37" s="10" t="n">
        <f aca="false">AG35*Допущения!$E$60+AG36*Допущения!$E$62</f>
        <v>4556250</v>
      </c>
      <c r="AH37" s="10" t="n">
        <f aca="false">AH35*Допущения!$E$60+AH36*Допущения!$E$62</f>
        <v>4725000</v>
      </c>
      <c r="AI37" s="10" t="n">
        <f aca="false">AI35*Допущения!$E$60+AI36*Допущения!$E$62</f>
        <v>4893750</v>
      </c>
      <c r="AJ37" s="10" t="n">
        <f aca="false">AJ35*Допущения!$E$60+AJ36*Допущения!$E$62</f>
        <v>5062500</v>
      </c>
      <c r="AK37" s="10" t="n">
        <f aca="false">AK35*Допущения!$E$60+AK36*Допущения!$E$62</f>
        <v>5231250</v>
      </c>
      <c r="AL37" s="10" t="n">
        <f aca="false">AL35*Допущения!$E$60+AL36*Допущения!$E$62</f>
        <v>5400000</v>
      </c>
      <c r="AM37" s="10" t="n">
        <f aca="false">SUM(C37:N37)</f>
        <v>6075000</v>
      </c>
      <c r="AN37" s="10" t="n">
        <f aca="false">SUM(O37:Z37)</f>
        <v>29362500</v>
      </c>
      <c r="AO37" s="10" t="n">
        <f aca="false">SUM(AA37:AL37)</f>
        <v>53662500</v>
      </c>
      <c r="AP37" s="10" t="n">
        <f aca="false">SUM(C37:AL37)</f>
        <v>89100000</v>
      </c>
    </row>
    <row r="38" customFormat="false" ht="15" hidden="false" customHeight="false" outlineLevel="0" collapsed="false">
      <c r="A38" s="0" t="s">
        <v>267</v>
      </c>
      <c r="B38" s="0" t="s">
        <v>325</v>
      </c>
      <c r="C38" s="10" t="n">
        <f aca="false">C37*Допущения!$E$59</f>
        <v>0</v>
      </c>
      <c r="D38" s="10" t="n">
        <f aca="false">D37*Допущения!$E$59</f>
        <v>0</v>
      </c>
      <c r="E38" s="10" t="n">
        <f aca="false">E37*Допущения!$E$59</f>
        <v>0</v>
      </c>
      <c r="F38" s="10" t="n">
        <f aca="false">F37*Допущения!$E$59</f>
        <v>0</v>
      </c>
      <c r="G38" s="10" t="n">
        <f aca="false">G37*Допущения!$E$59</f>
        <v>101250</v>
      </c>
      <c r="H38" s="10" t="n">
        <f aca="false">H37*Допущения!$E$59</f>
        <v>202500</v>
      </c>
      <c r="I38" s="10" t="n">
        <f aca="false">I37*Допущения!$E$59</f>
        <v>303750</v>
      </c>
      <c r="J38" s="10" t="n">
        <f aca="false">J37*Допущения!$E$59</f>
        <v>405000</v>
      </c>
      <c r="K38" s="10" t="n">
        <f aca="false">K37*Допущения!$E$59</f>
        <v>506250</v>
      </c>
      <c r="L38" s="10" t="n">
        <f aca="false">L37*Допущения!$E$59</f>
        <v>607500</v>
      </c>
      <c r="M38" s="10" t="n">
        <f aca="false">M37*Допущения!$E$59</f>
        <v>708750</v>
      </c>
      <c r="N38" s="10" t="n">
        <f aca="false">N37*Допущения!$E$59</f>
        <v>810000</v>
      </c>
      <c r="O38" s="10" t="n">
        <f aca="false">O37*Допущения!$E$59</f>
        <v>911250</v>
      </c>
      <c r="P38" s="10" t="n">
        <f aca="false">P37*Допущения!$E$59</f>
        <v>1012500</v>
      </c>
      <c r="Q38" s="10" t="n">
        <f aca="false">Q37*Допущения!$E$59</f>
        <v>1113750</v>
      </c>
      <c r="R38" s="10" t="n">
        <f aca="false">R37*Допущения!$E$59</f>
        <v>1215000</v>
      </c>
      <c r="S38" s="10" t="n">
        <f aca="false">S37*Допущения!$E$59</f>
        <v>1316250</v>
      </c>
      <c r="T38" s="10" t="n">
        <f aca="false">T37*Допущения!$E$59</f>
        <v>1417500</v>
      </c>
      <c r="U38" s="10" t="n">
        <f aca="false">U37*Допущения!$E$59</f>
        <v>1518750</v>
      </c>
      <c r="V38" s="10" t="n">
        <f aca="false">V37*Допущения!$E$59</f>
        <v>1620000</v>
      </c>
      <c r="W38" s="10" t="n">
        <f aca="false">W37*Допущения!$E$59</f>
        <v>1721250</v>
      </c>
      <c r="X38" s="10" t="n">
        <f aca="false">X37*Допущения!$E$59</f>
        <v>1822500</v>
      </c>
      <c r="Y38" s="10" t="n">
        <f aca="false">Y37*Допущения!$E$59</f>
        <v>1923750</v>
      </c>
      <c r="Z38" s="10" t="n">
        <f aca="false">Z37*Допущения!$E$59</f>
        <v>2025000</v>
      </c>
      <c r="AA38" s="10" t="n">
        <f aca="false">AA37*Допущения!$E$59</f>
        <v>2126250</v>
      </c>
      <c r="AB38" s="10" t="n">
        <f aca="false">AB37*Допущения!$E$59</f>
        <v>2227500</v>
      </c>
      <c r="AC38" s="10" t="n">
        <f aca="false">AC37*Допущения!$E$59</f>
        <v>2328750</v>
      </c>
      <c r="AD38" s="10" t="n">
        <f aca="false">AD37*Допущения!$E$59</f>
        <v>2430000</v>
      </c>
      <c r="AE38" s="10" t="n">
        <f aca="false">AE37*Допущения!$E$59</f>
        <v>2531250</v>
      </c>
      <c r="AF38" s="10" t="n">
        <f aca="false">AF37*Допущения!$E$59</f>
        <v>2632500</v>
      </c>
      <c r="AG38" s="10" t="n">
        <f aca="false">AG37*Допущения!$E$59</f>
        <v>2733750</v>
      </c>
      <c r="AH38" s="10" t="n">
        <f aca="false">AH37*Допущения!$E$59</f>
        <v>2835000</v>
      </c>
      <c r="AI38" s="10" t="n">
        <f aca="false">AI37*Допущения!$E$59</f>
        <v>2936250</v>
      </c>
      <c r="AJ38" s="10" t="n">
        <f aca="false">AJ37*Допущения!$E$59</f>
        <v>3037500</v>
      </c>
      <c r="AK38" s="10" t="n">
        <f aca="false">AK37*Допущения!$E$59</f>
        <v>3138750</v>
      </c>
      <c r="AL38" s="10" t="n">
        <f aca="false">AL37*Допущения!$E$59</f>
        <v>3240000</v>
      </c>
      <c r="AM38" s="10" t="n">
        <f aca="false">SUM(C38:N38)</f>
        <v>3645000</v>
      </c>
      <c r="AN38" s="10" t="n">
        <f aca="false">SUM(O38:Z38)</f>
        <v>17617500</v>
      </c>
      <c r="AO38" s="10" t="n">
        <f aca="false">SUM(AA38:AL38)</f>
        <v>32197500</v>
      </c>
      <c r="AP38" s="10" t="n">
        <f aca="false">SUM(C38:AL38)</f>
        <v>53460000</v>
      </c>
    </row>
    <row r="39" customFormat="false" ht="15" hidden="false" customHeight="false" outlineLevel="0" collapsed="false">
      <c r="A39" s="0" t="s">
        <v>275</v>
      </c>
      <c r="B39" s="0" t="s">
        <v>326</v>
      </c>
      <c r="C39" s="10" t="n">
        <f aca="false">C38*(1-Допущения!$E$14)</f>
        <v>0</v>
      </c>
      <c r="D39" s="10" t="n">
        <f aca="false">D38*(1-Допущения!$E$14)</f>
        <v>0</v>
      </c>
      <c r="E39" s="10" t="n">
        <f aca="false">E38*(1-Допущения!$E$14)</f>
        <v>0</v>
      </c>
      <c r="F39" s="10" t="n">
        <f aca="false">F38*(1-Допущения!$E$14)</f>
        <v>0</v>
      </c>
      <c r="G39" s="10" t="n">
        <f aca="false">G38*(1-Допущения!$E$14)</f>
        <v>95175</v>
      </c>
      <c r="H39" s="10" t="n">
        <f aca="false">H38*(1-Допущения!$E$14)</f>
        <v>190350</v>
      </c>
      <c r="I39" s="10" t="n">
        <f aca="false">I38*(1-Допущения!$E$14)</f>
        <v>285525</v>
      </c>
      <c r="J39" s="10" t="n">
        <f aca="false">J38*(1-Допущения!$E$14)</f>
        <v>380700</v>
      </c>
      <c r="K39" s="10" t="n">
        <f aca="false">K38*(1-Допущения!$E$14)</f>
        <v>475875</v>
      </c>
      <c r="L39" s="10" t="n">
        <f aca="false">L38*(1-Допущения!$E$14)</f>
        <v>571050</v>
      </c>
      <c r="M39" s="10" t="n">
        <f aca="false">M38*(1-Допущения!$E$14)</f>
        <v>666225</v>
      </c>
      <c r="N39" s="10" t="n">
        <f aca="false">N38*(1-Допущения!$E$14)</f>
        <v>761400</v>
      </c>
      <c r="O39" s="10" t="n">
        <f aca="false">O38*(1-Допущения!$E$14)</f>
        <v>856575</v>
      </c>
      <c r="P39" s="10" t="n">
        <f aca="false">P38*(1-Допущения!$E$14)</f>
        <v>951750</v>
      </c>
      <c r="Q39" s="10" t="n">
        <f aca="false">Q38*(1-Допущения!$E$14)</f>
        <v>1046925</v>
      </c>
      <c r="R39" s="10" t="n">
        <f aca="false">R38*(1-Допущения!$E$14)</f>
        <v>1142100</v>
      </c>
      <c r="S39" s="10" t="n">
        <f aca="false">S38*(1-Допущения!$E$14)</f>
        <v>1237275</v>
      </c>
      <c r="T39" s="10" t="n">
        <f aca="false">T38*(1-Допущения!$E$14)</f>
        <v>1332450</v>
      </c>
      <c r="U39" s="10" t="n">
        <f aca="false">U38*(1-Допущения!$E$14)</f>
        <v>1427625</v>
      </c>
      <c r="V39" s="10" t="n">
        <f aca="false">V38*(1-Допущения!$E$14)</f>
        <v>1522800</v>
      </c>
      <c r="W39" s="10" t="n">
        <f aca="false">W38*(1-Допущения!$E$14)</f>
        <v>1617975</v>
      </c>
      <c r="X39" s="10" t="n">
        <f aca="false">X38*(1-Допущения!$E$14)</f>
        <v>1713150</v>
      </c>
      <c r="Y39" s="10" t="n">
        <f aca="false">Y38*(1-Допущения!$E$14)</f>
        <v>1808325</v>
      </c>
      <c r="Z39" s="10" t="n">
        <f aca="false">Z38*(1-Допущения!$E$14)</f>
        <v>1903500</v>
      </c>
      <c r="AA39" s="10" t="n">
        <f aca="false">AA38*(1-Допущения!$E$14)</f>
        <v>1998675</v>
      </c>
      <c r="AB39" s="10" t="n">
        <f aca="false">AB38*(1-Допущения!$E$14)</f>
        <v>2093850</v>
      </c>
      <c r="AC39" s="10" t="n">
        <f aca="false">AC38*(1-Допущения!$E$14)</f>
        <v>2189025</v>
      </c>
      <c r="AD39" s="10" t="n">
        <f aca="false">AD38*(1-Допущения!$E$14)</f>
        <v>2284200</v>
      </c>
      <c r="AE39" s="10" t="n">
        <f aca="false">AE38*(1-Допущения!$E$14)</f>
        <v>2379375</v>
      </c>
      <c r="AF39" s="10" t="n">
        <f aca="false">AF38*(1-Допущения!$E$14)</f>
        <v>2474550</v>
      </c>
      <c r="AG39" s="10" t="n">
        <f aca="false">AG38*(1-Допущения!$E$14)</f>
        <v>2569725</v>
      </c>
      <c r="AH39" s="10" t="n">
        <f aca="false">AH38*(1-Допущения!$E$14)</f>
        <v>2664900</v>
      </c>
      <c r="AI39" s="10" t="n">
        <f aca="false">AI38*(1-Допущения!$E$14)</f>
        <v>2760075</v>
      </c>
      <c r="AJ39" s="10" t="n">
        <f aca="false">AJ38*(1-Допущения!$E$14)</f>
        <v>2855250</v>
      </c>
      <c r="AK39" s="10" t="n">
        <f aca="false">AK38*(1-Допущения!$E$14)</f>
        <v>2950425</v>
      </c>
      <c r="AL39" s="10" t="n">
        <f aca="false">AL38*(1-Допущения!$E$14)</f>
        <v>3045600</v>
      </c>
      <c r="AM39" s="10" t="n">
        <f aca="false">SUM(C39:N39)</f>
        <v>3426300</v>
      </c>
      <c r="AN39" s="10" t="n">
        <f aca="false">SUM(O39:Z39)</f>
        <v>16560450</v>
      </c>
      <c r="AO39" s="10" t="n">
        <f aca="false">SUM(AA39:AL39)</f>
        <v>30265650</v>
      </c>
      <c r="AP39" s="10" t="n">
        <f aca="false">SUM(C39:AL39)</f>
        <v>50252400</v>
      </c>
    </row>
    <row r="40" customFormat="false" ht="15" hidden="false" customHeight="false" outlineLevel="0" collapsed="false">
      <c r="A40" s="0" t="s">
        <v>277</v>
      </c>
      <c r="B40" s="0" t="s">
        <v>178</v>
      </c>
      <c r="C40" s="10" t="n">
        <f aca="false">C37*Допущения!$E$64</f>
        <v>0</v>
      </c>
      <c r="D40" s="10" t="n">
        <f aca="false">D37*Допущения!$E$64</f>
        <v>0</v>
      </c>
      <c r="E40" s="10" t="n">
        <f aca="false">E37*Допущения!$E$64</f>
        <v>0</v>
      </c>
      <c r="F40" s="10" t="n">
        <f aca="false">F37*Допущения!$E$64</f>
        <v>0</v>
      </c>
      <c r="G40" s="10" t="n">
        <f aca="false">G37*Допущения!$E$64</f>
        <v>25312.5</v>
      </c>
      <c r="H40" s="10" t="n">
        <f aca="false">H37*Допущения!$E$64</f>
        <v>50625</v>
      </c>
      <c r="I40" s="10" t="n">
        <f aca="false">I37*Допущения!$E$64</f>
        <v>75937.5</v>
      </c>
      <c r="J40" s="10" t="n">
        <f aca="false">J37*Допущения!$E$64</f>
        <v>101250</v>
      </c>
      <c r="K40" s="10" t="n">
        <f aca="false">K37*Допущения!$E$64</f>
        <v>126562.5</v>
      </c>
      <c r="L40" s="10" t="n">
        <f aca="false">L37*Допущения!$E$64</f>
        <v>151875</v>
      </c>
      <c r="M40" s="10" t="n">
        <f aca="false">M37*Допущения!$E$64</f>
        <v>177187.5</v>
      </c>
      <c r="N40" s="10" t="n">
        <f aca="false">N37*Допущения!$E$64</f>
        <v>202500</v>
      </c>
      <c r="O40" s="10" t="n">
        <f aca="false">O37*Допущения!$E$64</f>
        <v>227812.5</v>
      </c>
      <c r="P40" s="10" t="n">
        <f aca="false">P37*Допущения!$E$64</f>
        <v>253125</v>
      </c>
      <c r="Q40" s="10" t="n">
        <f aca="false">Q37*Допущения!$E$64</f>
        <v>278437.5</v>
      </c>
      <c r="R40" s="10" t="n">
        <f aca="false">R37*Допущения!$E$64</f>
        <v>303750</v>
      </c>
      <c r="S40" s="10" t="n">
        <f aca="false">S37*Допущения!$E$64</f>
        <v>329062.5</v>
      </c>
      <c r="T40" s="10" t="n">
        <f aca="false">T37*Допущения!$E$64</f>
        <v>354375</v>
      </c>
      <c r="U40" s="10" t="n">
        <f aca="false">U37*Допущения!$E$64</f>
        <v>379687.5</v>
      </c>
      <c r="V40" s="10" t="n">
        <f aca="false">V37*Допущения!$E$64</f>
        <v>405000</v>
      </c>
      <c r="W40" s="10" t="n">
        <f aca="false">W37*Допущения!$E$64</f>
        <v>430312.5</v>
      </c>
      <c r="X40" s="10" t="n">
        <f aca="false">X37*Допущения!$E$64</f>
        <v>455625</v>
      </c>
      <c r="Y40" s="10" t="n">
        <f aca="false">Y37*Допущения!$E$64</f>
        <v>480937.5</v>
      </c>
      <c r="Z40" s="10" t="n">
        <f aca="false">Z37*Допущения!$E$64</f>
        <v>506250</v>
      </c>
      <c r="AA40" s="10" t="n">
        <f aca="false">AA37*Допущения!$E$64</f>
        <v>531562.5</v>
      </c>
      <c r="AB40" s="10" t="n">
        <f aca="false">AB37*Допущения!$E$64</f>
        <v>556875</v>
      </c>
      <c r="AC40" s="10" t="n">
        <f aca="false">AC37*Допущения!$E$64</f>
        <v>582187.5</v>
      </c>
      <c r="AD40" s="10" t="n">
        <f aca="false">AD37*Допущения!$E$64</f>
        <v>607500</v>
      </c>
      <c r="AE40" s="10" t="n">
        <f aca="false">AE37*Допущения!$E$64</f>
        <v>632812.5</v>
      </c>
      <c r="AF40" s="10" t="n">
        <f aca="false">AF37*Допущения!$E$64</f>
        <v>658125</v>
      </c>
      <c r="AG40" s="10" t="n">
        <f aca="false">AG37*Допущения!$E$64</f>
        <v>683437.5</v>
      </c>
      <c r="AH40" s="10" t="n">
        <f aca="false">AH37*Допущения!$E$64</f>
        <v>708750</v>
      </c>
      <c r="AI40" s="10" t="n">
        <f aca="false">AI37*Допущения!$E$64</f>
        <v>734062.5</v>
      </c>
      <c r="AJ40" s="10" t="n">
        <f aca="false">AJ37*Допущения!$E$64</f>
        <v>759375</v>
      </c>
      <c r="AK40" s="10" t="n">
        <f aca="false">AK37*Допущения!$E$64</f>
        <v>784687.5</v>
      </c>
      <c r="AL40" s="10" t="n">
        <f aca="false">AL37*Допущения!$E$64</f>
        <v>810000</v>
      </c>
      <c r="AM40" s="10" t="n">
        <f aca="false">SUM(C40:N40)</f>
        <v>911250</v>
      </c>
      <c r="AN40" s="10" t="n">
        <f aca="false">SUM(O40:Z40)</f>
        <v>4404375</v>
      </c>
      <c r="AO40" s="10" t="n">
        <f aca="false">SUM(AA40:AL40)</f>
        <v>8049375</v>
      </c>
      <c r="AP40" s="10" t="n">
        <f aca="false">SUM(C40:AL40)</f>
        <v>13365000</v>
      </c>
    </row>
    <row r="41" customFormat="false" ht="15" hidden="false" customHeight="false" outlineLevel="0" collapsed="false">
      <c r="A41" s="0" t="s">
        <v>279</v>
      </c>
      <c r="B41" s="0" t="s">
        <v>280</v>
      </c>
      <c r="C41" s="10" t="n">
        <f aca="false">IF(C$34&gt;=2,Допущения!$E$65,0)</f>
        <v>0</v>
      </c>
      <c r="D41" s="10" t="n">
        <f aca="false">IF(D$34&gt;=2,Допущения!$E$65,0)</f>
        <v>150000</v>
      </c>
      <c r="E41" s="10" t="n">
        <f aca="false">IF(E$34&gt;=2,Допущения!$E$65,0)</f>
        <v>150000</v>
      </c>
      <c r="F41" s="10" t="n">
        <f aca="false">IF(F$34&gt;=2,Допущения!$E$65,0)</f>
        <v>150000</v>
      </c>
      <c r="G41" s="10" t="n">
        <f aca="false">IF(G$34&gt;=2,Допущения!$E$65,0)</f>
        <v>150000</v>
      </c>
      <c r="H41" s="10" t="n">
        <f aca="false">IF(H$34&gt;=2,Допущения!$E$65,0)</f>
        <v>150000</v>
      </c>
      <c r="I41" s="10" t="n">
        <f aca="false">IF(I$34&gt;=2,Допущения!$E$65,0)</f>
        <v>150000</v>
      </c>
      <c r="J41" s="10" t="n">
        <f aca="false">IF(J$34&gt;=2,Допущения!$E$65,0)</f>
        <v>150000</v>
      </c>
      <c r="K41" s="10" t="n">
        <f aca="false">IF(K$34&gt;=2,Допущения!$E$65,0)</f>
        <v>150000</v>
      </c>
      <c r="L41" s="10" t="n">
        <f aca="false">IF(L$34&gt;=2,Допущения!$E$65,0)</f>
        <v>150000</v>
      </c>
      <c r="M41" s="10" t="n">
        <f aca="false">IF(M$34&gt;=2,Допущения!$E$65,0)</f>
        <v>150000</v>
      </c>
      <c r="N41" s="10" t="n">
        <f aca="false">IF(N$34&gt;=2,Допущения!$E$65,0)</f>
        <v>150000</v>
      </c>
      <c r="O41" s="10" t="n">
        <f aca="false">IF(O$34&gt;=2,Допущения!$E$65,0)</f>
        <v>150000</v>
      </c>
      <c r="P41" s="10" t="n">
        <f aca="false">IF(P$34&gt;=2,Допущения!$E$65,0)</f>
        <v>150000</v>
      </c>
      <c r="Q41" s="10" t="n">
        <f aca="false">IF(Q$34&gt;=2,Допущения!$E$65,0)</f>
        <v>150000</v>
      </c>
      <c r="R41" s="10" t="n">
        <f aca="false">IF(R$34&gt;=2,Допущения!$E$65,0)</f>
        <v>150000</v>
      </c>
      <c r="S41" s="10" t="n">
        <f aca="false">IF(S$34&gt;=2,Допущения!$E$65,0)</f>
        <v>150000</v>
      </c>
      <c r="T41" s="10" t="n">
        <f aca="false">IF(T$34&gt;=2,Допущения!$E$65,0)</f>
        <v>150000</v>
      </c>
      <c r="U41" s="10" t="n">
        <f aca="false">IF(U$34&gt;=2,Допущения!$E$65,0)</f>
        <v>150000</v>
      </c>
      <c r="V41" s="10" t="n">
        <f aca="false">IF(V$34&gt;=2,Допущения!$E$65,0)</f>
        <v>150000</v>
      </c>
      <c r="W41" s="10" t="n">
        <f aca="false">IF(W$34&gt;=2,Допущения!$E$65,0)</f>
        <v>150000</v>
      </c>
      <c r="X41" s="10" t="n">
        <f aca="false">IF(X$34&gt;=2,Допущения!$E$65,0)</f>
        <v>150000</v>
      </c>
      <c r="Y41" s="10" t="n">
        <f aca="false">IF(Y$34&gt;=2,Допущения!$E$65,0)</f>
        <v>150000</v>
      </c>
      <c r="Z41" s="10" t="n">
        <f aca="false">IF(Z$34&gt;=2,Допущения!$E$65,0)</f>
        <v>150000</v>
      </c>
      <c r="AA41" s="10" t="n">
        <f aca="false">IF(AA$34&gt;=2,Допущения!$E$65,0)</f>
        <v>150000</v>
      </c>
      <c r="AB41" s="10" t="n">
        <f aca="false">IF(AB$34&gt;=2,Допущения!$E$65,0)</f>
        <v>150000</v>
      </c>
      <c r="AC41" s="10" t="n">
        <f aca="false">IF(AC$34&gt;=2,Допущения!$E$65,0)</f>
        <v>150000</v>
      </c>
      <c r="AD41" s="10" t="n">
        <f aca="false">IF(AD$34&gt;=2,Допущения!$E$65,0)</f>
        <v>150000</v>
      </c>
      <c r="AE41" s="10" t="n">
        <f aca="false">IF(AE$34&gt;=2,Допущения!$E$65,0)</f>
        <v>150000</v>
      </c>
      <c r="AF41" s="10" t="n">
        <f aca="false">IF(AF$34&gt;=2,Допущения!$E$65,0)</f>
        <v>150000</v>
      </c>
      <c r="AG41" s="10" t="n">
        <f aca="false">IF(AG$34&gt;=2,Допущения!$E$65,0)</f>
        <v>150000</v>
      </c>
      <c r="AH41" s="10" t="n">
        <f aca="false">IF(AH$34&gt;=2,Допущения!$E$65,0)</f>
        <v>150000</v>
      </c>
      <c r="AI41" s="10" t="n">
        <f aca="false">IF(AI$34&gt;=2,Допущения!$E$65,0)</f>
        <v>150000</v>
      </c>
      <c r="AJ41" s="10" t="n">
        <f aca="false">IF(AJ$34&gt;=2,Допущения!$E$65,0)</f>
        <v>150000</v>
      </c>
      <c r="AK41" s="10" t="n">
        <f aca="false">IF(AK$34&gt;=2,Допущения!$E$65,0)</f>
        <v>150000</v>
      </c>
      <c r="AL41" s="10" t="n">
        <f aca="false">IF(AL$34&gt;=2,Допущения!$E$65,0)</f>
        <v>150000</v>
      </c>
      <c r="AM41" s="10" t="n">
        <f aca="false">SUM(C41:N41)</f>
        <v>1650000</v>
      </c>
      <c r="AN41" s="10" t="n">
        <f aca="false">SUM(O41:Z41)</f>
        <v>1800000</v>
      </c>
      <c r="AO41" s="10" t="n">
        <f aca="false">SUM(AA41:AL41)</f>
        <v>1800000</v>
      </c>
      <c r="AP41" s="10" t="n">
        <f aca="false">SUM(C41:AL41)</f>
        <v>5250000</v>
      </c>
    </row>
    <row r="42" customFormat="false" ht="15" hidden="false" customHeight="false" outlineLevel="0" collapsed="false">
      <c r="A42" s="1" t="s">
        <v>281</v>
      </c>
      <c r="B42" s="1" t="s">
        <v>282</v>
      </c>
      <c r="C42" s="11" t="n">
        <f aca="false">C39-C41-C40</f>
        <v>0</v>
      </c>
      <c r="D42" s="11" t="n">
        <f aca="false">D39-D41-D40</f>
        <v>-150000</v>
      </c>
      <c r="E42" s="11" t="n">
        <f aca="false">E39-E41-E40</f>
        <v>-150000</v>
      </c>
      <c r="F42" s="11" t="n">
        <f aca="false">F39-F41-F40</f>
        <v>-150000</v>
      </c>
      <c r="G42" s="11" t="n">
        <f aca="false">G39-G41-G40</f>
        <v>-80137.5</v>
      </c>
      <c r="H42" s="11" t="n">
        <f aca="false">H39-H41-H40</f>
        <v>-10275</v>
      </c>
      <c r="I42" s="11" t="n">
        <f aca="false">I39-I41-I40</f>
        <v>59587.5</v>
      </c>
      <c r="J42" s="11" t="n">
        <f aca="false">J39-J41-J40</f>
        <v>129450</v>
      </c>
      <c r="K42" s="11" t="n">
        <f aca="false">K39-K41-K40</f>
        <v>199312.5</v>
      </c>
      <c r="L42" s="11" t="n">
        <f aca="false">L39-L41-L40</f>
        <v>269175</v>
      </c>
      <c r="M42" s="11" t="n">
        <f aca="false">M39-M41-M40</f>
        <v>339037.5</v>
      </c>
      <c r="N42" s="11" t="n">
        <f aca="false">N39-N41-N40</f>
        <v>408900</v>
      </c>
      <c r="O42" s="11" t="n">
        <f aca="false">O39-O41-O40</f>
        <v>478762.5</v>
      </c>
      <c r="P42" s="11" t="n">
        <f aca="false">P39-P41-P40</f>
        <v>548625</v>
      </c>
      <c r="Q42" s="11" t="n">
        <f aca="false">Q39-Q41-Q40</f>
        <v>618487.5</v>
      </c>
      <c r="R42" s="11" t="n">
        <f aca="false">R39-R41-R40</f>
        <v>688350</v>
      </c>
      <c r="S42" s="11" t="n">
        <f aca="false">S39-S41-S40</f>
        <v>758212.5</v>
      </c>
      <c r="T42" s="11" t="n">
        <f aca="false">T39-T41-T40</f>
        <v>828075</v>
      </c>
      <c r="U42" s="11" t="n">
        <f aca="false">U39-U41-U40</f>
        <v>897937.5</v>
      </c>
      <c r="V42" s="11" t="n">
        <f aca="false">V39-V41-V40</f>
        <v>967800</v>
      </c>
      <c r="W42" s="11" t="n">
        <f aca="false">W39-W41-W40</f>
        <v>1037662.5</v>
      </c>
      <c r="X42" s="11" t="n">
        <f aca="false">X39-X41-X40</f>
        <v>1107525</v>
      </c>
      <c r="Y42" s="11" t="n">
        <f aca="false">Y39-Y41-Y40</f>
        <v>1177387.5</v>
      </c>
      <c r="Z42" s="11" t="n">
        <f aca="false">Z39-Z41-Z40</f>
        <v>1247250</v>
      </c>
      <c r="AA42" s="11" t="n">
        <f aca="false">AA39-AA41-AA40</f>
        <v>1317112.5</v>
      </c>
      <c r="AB42" s="11" t="n">
        <f aca="false">AB39-AB41-AB40</f>
        <v>1386975</v>
      </c>
      <c r="AC42" s="11" t="n">
        <f aca="false">AC39-AC41-AC40</f>
        <v>1456837.5</v>
      </c>
      <c r="AD42" s="11" t="n">
        <f aca="false">AD39-AD41-AD40</f>
        <v>1526700</v>
      </c>
      <c r="AE42" s="11" t="n">
        <f aca="false">AE39-AE41-AE40</f>
        <v>1596562.5</v>
      </c>
      <c r="AF42" s="11" t="n">
        <f aca="false">AF39-AF41-AF40</f>
        <v>1666425</v>
      </c>
      <c r="AG42" s="11" t="n">
        <f aca="false">AG39-AG41-AG40</f>
        <v>1736287.5</v>
      </c>
      <c r="AH42" s="11" t="n">
        <f aca="false">AH39-AH41-AH40</f>
        <v>1806150</v>
      </c>
      <c r="AI42" s="11" t="n">
        <f aca="false">AI39-AI41-AI40</f>
        <v>1876012.5</v>
      </c>
      <c r="AJ42" s="11" t="n">
        <f aca="false">AJ39-AJ41-AJ40</f>
        <v>1945875</v>
      </c>
      <c r="AK42" s="11" t="n">
        <f aca="false">AK39-AK41-AK40</f>
        <v>2015737.5</v>
      </c>
      <c r="AL42" s="11" t="n">
        <f aca="false">AL39-AL41-AL40</f>
        <v>2085600</v>
      </c>
      <c r="AM42" s="11" t="n">
        <f aca="false">SUM(C42:N42)</f>
        <v>865050</v>
      </c>
      <c r="AN42" s="11" t="n">
        <f aca="false">SUM(O42:Z42)</f>
        <v>10356075</v>
      </c>
      <c r="AO42" s="11" t="n">
        <f aca="false">SUM(AA42:AL42)</f>
        <v>20416275</v>
      </c>
      <c r="AP42" s="11" t="n">
        <f aca="false">SUM(C42:AL42)</f>
        <v>31637400</v>
      </c>
    </row>
    <row r="43" customFormat="false" ht="15" hidden="false" customHeight="false" outlineLevel="0" collapsed="false">
      <c r="A43" s="0" t="s">
        <v>283</v>
      </c>
      <c r="B43" s="0" t="s">
        <v>284</v>
      </c>
      <c r="C43" s="10" t="n">
        <f aca="false">IF(AND(C$34&gt;=MAX(1,Допущения!$E$58-4),C$34&lt;Допущения!$E$58),Допущения!$E$66/(Допущения!$E$58-MAX(1,Допущения!$E$58-4)),0)</f>
        <v>175000</v>
      </c>
      <c r="D43" s="10" t="n">
        <f aca="false">IF(AND(D$34&gt;=MAX(1,Допущения!$E$58-4),D$34&lt;Допущения!$E$58),Допущения!$E$66/(Допущения!$E$58-MAX(1,Допущения!$E$58-4)),0)</f>
        <v>175000</v>
      </c>
      <c r="E43" s="10" t="n">
        <f aca="false">IF(AND(E$34&gt;=MAX(1,Допущения!$E$58-4),E$34&lt;Допущения!$E$58),Допущения!$E$66/(Допущения!$E$58-MAX(1,Допущения!$E$58-4)),0)</f>
        <v>175000</v>
      </c>
      <c r="F43" s="10" t="n">
        <f aca="false">IF(AND(F$34&gt;=MAX(1,Допущения!$E$58-4),F$34&lt;Допущения!$E$58),Допущения!$E$66/(Допущения!$E$58-MAX(1,Допущения!$E$58-4)),0)</f>
        <v>175000</v>
      </c>
      <c r="G43" s="10" t="n">
        <f aca="false">IF(AND(G$34&gt;=MAX(1,Допущения!$E$58-4),G$34&lt;Допущения!$E$58),Допущения!$E$66/(Допущения!$E$58-MAX(1,Допущения!$E$58-4)),0)</f>
        <v>0</v>
      </c>
      <c r="H43" s="10" t="n">
        <f aca="false">IF(AND(H$34&gt;=MAX(1,Допущения!$E$58-4),H$34&lt;Допущения!$E$58),Допущения!$E$66/(Допущения!$E$58-MAX(1,Допущения!$E$58-4)),0)</f>
        <v>0</v>
      </c>
      <c r="I43" s="10" t="n">
        <f aca="false">IF(AND(I$34&gt;=MAX(1,Допущения!$E$58-4),I$34&lt;Допущения!$E$58),Допущения!$E$66/(Допущения!$E$58-MAX(1,Допущения!$E$58-4)),0)</f>
        <v>0</v>
      </c>
      <c r="J43" s="10" t="n">
        <f aca="false">IF(AND(J$34&gt;=MAX(1,Допущения!$E$58-4),J$34&lt;Допущения!$E$58),Допущения!$E$66/(Допущения!$E$58-MAX(1,Допущения!$E$58-4)),0)</f>
        <v>0</v>
      </c>
      <c r="K43" s="10" t="n">
        <f aca="false">IF(AND(K$34&gt;=MAX(1,Допущения!$E$58-4),K$34&lt;Допущения!$E$58),Допущения!$E$66/(Допущения!$E$58-MAX(1,Допущения!$E$58-4)),0)</f>
        <v>0</v>
      </c>
      <c r="L43" s="10" t="n">
        <f aca="false">IF(AND(L$34&gt;=MAX(1,Допущения!$E$58-4),L$34&lt;Допущения!$E$58),Допущения!$E$66/(Допущения!$E$58-MAX(1,Допущения!$E$58-4)),0)</f>
        <v>0</v>
      </c>
      <c r="M43" s="10" t="n">
        <f aca="false">IF(AND(M$34&gt;=MAX(1,Допущения!$E$58-4),M$34&lt;Допущения!$E$58),Допущения!$E$66/(Допущения!$E$58-MAX(1,Допущения!$E$58-4)),0)</f>
        <v>0</v>
      </c>
      <c r="N43" s="10" t="n">
        <f aca="false">IF(AND(N$34&gt;=MAX(1,Допущения!$E$58-4),N$34&lt;Допущения!$E$58),Допущения!$E$66/(Допущения!$E$58-MAX(1,Допущения!$E$58-4)),0)</f>
        <v>0</v>
      </c>
      <c r="O43" s="10" t="n">
        <f aca="false">IF(AND(O$34&gt;=MAX(1,Допущения!$E$58-4),O$34&lt;Допущения!$E$58),Допущения!$E$66/(Допущения!$E$58-MAX(1,Допущения!$E$58-4)),0)</f>
        <v>0</v>
      </c>
      <c r="P43" s="10" t="n">
        <f aca="false">IF(AND(P$34&gt;=MAX(1,Допущения!$E$58-4),P$34&lt;Допущения!$E$58),Допущения!$E$66/(Допущения!$E$58-MAX(1,Допущения!$E$58-4)),0)</f>
        <v>0</v>
      </c>
      <c r="Q43" s="10" t="n">
        <f aca="false">IF(AND(Q$34&gt;=MAX(1,Допущения!$E$58-4),Q$34&lt;Допущения!$E$58),Допущения!$E$66/(Допущения!$E$58-MAX(1,Допущения!$E$58-4)),0)</f>
        <v>0</v>
      </c>
      <c r="R43" s="10" t="n">
        <f aca="false">IF(AND(R$34&gt;=MAX(1,Допущения!$E$58-4),R$34&lt;Допущения!$E$58),Допущения!$E$66/(Допущения!$E$58-MAX(1,Допущения!$E$58-4)),0)</f>
        <v>0</v>
      </c>
      <c r="S43" s="10" t="n">
        <f aca="false">IF(AND(S$34&gt;=MAX(1,Допущения!$E$58-4),S$34&lt;Допущения!$E$58),Допущения!$E$66/(Допущения!$E$58-MAX(1,Допущения!$E$58-4)),0)</f>
        <v>0</v>
      </c>
      <c r="T43" s="10" t="n">
        <f aca="false">IF(AND(T$34&gt;=MAX(1,Допущения!$E$58-4),T$34&lt;Допущения!$E$58),Допущения!$E$66/(Допущения!$E$58-MAX(1,Допущения!$E$58-4)),0)</f>
        <v>0</v>
      </c>
      <c r="U43" s="10" t="n">
        <f aca="false">IF(AND(U$34&gt;=MAX(1,Допущения!$E$58-4),U$34&lt;Допущения!$E$58),Допущения!$E$66/(Допущения!$E$58-MAX(1,Допущения!$E$58-4)),0)</f>
        <v>0</v>
      </c>
      <c r="V43" s="10" t="n">
        <f aca="false">IF(AND(V$34&gt;=MAX(1,Допущения!$E$58-4),V$34&lt;Допущения!$E$58),Допущения!$E$66/(Допущения!$E$58-MAX(1,Допущения!$E$58-4)),0)</f>
        <v>0</v>
      </c>
      <c r="W43" s="10" t="n">
        <f aca="false">IF(AND(W$34&gt;=MAX(1,Допущения!$E$58-4),W$34&lt;Допущения!$E$58),Допущения!$E$66/(Допущения!$E$58-MAX(1,Допущения!$E$58-4)),0)</f>
        <v>0</v>
      </c>
      <c r="X43" s="10" t="n">
        <f aca="false">IF(AND(X$34&gt;=MAX(1,Допущения!$E$58-4),X$34&lt;Допущения!$E$58),Допущения!$E$66/(Допущения!$E$58-MAX(1,Допущения!$E$58-4)),0)</f>
        <v>0</v>
      </c>
      <c r="Y43" s="10" t="n">
        <f aca="false">IF(AND(Y$34&gt;=MAX(1,Допущения!$E$58-4),Y$34&lt;Допущения!$E$58),Допущения!$E$66/(Допущения!$E$58-MAX(1,Допущения!$E$58-4)),0)</f>
        <v>0</v>
      </c>
      <c r="Z43" s="10" t="n">
        <f aca="false">IF(AND(Z$34&gt;=MAX(1,Допущения!$E$58-4),Z$34&lt;Допущения!$E$58),Допущения!$E$66/(Допущения!$E$58-MAX(1,Допущения!$E$58-4)),0)</f>
        <v>0</v>
      </c>
      <c r="AA43" s="10" t="n">
        <f aca="false">IF(AND(AA$34&gt;=MAX(1,Допущения!$E$58-4),AA$34&lt;Допущения!$E$58),Допущения!$E$66/(Допущения!$E$58-MAX(1,Допущения!$E$58-4)),0)</f>
        <v>0</v>
      </c>
      <c r="AB43" s="10" t="n">
        <f aca="false">IF(AND(AB$34&gt;=MAX(1,Допущения!$E$58-4),AB$34&lt;Допущения!$E$58),Допущения!$E$66/(Допущения!$E$58-MAX(1,Допущения!$E$58-4)),0)</f>
        <v>0</v>
      </c>
      <c r="AC43" s="10" t="n">
        <f aca="false">IF(AND(AC$34&gt;=MAX(1,Допущения!$E$58-4),AC$34&lt;Допущения!$E$58),Допущения!$E$66/(Допущения!$E$58-MAX(1,Допущения!$E$58-4)),0)</f>
        <v>0</v>
      </c>
      <c r="AD43" s="10" t="n">
        <f aca="false">IF(AND(AD$34&gt;=MAX(1,Допущения!$E$58-4),AD$34&lt;Допущения!$E$58),Допущения!$E$66/(Допущения!$E$58-MAX(1,Допущения!$E$58-4)),0)</f>
        <v>0</v>
      </c>
      <c r="AE43" s="10" t="n">
        <f aca="false">IF(AND(AE$34&gt;=MAX(1,Допущения!$E$58-4),AE$34&lt;Допущения!$E$58),Допущения!$E$66/(Допущения!$E$58-MAX(1,Допущения!$E$58-4)),0)</f>
        <v>0</v>
      </c>
      <c r="AF43" s="10" t="n">
        <f aca="false">IF(AND(AF$34&gt;=MAX(1,Допущения!$E$58-4),AF$34&lt;Допущения!$E$58),Допущения!$E$66/(Допущения!$E$58-MAX(1,Допущения!$E$58-4)),0)</f>
        <v>0</v>
      </c>
      <c r="AG43" s="10" t="n">
        <f aca="false">IF(AND(AG$34&gt;=MAX(1,Допущения!$E$58-4),AG$34&lt;Допущения!$E$58),Допущения!$E$66/(Допущения!$E$58-MAX(1,Допущения!$E$58-4)),0)</f>
        <v>0</v>
      </c>
      <c r="AH43" s="10" t="n">
        <f aca="false">IF(AND(AH$34&gt;=MAX(1,Допущения!$E$58-4),AH$34&lt;Допущения!$E$58),Допущения!$E$66/(Допущения!$E$58-MAX(1,Допущения!$E$58-4)),0)</f>
        <v>0</v>
      </c>
      <c r="AI43" s="10" t="n">
        <f aca="false">IF(AND(AI$34&gt;=MAX(1,Допущения!$E$58-4),AI$34&lt;Допущения!$E$58),Допущения!$E$66/(Допущения!$E$58-MAX(1,Допущения!$E$58-4)),0)</f>
        <v>0</v>
      </c>
      <c r="AJ43" s="10" t="n">
        <f aca="false">IF(AND(AJ$34&gt;=MAX(1,Допущения!$E$58-4),AJ$34&lt;Допущения!$E$58),Допущения!$E$66/(Допущения!$E$58-MAX(1,Допущения!$E$58-4)),0)</f>
        <v>0</v>
      </c>
      <c r="AK43" s="10" t="n">
        <f aca="false">IF(AND(AK$34&gt;=MAX(1,Допущения!$E$58-4),AK$34&lt;Допущения!$E$58),Допущения!$E$66/(Допущения!$E$58-MAX(1,Допущения!$E$58-4)),0)</f>
        <v>0</v>
      </c>
      <c r="AL43" s="10" t="n">
        <f aca="false">IF(AND(AL$34&gt;=MAX(1,Допущения!$E$58-4),AL$34&lt;Допущения!$E$58),Допущения!$E$66/(Допущения!$E$58-MAX(1,Допущения!$E$58-4)),0)</f>
        <v>0</v>
      </c>
      <c r="AM43" s="10" t="n">
        <f aca="false">SUM(C43:N43)</f>
        <v>700000</v>
      </c>
      <c r="AN43" s="10" t="n">
        <f aca="false">SUM(O43:Z43)</f>
        <v>0</v>
      </c>
      <c r="AO43" s="10" t="n">
        <f aca="false">SUM(AA43:AL43)</f>
        <v>0</v>
      </c>
      <c r="AP43" s="10" t="n">
        <f aca="false">SUM(C43:AL43)</f>
        <v>700000</v>
      </c>
    </row>
    <row r="44" customFormat="false" ht="15" hidden="false" customHeight="false" outlineLevel="0" collapsed="false">
      <c r="A44" s="1" t="s">
        <v>285</v>
      </c>
      <c r="B44" s="1" t="s">
        <v>286</v>
      </c>
      <c r="C44" s="11" t="n">
        <f aca="false">C42-C43</f>
        <v>-175000</v>
      </c>
      <c r="D44" s="11" t="n">
        <f aca="false">D42-D43</f>
        <v>-325000</v>
      </c>
      <c r="E44" s="11" t="n">
        <f aca="false">E42-E43</f>
        <v>-325000</v>
      </c>
      <c r="F44" s="11" t="n">
        <f aca="false">F42-F43</f>
        <v>-325000</v>
      </c>
      <c r="G44" s="11" t="n">
        <f aca="false">G42-G43</f>
        <v>-80137.5</v>
      </c>
      <c r="H44" s="11" t="n">
        <f aca="false">H42-H43</f>
        <v>-10275</v>
      </c>
      <c r="I44" s="11" t="n">
        <f aca="false">I42-I43</f>
        <v>59587.5</v>
      </c>
      <c r="J44" s="11" t="n">
        <f aca="false">J42-J43</f>
        <v>129450</v>
      </c>
      <c r="K44" s="11" t="n">
        <f aca="false">K42-K43</f>
        <v>199312.5</v>
      </c>
      <c r="L44" s="11" t="n">
        <f aca="false">L42-L43</f>
        <v>269175</v>
      </c>
      <c r="M44" s="11" t="n">
        <f aca="false">M42-M43</f>
        <v>339037.5</v>
      </c>
      <c r="N44" s="11" t="n">
        <f aca="false">N42-N43</f>
        <v>408900</v>
      </c>
      <c r="O44" s="11" t="n">
        <f aca="false">O42-O43</f>
        <v>478762.5</v>
      </c>
      <c r="P44" s="11" t="n">
        <f aca="false">P42-P43</f>
        <v>548625</v>
      </c>
      <c r="Q44" s="11" t="n">
        <f aca="false">Q42-Q43</f>
        <v>618487.5</v>
      </c>
      <c r="R44" s="11" t="n">
        <f aca="false">R42-R43</f>
        <v>688350</v>
      </c>
      <c r="S44" s="11" t="n">
        <f aca="false">S42-S43</f>
        <v>758212.5</v>
      </c>
      <c r="T44" s="11" t="n">
        <f aca="false">T42-T43</f>
        <v>828075</v>
      </c>
      <c r="U44" s="11" t="n">
        <f aca="false">U42-U43</f>
        <v>897937.5</v>
      </c>
      <c r="V44" s="11" t="n">
        <f aca="false">V42-V43</f>
        <v>967800</v>
      </c>
      <c r="W44" s="11" t="n">
        <f aca="false">W42-W43</f>
        <v>1037662.5</v>
      </c>
      <c r="X44" s="11" t="n">
        <f aca="false">X42-X43</f>
        <v>1107525</v>
      </c>
      <c r="Y44" s="11" t="n">
        <f aca="false">Y42-Y43</f>
        <v>1177387.5</v>
      </c>
      <c r="Z44" s="11" t="n">
        <f aca="false">Z42-Z43</f>
        <v>1247250</v>
      </c>
      <c r="AA44" s="11" t="n">
        <f aca="false">AA42-AA43</f>
        <v>1317112.5</v>
      </c>
      <c r="AB44" s="11" t="n">
        <f aca="false">AB42-AB43</f>
        <v>1386975</v>
      </c>
      <c r="AC44" s="11" t="n">
        <f aca="false">AC42-AC43</f>
        <v>1456837.5</v>
      </c>
      <c r="AD44" s="11" t="n">
        <f aca="false">AD42-AD43</f>
        <v>1526700</v>
      </c>
      <c r="AE44" s="11" t="n">
        <f aca="false">AE42-AE43</f>
        <v>1596562.5</v>
      </c>
      <c r="AF44" s="11" t="n">
        <f aca="false">AF42-AF43</f>
        <v>1666425</v>
      </c>
      <c r="AG44" s="11" t="n">
        <f aca="false">AG42-AG43</f>
        <v>1736287.5</v>
      </c>
      <c r="AH44" s="11" t="n">
        <f aca="false">AH42-AH43</f>
        <v>1806150</v>
      </c>
      <c r="AI44" s="11" t="n">
        <f aca="false">AI42-AI43</f>
        <v>1876012.5</v>
      </c>
      <c r="AJ44" s="11" t="n">
        <f aca="false">AJ42-AJ43</f>
        <v>1945875</v>
      </c>
      <c r="AK44" s="11" t="n">
        <f aca="false">AK42-AK43</f>
        <v>2015737.5</v>
      </c>
      <c r="AL44" s="11" t="n">
        <f aca="false">AL42-AL43</f>
        <v>2085600</v>
      </c>
      <c r="AM44" s="11" t="n">
        <f aca="false">SUM(C44:N44)</f>
        <v>165050</v>
      </c>
      <c r="AN44" s="11" t="n">
        <f aca="false">SUM(O44:Z44)</f>
        <v>10356075</v>
      </c>
      <c r="AO44" s="11" t="n">
        <f aca="false">SUM(AA44:AL44)</f>
        <v>20416275</v>
      </c>
      <c r="AP44" s="11" t="n">
        <f aca="false">SUM(C44:AL44)</f>
        <v>30937400</v>
      </c>
    </row>
    <row r="45" customFormat="false" ht="15" hidden="false" customHeight="false" outlineLevel="0" collapsed="false">
      <c r="A45" s="1" t="s">
        <v>287</v>
      </c>
      <c r="B45" s="1" t="s">
        <v>288</v>
      </c>
      <c r="C45" s="11" t="n">
        <f aca="false">0+C44</f>
        <v>-175000</v>
      </c>
      <c r="D45" s="11" t="n">
        <f aca="false">C45+D44</f>
        <v>-500000</v>
      </c>
      <c r="E45" s="11" t="n">
        <f aca="false">D45+E44</f>
        <v>-825000</v>
      </c>
      <c r="F45" s="11" t="n">
        <f aca="false">E45+F44</f>
        <v>-1150000</v>
      </c>
      <c r="G45" s="11" t="n">
        <f aca="false">F45+G44</f>
        <v>-1230137.5</v>
      </c>
      <c r="H45" s="11" t="n">
        <f aca="false">G45+H44</f>
        <v>-1240412.5</v>
      </c>
      <c r="I45" s="11" t="n">
        <f aca="false">H45+I44</f>
        <v>-1180825</v>
      </c>
      <c r="J45" s="11" t="n">
        <f aca="false">I45+J44</f>
        <v>-1051375</v>
      </c>
      <c r="K45" s="11" t="n">
        <f aca="false">J45+K44</f>
        <v>-852062.5</v>
      </c>
      <c r="L45" s="11" t="n">
        <f aca="false">K45+L44</f>
        <v>-582887.5</v>
      </c>
      <c r="M45" s="11" t="n">
        <f aca="false">L45+M44</f>
        <v>-243850</v>
      </c>
      <c r="N45" s="11" t="n">
        <f aca="false">M45+N44</f>
        <v>165050</v>
      </c>
      <c r="O45" s="11" t="n">
        <f aca="false">N45+O44</f>
        <v>643812.5</v>
      </c>
      <c r="P45" s="11" t="n">
        <f aca="false">O45+P44</f>
        <v>1192437.5</v>
      </c>
      <c r="Q45" s="11" t="n">
        <f aca="false">P45+Q44</f>
        <v>1810925</v>
      </c>
      <c r="R45" s="11" t="n">
        <f aca="false">Q45+R44</f>
        <v>2499275</v>
      </c>
      <c r="S45" s="11" t="n">
        <f aca="false">R45+S44</f>
        <v>3257487.5</v>
      </c>
      <c r="T45" s="11" t="n">
        <f aca="false">S45+T44</f>
        <v>4085562.5</v>
      </c>
      <c r="U45" s="11" t="n">
        <f aca="false">T45+U44</f>
        <v>4983500</v>
      </c>
      <c r="V45" s="11" t="n">
        <f aca="false">U45+V44</f>
        <v>5951300</v>
      </c>
      <c r="W45" s="11" t="n">
        <f aca="false">V45+W44</f>
        <v>6988962.5</v>
      </c>
      <c r="X45" s="11" t="n">
        <f aca="false">W45+X44</f>
        <v>8096487.5</v>
      </c>
      <c r="Y45" s="11" t="n">
        <f aca="false">X45+Y44</f>
        <v>9273875</v>
      </c>
      <c r="Z45" s="11" t="n">
        <f aca="false">Y45+Z44</f>
        <v>10521125</v>
      </c>
      <c r="AA45" s="11" t="n">
        <f aca="false">Z45+AA44</f>
        <v>11838237.5</v>
      </c>
      <c r="AB45" s="11" t="n">
        <f aca="false">AA45+AB44</f>
        <v>13225212.5</v>
      </c>
      <c r="AC45" s="11" t="n">
        <f aca="false">AB45+AC44</f>
        <v>14682050</v>
      </c>
      <c r="AD45" s="11" t="n">
        <f aca="false">AC45+AD44</f>
        <v>16208750</v>
      </c>
      <c r="AE45" s="11" t="n">
        <f aca="false">AD45+AE44</f>
        <v>17805312.5</v>
      </c>
      <c r="AF45" s="11" t="n">
        <f aca="false">AE45+AF44</f>
        <v>19471737.5</v>
      </c>
      <c r="AG45" s="11" t="n">
        <f aca="false">AF45+AG44</f>
        <v>21208025</v>
      </c>
      <c r="AH45" s="11" t="n">
        <f aca="false">AG45+AH44</f>
        <v>23014175</v>
      </c>
      <c r="AI45" s="11" t="n">
        <f aca="false">AH45+AI44</f>
        <v>24890187.5</v>
      </c>
      <c r="AJ45" s="11" t="n">
        <f aca="false">AI45+AJ44</f>
        <v>26836062.5</v>
      </c>
      <c r="AK45" s="11" t="n">
        <f aca="false">AJ45+AK44</f>
        <v>28851800</v>
      </c>
      <c r="AL45" s="11" t="n">
        <f aca="false">AK45+AL44</f>
        <v>30937400</v>
      </c>
      <c r="AM45" s="11" t="n">
        <f aca="false">N45</f>
        <v>165050</v>
      </c>
      <c r="AN45" s="11" t="n">
        <f aca="false">Z45</f>
        <v>10521125</v>
      </c>
      <c r="AO45" s="11" t="n">
        <f aca="false">AL45</f>
        <v>30937400</v>
      </c>
      <c r="AP45" s="1"/>
    </row>
    <row r="46" customFormat="false" ht="15" hidden="false" customHeight="false" outlineLevel="0" collapsed="false">
      <c r="A46" s="0" t="s">
        <v>289</v>
      </c>
      <c r="B46" s="0" t="s">
        <v>290</v>
      </c>
      <c r="C46" s="0" t="n">
        <f aca="false">IF(AND(C42&gt;0,COUNTIF(C42:AL42,"&lt;=0")=0),C$34,99)</f>
        <v>99</v>
      </c>
      <c r="D46" s="0" t="n">
        <f aca="false">IF(AND(D42&gt;0,COUNTIF(D42:AL42,"&lt;=0")=0),D$34,99)</f>
        <v>99</v>
      </c>
      <c r="E46" s="0" t="n">
        <f aca="false">IF(AND(E42&gt;0,COUNTIF(E42:AL42,"&lt;=0")=0),E$34,99)</f>
        <v>99</v>
      </c>
      <c r="F46" s="0" t="n">
        <f aca="false">IF(AND(F42&gt;0,COUNTIF(F42:AL42,"&lt;=0")=0),F$34,99)</f>
        <v>99</v>
      </c>
      <c r="G46" s="0" t="n">
        <f aca="false">IF(AND(G42&gt;0,COUNTIF(G42:AL42,"&lt;=0")=0),G$34,99)</f>
        <v>99</v>
      </c>
      <c r="H46" s="0" t="n">
        <f aca="false">IF(AND(H42&gt;0,COUNTIF(H42:AL42,"&lt;=0")=0),H$34,99)</f>
        <v>99</v>
      </c>
      <c r="I46" s="0" t="n">
        <f aca="false">IF(AND(I42&gt;0,COUNTIF(I42:AL42,"&lt;=0")=0),I$34,99)</f>
        <v>7</v>
      </c>
      <c r="J46" s="0" t="n">
        <f aca="false">IF(AND(J42&gt;0,COUNTIF(J42:AL42,"&lt;=0")=0),J$34,99)</f>
        <v>8</v>
      </c>
      <c r="K46" s="0" t="n">
        <f aca="false">IF(AND(K42&gt;0,COUNTIF(K42:AL42,"&lt;=0")=0),K$34,99)</f>
        <v>9</v>
      </c>
      <c r="L46" s="0" t="n">
        <f aca="false">IF(AND(L42&gt;0,COUNTIF(L42:AL42,"&lt;=0")=0),L$34,99)</f>
        <v>10</v>
      </c>
      <c r="M46" s="0" t="n">
        <f aca="false">IF(AND(M42&gt;0,COUNTIF(M42:AL42,"&lt;=0")=0),M$34,99)</f>
        <v>11</v>
      </c>
      <c r="N46" s="0" t="n">
        <f aca="false">IF(AND(N42&gt;0,COUNTIF(N42:AL42,"&lt;=0")=0),N$34,99)</f>
        <v>12</v>
      </c>
      <c r="O46" s="0" t="n">
        <f aca="false">IF(AND(O42&gt;0,COUNTIF(O42:AL42,"&lt;=0")=0),O$34,99)</f>
        <v>13</v>
      </c>
      <c r="P46" s="0" t="n">
        <f aca="false">IF(AND(P42&gt;0,COUNTIF(P42:AL42,"&lt;=0")=0),P$34,99)</f>
        <v>14</v>
      </c>
      <c r="Q46" s="0" t="n">
        <f aca="false">IF(AND(Q42&gt;0,COUNTIF(Q42:AL42,"&lt;=0")=0),Q$34,99)</f>
        <v>15</v>
      </c>
      <c r="R46" s="0" t="n">
        <f aca="false">IF(AND(R42&gt;0,COUNTIF(R42:AL42,"&lt;=0")=0),R$34,99)</f>
        <v>16</v>
      </c>
      <c r="S46" s="0" t="n">
        <f aca="false">IF(AND(S42&gt;0,COUNTIF(S42:AL42,"&lt;=0")=0),S$34,99)</f>
        <v>17</v>
      </c>
      <c r="T46" s="0" t="n">
        <f aca="false">IF(AND(T42&gt;0,COUNTIF(T42:AL42,"&lt;=0")=0),T$34,99)</f>
        <v>18</v>
      </c>
      <c r="U46" s="0" t="n">
        <f aca="false">IF(AND(U42&gt;0,COUNTIF(U42:AL42,"&lt;=0")=0),U$34,99)</f>
        <v>19</v>
      </c>
      <c r="V46" s="0" t="n">
        <f aca="false">IF(AND(V42&gt;0,COUNTIF(V42:AL42,"&lt;=0")=0),V$34,99)</f>
        <v>20</v>
      </c>
      <c r="W46" s="0" t="n">
        <f aca="false">IF(AND(W42&gt;0,COUNTIF(W42:AL42,"&lt;=0")=0),W$34,99)</f>
        <v>21</v>
      </c>
      <c r="X46" s="0" t="n">
        <f aca="false">IF(AND(X42&gt;0,COUNTIF(X42:AL42,"&lt;=0")=0),X$34,99)</f>
        <v>22</v>
      </c>
      <c r="Y46" s="0" t="n">
        <f aca="false">IF(AND(Y42&gt;0,COUNTIF(Y42:AL42,"&lt;=0")=0),Y$34,99)</f>
        <v>23</v>
      </c>
      <c r="Z46" s="0" t="n">
        <f aca="false">IF(AND(Z42&gt;0,COUNTIF(Z42:AL42,"&lt;=0")=0),Z$34,99)</f>
        <v>24</v>
      </c>
      <c r="AA46" s="0" t="n">
        <f aca="false">IF(AND(AA42&gt;0,COUNTIF(AA42:AL42,"&lt;=0")=0),AA$34,99)</f>
        <v>25</v>
      </c>
      <c r="AB46" s="0" t="n">
        <f aca="false">IF(AND(AB42&gt;0,COUNTIF(AB42:AL42,"&lt;=0")=0),AB$34,99)</f>
        <v>26</v>
      </c>
      <c r="AC46" s="0" t="n">
        <f aca="false">IF(AND(AC42&gt;0,COUNTIF(AC42:AL42,"&lt;=0")=0),AC$34,99)</f>
        <v>27</v>
      </c>
      <c r="AD46" s="0" t="n">
        <f aca="false">IF(AND(AD42&gt;0,COUNTIF(AD42:AL42,"&lt;=0")=0),AD$34,99)</f>
        <v>28</v>
      </c>
      <c r="AE46" s="0" t="n">
        <f aca="false">IF(AND(AE42&gt;0,COUNTIF(AE42:AL42,"&lt;=0")=0),AE$34,99)</f>
        <v>29</v>
      </c>
      <c r="AF46" s="0" t="n">
        <f aca="false">IF(AND(AF42&gt;0,COUNTIF(AF42:AL42,"&lt;=0")=0),AF$34,99)</f>
        <v>30</v>
      </c>
      <c r="AG46" s="0" t="n">
        <f aca="false">IF(AND(AG42&gt;0,COUNTIF(AG42:AL42,"&lt;=0")=0),AG$34,99)</f>
        <v>31</v>
      </c>
      <c r="AH46" s="0" t="n">
        <f aca="false">IF(AND(AH42&gt;0,COUNTIF(AH42:AL42,"&lt;=0")=0),AH$34,99)</f>
        <v>32</v>
      </c>
      <c r="AI46" s="0" t="n">
        <f aca="false">IF(AND(AI42&gt;0,COUNTIF(AI42:AL42,"&lt;=0")=0),AI$34,99)</f>
        <v>33</v>
      </c>
      <c r="AJ46" s="0" t="n">
        <f aca="false">IF(AND(AJ42&gt;0,COUNTIF(AJ42:AL42,"&lt;=0")=0),AJ$34,99)</f>
        <v>34</v>
      </c>
      <c r="AK46" s="0" t="n">
        <f aca="false">IF(AND(AK42&gt;0,COUNTIF(AK42:AL42,"&lt;=0")=0),AK$34,99)</f>
        <v>35</v>
      </c>
      <c r="AL46" s="0" t="n">
        <f aca="false">IF(AND(AL42&gt;0,COUNTIF(AL42:AL42,"&lt;=0")=0),AL$34,99)</f>
        <v>36</v>
      </c>
    </row>
    <row r="47" customFormat="false" ht="15" hidden="false" customHeight="false" outlineLevel="0" collapsed="false">
      <c r="A47" s="0" t="s">
        <v>291</v>
      </c>
      <c r="B47" s="0" t="s">
        <v>292</v>
      </c>
      <c r="C47" s="0" t="n">
        <f aca="false">IF(AND(C45&gt;=0,COUNTIF(C45:AL45,"&lt;0")=0),C$34,99)</f>
        <v>99</v>
      </c>
      <c r="D47" s="0" t="n">
        <f aca="false">IF(AND(D45&gt;=0,COUNTIF(D45:AL45,"&lt;0")=0),D$34,99)</f>
        <v>99</v>
      </c>
      <c r="E47" s="0" t="n">
        <f aca="false">IF(AND(E45&gt;=0,COUNTIF(E45:AL45,"&lt;0")=0),E$34,99)</f>
        <v>99</v>
      </c>
      <c r="F47" s="0" t="n">
        <f aca="false">IF(AND(F45&gt;=0,COUNTIF(F45:AL45,"&lt;0")=0),F$34,99)</f>
        <v>99</v>
      </c>
      <c r="G47" s="0" t="n">
        <f aca="false">IF(AND(G45&gt;=0,COUNTIF(G45:AL45,"&lt;0")=0),G$34,99)</f>
        <v>99</v>
      </c>
      <c r="H47" s="0" t="n">
        <f aca="false">IF(AND(H45&gt;=0,COUNTIF(H45:AL45,"&lt;0")=0),H$34,99)</f>
        <v>99</v>
      </c>
      <c r="I47" s="0" t="n">
        <f aca="false">IF(AND(I45&gt;=0,COUNTIF(I45:AL45,"&lt;0")=0),I$34,99)</f>
        <v>99</v>
      </c>
      <c r="J47" s="0" t="n">
        <f aca="false">IF(AND(J45&gt;=0,COUNTIF(J45:AL45,"&lt;0")=0),J$34,99)</f>
        <v>99</v>
      </c>
      <c r="K47" s="0" t="n">
        <f aca="false">IF(AND(K45&gt;=0,COUNTIF(K45:AL45,"&lt;0")=0),K$34,99)</f>
        <v>99</v>
      </c>
      <c r="L47" s="0" t="n">
        <f aca="false">IF(AND(L45&gt;=0,COUNTIF(L45:AL45,"&lt;0")=0),L$34,99)</f>
        <v>99</v>
      </c>
      <c r="M47" s="0" t="n">
        <f aca="false">IF(AND(M45&gt;=0,COUNTIF(M45:AL45,"&lt;0")=0),M$34,99)</f>
        <v>99</v>
      </c>
      <c r="N47" s="0" t="n">
        <f aca="false">IF(AND(N45&gt;=0,COUNTIF(N45:AL45,"&lt;0")=0),N$34,99)</f>
        <v>12</v>
      </c>
      <c r="O47" s="0" t="n">
        <f aca="false">IF(AND(O45&gt;=0,COUNTIF(O45:AL45,"&lt;0")=0),O$34,99)</f>
        <v>13</v>
      </c>
      <c r="P47" s="0" t="n">
        <f aca="false">IF(AND(P45&gt;=0,COUNTIF(P45:AL45,"&lt;0")=0),P$34,99)</f>
        <v>14</v>
      </c>
      <c r="Q47" s="0" t="n">
        <f aca="false">IF(AND(Q45&gt;=0,COUNTIF(Q45:AL45,"&lt;0")=0),Q$34,99)</f>
        <v>15</v>
      </c>
      <c r="R47" s="0" t="n">
        <f aca="false">IF(AND(R45&gt;=0,COUNTIF(R45:AL45,"&lt;0")=0),R$34,99)</f>
        <v>16</v>
      </c>
      <c r="S47" s="0" t="n">
        <f aca="false">IF(AND(S45&gt;=0,COUNTIF(S45:AL45,"&lt;0")=0),S$34,99)</f>
        <v>17</v>
      </c>
      <c r="T47" s="0" t="n">
        <f aca="false">IF(AND(T45&gt;=0,COUNTIF(T45:AL45,"&lt;0")=0),T$34,99)</f>
        <v>18</v>
      </c>
      <c r="U47" s="0" t="n">
        <f aca="false">IF(AND(U45&gt;=0,COUNTIF(U45:AL45,"&lt;0")=0),U$34,99)</f>
        <v>19</v>
      </c>
      <c r="V47" s="0" t="n">
        <f aca="false">IF(AND(V45&gt;=0,COUNTIF(V45:AL45,"&lt;0")=0),V$34,99)</f>
        <v>20</v>
      </c>
      <c r="W47" s="0" t="n">
        <f aca="false">IF(AND(W45&gt;=0,COUNTIF(W45:AL45,"&lt;0")=0),W$34,99)</f>
        <v>21</v>
      </c>
      <c r="X47" s="0" t="n">
        <f aca="false">IF(AND(X45&gt;=0,COUNTIF(X45:AL45,"&lt;0")=0),X$34,99)</f>
        <v>22</v>
      </c>
      <c r="Y47" s="0" t="n">
        <f aca="false">IF(AND(Y45&gt;=0,COUNTIF(Y45:AL45,"&lt;0")=0),Y$34,99)</f>
        <v>23</v>
      </c>
      <c r="Z47" s="0" t="n">
        <f aca="false">IF(AND(Z45&gt;=0,COUNTIF(Z45:AL45,"&lt;0")=0),Z$34,99)</f>
        <v>24</v>
      </c>
      <c r="AA47" s="0" t="n">
        <f aca="false">IF(AND(AA45&gt;=0,COUNTIF(AA45:AL45,"&lt;0")=0),AA$34,99)</f>
        <v>25</v>
      </c>
      <c r="AB47" s="0" t="n">
        <f aca="false">IF(AND(AB45&gt;=0,COUNTIF(AB45:AL45,"&lt;0")=0),AB$34,99)</f>
        <v>26</v>
      </c>
      <c r="AC47" s="0" t="n">
        <f aca="false">IF(AND(AC45&gt;=0,COUNTIF(AC45:AL45,"&lt;0")=0),AC$34,99)</f>
        <v>27</v>
      </c>
      <c r="AD47" s="0" t="n">
        <f aca="false">IF(AND(AD45&gt;=0,COUNTIF(AD45:AL45,"&lt;0")=0),AD$34,99)</f>
        <v>28</v>
      </c>
      <c r="AE47" s="0" t="n">
        <f aca="false">IF(AND(AE45&gt;=0,COUNTIF(AE45:AL45,"&lt;0")=0),AE$34,99)</f>
        <v>29</v>
      </c>
      <c r="AF47" s="0" t="n">
        <f aca="false">IF(AND(AF45&gt;=0,COUNTIF(AF45:AL45,"&lt;0")=0),AF$34,99)</f>
        <v>30</v>
      </c>
      <c r="AG47" s="0" t="n">
        <f aca="false">IF(AND(AG45&gt;=0,COUNTIF(AG45:AL45,"&lt;0")=0),AG$34,99)</f>
        <v>31</v>
      </c>
      <c r="AH47" s="0" t="n">
        <f aca="false">IF(AND(AH45&gt;=0,COUNTIF(AH45:AL45,"&lt;0")=0),AH$34,99)</f>
        <v>32</v>
      </c>
      <c r="AI47" s="0" t="n">
        <f aca="false">IF(AND(AI45&gt;=0,COUNTIF(AI45:AL45,"&lt;0")=0),AI$34,99)</f>
        <v>33</v>
      </c>
      <c r="AJ47" s="0" t="n">
        <f aca="false">IF(AND(AJ45&gt;=0,COUNTIF(AJ45:AL45,"&lt;0")=0),AJ$34,99)</f>
        <v>34</v>
      </c>
      <c r="AK47" s="0" t="n">
        <f aca="false">IF(AND(AK45&gt;=0,COUNTIF(AK45:AL45,"&lt;0")=0),AK$34,99)</f>
        <v>35</v>
      </c>
      <c r="AL47" s="0" t="n">
        <f aca="false">IF(AND(AL45&gt;=0,COUNTIF(AL45:AL45,"&lt;0")=0),AL$34,99)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42" min="3" style="0" width="11"/>
  </cols>
  <sheetData>
    <row r="1" customFormat="false" ht="16.15" hidden="false" customHeight="false" outlineLevel="0" collapsed="false">
      <c r="A1" s="8" t="s">
        <v>327</v>
      </c>
    </row>
    <row r="4" customFormat="false" ht="15" hidden="false" customHeight="false" outlineLevel="0" collapsed="false">
      <c r="A4" s="1" t="s">
        <v>251</v>
      </c>
      <c r="B4" s="1" t="s">
        <v>252</v>
      </c>
      <c r="C4" s="1" t="n">
        <v>1</v>
      </c>
      <c r="D4" s="1" t="n">
        <v>2</v>
      </c>
      <c r="E4" s="1" t="n">
        <v>3</v>
      </c>
      <c r="F4" s="1" t="n">
        <v>4</v>
      </c>
      <c r="G4" s="1" t="n">
        <v>5</v>
      </c>
      <c r="H4" s="1" t="n">
        <v>6</v>
      </c>
      <c r="I4" s="1" t="n">
        <v>7</v>
      </c>
      <c r="J4" s="1" t="n">
        <v>8</v>
      </c>
      <c r="K4" s="1" t="n">
        <v>9</v>
      </c>
      <c r="L4" s="1" t="n">
        <v>10</v>
      </c>
      <c r="M4" s="1" t="n">
        <v>11</v>
      </c>
      <c r="N4" s="1" t="n">
        <v>12</v>
      </c>
      <c r="O4" s="1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  <c r="AG4" s="1" t="n">
        <v>31</v>
      </c>
      <c r="AH4" s="1" t="n">
        <v>32</v>
      </c>
      <c r="AI4" s="1" t="n">
        <v>33</v>
      </c>
      <c r="AJ4" s="1" t="n">
        <v>34</v>
      </c>
      <c r="AK4" s="1" t="n">
        <v>35</v>
      </c>
      <c r="AL4" s="1" t="n">
        <v>36</v>
      </c>
      <c r="AM4" s="1" t="s">
        <v>253</v>
      </c>
      <c r="AN4" s="1" t="s">
        <v>254</v>
      </c>
      <c r="AO4" s="1" t="s">
        <v>255</v>
      </c>
      <c r="AP4" s="1" t="s">
        <v>256</v>
      </c>
    </row>
    <row r="5" customFormat="false" ht="15" hidden="false" customHeight="false" outlineLevel="0" collapsed="false">
      <c r="A5" s="0" t="s">
        <v>328</v>
      </c>
      <c r="B5" s="0" t="s">
        <v>329</v>
      </c>
      <c r="C5" s="10" t="n">
        <f aca="false">ROUND(Допущения!$C$70*IF(C$4&lt;Допущения!$C$69,0,((C$4-Допущения!$C$69+1)/(36-Допущения!$C$69+1))^1),0)</f>
        <v>0</v>
      </c>
      <c r="D5" s="10" t="n">
        <f aca="false">ROUND(Допущения!$C$70*IF(D$4&lt;Допущения!$C$69,0,((D$4-Допущения!$C$69+1)/(36-Допущения!$C$69+1))^1),0)</f>
        <v>0</v>
      </c>
      <c r="E5" s="10" t="n">
        <f aca="false">ROUND(Допущения!$C$70*IF(E$4&lt;Допущения!$C$69,0,((E$4-Допущения!$C$69+1)/(36-Допущения!$C$69+1))^1),0)</f>
        <v>0</v>
      </c>
      <c r="F5" s="10" t="n">
        <f aca="false">ROUND(Допущения!$C$70*IF(F$4&lt;Допущения!$C$69,0,((F$4-Допущения!$C$69+1)/(36-Допущения!$C$69+1))^1),0)</f>
        <v>0</v>
      </c>
      <c r="G5" s="10" t="n">
        <f aca="false">ROUND(Допущения!$C$70*IF(G$4&lt;Допущения!$C$69,0,((G$4-Допущения!$C$69+1)/(36-Допущения!$C$69+1))^1),0)</f>
        <v>0</v>
      </c>
      <c r="H5" s="10" t="n">
        <f aca="false">ROUND(Допущения!$C$70*IF(H$4&lt;Допущения!$C$69,0,((H$4-Допущения!$C$69+1)/(36-Допущения!$C$69+1))^1),0)</f>
        <v>0</v>
      </c>
      <c r="I5" s="10" t="n">
        <f aca="false">ROUND(Допущения!$C$70*IF(I$4&lt;Допущения!$C$69,0,((I$4-Допущения!$C$69+1)/(36-Допущения!$C$69+1))^1),0)</f>
        <v>0</v>
      </c>
      <c r="J5" s="10" t="n">
        <f aca="false">ROUND(Допущения!$C$70*IF(J$4&lt;Допущения!$C$69,0,((J$4-Допущения!$C$69+1)/(36-Допущения!$C$69+1))^1),0)</f>
        <v>0</v>
      </c>
      <c r="K5" s="10" t="n">
        <f aca="false">ROUND(Допущения!$C$70*IF(K$4&lt;Допущения!$C$69,0,((K$4-Допущения!$C$69+1)/(36-Допущения!$C$69+1))^1),0)</f>
        <v>0</v>
      </c>
      <c r="L5" s="10" t="n">
        <f aca="false">ROUND(Допущения!$C$70*IF(L$4&lt;Допущения!$C$69,0,((L$4-Допущения!$C$69+1)/(36-Допущения!$C$69+1))^1),0)</f>
        <v>0</v>
      </c>
      <c r="M5" s="10" t="n">
        <f aca="false">ROUND(Допущения!$C$70*IF(M$4&lt;Допущения!$C$69,0,((M$4-Допущения!$C$69+1)/(36-Допущения!$C$69+1))^1),0)</f>
        <v>0</v>
      </c>
      <c r="N5" s="10" t="n">
        <f aca="false">ROUND(Допущения!$C$70*IF(N$4&lt;Допущения!$C$69,0,((N$4-Допущения!$C$69+1)/(36-Допущения!$C$69+1))^1),0)</f>
        <v>0</v>
      </c>
      <c r="O5" s="10" t="n">
        <f aca="false">ROUND(Допущения!$C$70*IF(O$4&lt;Допущения!$C$69,0,((O$4-Допущения!$C$69+1)/(36-Допущения!$C$69+1))^1),0)</f>
        <v>0</v>
      </c>
      <c r="P5" s="10" t="n">
        <f aca="false">ROUND(Допущения!$C$70*IF(P$4&lt;Допущения!$C$69,0,((P$4-Допущения!$C$69+1)/(36-Допущения!$C$69+1))^1),0)</f>
        <v>0</v>
      </c>
      <c r="Q5" s="10" t="n">
        <f aca="false">ROUND(Допущения!$C$70*IF(Q$4&lt;Допущения!$C$69,0,((Q$4-Допущения!$C$69+1)/(36-Допущения!$C$69+1))^1),0)</f>
        <v>0</v>
      </c>
      <c r="R5" s="10" t="n">
        <f aca="false">ROUND(Допущения!$C$70*IF(R$4&lt;Допущения!$C$69,0,((R$4-Допущения!$C$69+1)/(36-Допущения!$C$69+1))^1),0)</f>
        <v>0</v>
      </c>
      <c r="S5" s="10" t="n">
        <f aca="false">ROUND(Допущения!$C$70*IF(S$4&lt;Допущения!$C$69,0,((S$4-Допущения!$C$69+1)/(36-Допущения!$C$69+1))^1),0)</f>
        <v>0</v>
      </c>
      <c r="T5" s="10" t="n">
        <f aca="false">ROUND(Допущения!$C$70*IF(T$4&lt;Допущения!$C$69,0,((T$4-Допущения!$C$69+1)/(36-Допущения!$C$69+1))^1),0)</f>
        <v>0</v>
      </c>
      <c r="U5" s="10" t="n">
        <f aca="false">ROUND(Допущения!$C$70*IF(U$4&lt;Допущения!$C$69,0,((U$4-Допущения!$C$69+1)/(36-Допущения!$C$69+1))^1),0)</f>
        <v>0</v>
      </c>
      <c r="V5" s="10" t="n">
        <f aca="false">ROUND(Допущения!$C$70*IF(V$4&lt;Допущения!$C$69,0,((V$4-Допущения!$C$69+1)/(36-Допущения!$C$69+1))^1),0)</f>
        <v>0</v>
      </c>
      <c r="W5" s="10" t="n">
        <f aca="false">ROUND(Допущения!$C$70*IF(W$4&lt;Допущения!$C$69,0,((W$4-Допущения!$C$69+1)/(36-Допущения!$C$69+1))^1),0)</f>
        <v>0</v>
      </c>
      <c r="X5" s="10" t="n">
        <f aca="false">ROUND(Допущения!$C$70*IF(X$4&lt;Допущения!$C$69,0,((X$4-Допущения!$C$69+1)/(36-Допущения!$C$69+1))^1),0)</f>
        <v>1</v>
      </c>
      <c r="Y5" s="10" t="n">
        <f aca="false">ROUND(Допущения!$C$70*IF(Y$4&lt;Допущения!$C$69,0,((Y$4-Допущения!$C$69+1)/(36-Допущения!$C$69+1))^1),0)</f>
        <v>1</v>
      </c>
      <c r="Z5" s="10" t="n">
        <f aca="false">ROUND(Допущения!$C$70*IF(Z$4&lt;Допущения!$C$69,0,((Z$4-Допущения!$C$69+1)/(36-Допущения!$C$69+1))^1),0)</f>
        <v>1</v>
      </c>
      <c r="AA5" s="10" t="n">
        <f aca="false">ROUND(Допущения!$C$70*IF(AA$4&lt;Допущения!$C$69,0,((AA$4-Допущения!$C$69+1)/(36-Допущения!$C$69+1))^1),0)</f>
        <v>1</v>
      </c>
      <c r="AB5" s="10" t="n">
        <f aca="false">ROUND(Допущения!$C$70*IF(AB$4&lt;Допущения!$C$69,0,((AB$4-Допущения!$C$69+1)/(36-Допущения!$C$69+1))^1),0)</f>
        <v>1</v>
      </c>
      <c r="AC5" s="10" t="n">
        <f aca="false">ROUND(Допущения!$C$70*IF(AC$4&lt;Допущения!$C$69,0,((AC$4-Допущения!$C$69+1)/(36-Допущения!$C$69+1))^1),0)</f>
        <v>1</v>
      </c>
      <c r="AD5" s="10" t="n">
        <f aca="false">ROUND(Допущения!$C$70*IF(AD$4&lt;Допущения!$C$69,0,((AD$4-Допущения!$C$69+1)/(36-Допущения!$C$69+1))^1),0)</f>
        <v>1</v>
      </c>
      <c r="AE5" s="10" t="n">
        <f aca="false">ROUND(Допущения!$C$70*IF(AE$4&lt;Допущения!$C$69,0,((AE$4-Допущения!$C$69+1)/(36-Допущения!$C$69+1))^1),0)</f>
        <v>1</v>
      </c>
      <c r="AF5" s="10" t="n">
        <f aca="false">ROUND(Допущения!$C$70*IF(AF$4&lt;Допущения!$C$69,0,((AF$4-Допущения!$C$69+1)/(36-Допущения!$C$69+1))^1),0)</f>
        <v>1</v>
      </c>
      <c r="AG5" s="10" t="n">
        <f aca="false">ROUND(Допущения!$C$70*IF(AG$4&lt;Допущения!$C$69,0,((AG$4-Допущения!$C$69+1)/(36-Допущения!$C$69+1))^1),0)</f>
        <v>1</v>
      </c>
      <c r="AH5" s="10" t="n">
        <f aca="false">ROUND(Допущения!$C$70*IF(AH$4&lt;Допущения!$C$69,0,((AH$4-Допущения!$C$69+1)/(36-Допущения!$C$69+1))^1),0)</f>
        <v>1</v>
      </c>
      <c r="AI5" s="10" t="n">
        <f aca="false">ROUND(Допущения!$C$70*IF(AI$4&lt;Допущения!$C$69,0,((AI$4-Допущения!$C$69+1)/(36-Допущения!$C$69+1))^1),0)</f>
        <v>1</v>
      </c>
      <c r="AJ5" s="10" t="n">
        <f aca="false">ROUND(Допущения!$C$70*IF(AJ$4&lt;Допущения!$C$69,0,((AJ$4-Допущения!$C$69+1)/(36-Допущения!$C$69+1))^1),0)</f>
        <v>1</v>
      </c>
      <c r="AK5" s="10" t="n">
        <f aca="false">ROUND(Допущения!$C$70*IF(AK$4&lt;Допущения!$C$69,0,((AK$4-Допущения!$C$69+1)/(36-Допущения!$C$69+1))^1),0)</f>
        <v>1</v>
      </c>
      <c r="AL5" s="10" t="n">
        <f aca="false">ROUND(Допущения!$C$70*IF(AL$4&lt;Допущения!$C$69,0,((AL$4-Допущения!$C$69+1)/(36-Допущения!$C$69+1))^1),0)</f>
        <v>1</v>
      </c>
      <c r="AM5" s="10" t="n">
        <f aca="false">N5</f>
        <v>0</v>
      </c>
      <c r="AN5" s="10" t="n">
        <f aca="false">Z5</f>
        <v>1</v>
      </c>
      <c r="AO5" s="10" t="n">
        <f aca="false">AL5</f>
        <v>1</v>
      </c>
    </row>
    <row r="6" customFormat="false" ht="15" hidden="false" customHeight="false" outlineLevel="0" collapsed="false">
      <c r="A6" s="0" t="s">
        <v>330</v>
      </c>
      <c r="B6" s="0" t="s">
        <v>331</v>
      </c>
      <c r="C6" s="10" t="n">
        <f aca="false">ROUND(Допущения!$C$73*IF(C$4&lt;Допущения!$C$72,0,((C$4-Допущения!$C$72+1)/(36-Допущения!$C$72+1))^1)+0.49,0)*(C$4&gt;=Допущения!$C$72)</f>
        <v>0</v>
      </c>
      <c r="D6" s="10" t="n">
        <f aca="false">ROUND(Допущения!$C$73*IF(D$4&lt;Допущения!$C$72,0,((D$4-Допущения!$C$72+1)/(36-Допущения!$C$72+1))^1)+0.49,0)*(D$4&gt;=Допущения!$C$72)</f>
        <v>0</v>
      </c>
      <c r="E6" s="10" t="n">
        <f aca="false">ROUND(Допущения!$C$73*IF(E$4&lt;Допущения!$C$72,0,((E$4-Допущения!$C$72+1)/(36-Допущения!$C$72+1))^1)+0.49,0)*(E$4&gt;=Допущения!$C$72)</f>
        <v>0</v>
      </c>
      <c r="F6" s="10" t="n">
        <f aca="false">ROUND(Допущения!$C$73*IF(F$4&lt;Допущения!$C$72,0,((F$4-Допущения!$C$72+1)/(36-Допущения!$C$72+1))^1)+0.49,0)*(F$4&gt;=Допущения!$C$72)</f>
        <v>1</v>
      </c>
      <c r="G6" s="10" t="n">
        <f aca="false">ROUND(Допущения!$C$73*IF(G$4&lt;Допущения!$C$72,0,((G$4-Допущения!$C$72+1)/(36-Допущения!$C$72+1))^1)+0.49,0)*(G$4&gt;=Допущения!$C$72)</f>
        <v>1</v>
      </c>
      <c r="H6" s="10" t="n">
        <f aca="false">ROUND(Допущения!$C$73*IF(H$4&lt;Допущения!$C$72,0,((H$4-Допущения!$C$72+1)/(36-Допущения!$C$72+1))^1)+0.49,0)*(H$4&gt;=Допущения!$C$72)</f>
        <v>1</v>
      </c>
      <c r="I6" s="10" t="n">
        <f aca="false">ROUND(Допущения!$C$73*IF(I$4&lt;Допущения!$C$72,0,((I$4-Допущения!$C$72+1)/(36-Допущения!$C$72+1))^1)+0.49,0)*(I$4&gt;=Допущения!$C$72)</f>
        <v>1</v>
      </c>
      <c r="J6" s="10" t="n">
        <f aca="false">ROUND(Допущения!$C$73*IF(J$4&lt;Допущения!$C$72,0,((J$4-Допущения!$C$72+1)/(36-Допущения!$C$72+1))^1)+0.49,0)*(J$4&gt;=Допущения!$C$72)</f>
        <v>1</v>
      </c>
      <c r="K6" s="10" t="n">
        <f aca="false">ROUND(Допущения!$C$73*IF(K$4&lt;Допущения!$C$72,0,((K$4-Допущения!$C$72+1)/(36-Допущения!$C$72+1))^1)+0.49,0)*(K$4&gt;=Допущения!$C$72)</f>
        <v>1</v>
      </c>
      <c r="L6" s="10" t="n">
        <f aca="false">ROUND(Допущения!$C$73*IF(L$4&lt;Допущения!$C$72,0,((L$4-Допущения!$C$72+1)/(36-Допущения!$C$72+1))^1)+0.49,0)*(L$4&gt;=Допущения!$C$72)</f>
        <v>1</v>
      </c>
      <c r="M6" s="10" t="n">
        <f aca="false">ROUND(Допущения!$C$73*IF(M$4&lt;Допущения!$C$72,0,((M$4-Допущения!$C$72+1)/(36-Допущения!$C$72+1))^1)+0.49,0)*(M$4&gt;=Допущения!$C$72)</f>
        <v>1</v>
      </c>
      <c r="N6" s="10" t="n">
        <f aca="false">ROUND(Допущения!$C$73*IF(N$4&lt;Допущения!$C$72,0,((N$4-Допущения!$C$72+1)/(36-Допущения!$C$72+1))^1)+0.49,0)*(N$4&gt;=Допущения!$C$72)</f>
        <v>1</v>
      </c>
      <c r="O6" s="10" t="n">
        <f aca="false">ROUND(Допущения!$C$73*IF(O$4&lt;Допущения!$C$72,0,((O$4-Допущения!$C$72+1)/(36-Допущения!$C$72+1))^1)+0.49,0)*(O$4&gt;=Допущения!$C$72)</f>
        <v>1</v>
      </c>
      <c r="P6" s="10" t="n">
        <f aca="false">ROUND(Допущения!$C$73*IF(P$4&lt;Допущения!$C$72,0,((P$4-Допущения!$C$72+1)/(36-Допущения!$C$72+1))^1)+0.49,0)*(P$4&gt;=Допущения!$C$72)</f>
        <v>1</v>
      </c>
      <c r="Q6" s="10" t="n">
        <f aca="false">ROUND(Допущения!$C$73*IF(Q$4&lt;Допущения!$C$72,0,((Q$4-Допущения!$C$72+1)/(36-Допущения!$C$72+1))^1)+0.49,0)*(Q$4&gt;=Допущения!$C$72)</f>
        <v>1</v>
      </c>
      <c r="R6" s="10" t="n">
        <f aca="false">ROUND(Допущения!$C$73*IF(R$4&lt;Допущения!$C$72,0,((R$4-Допущения!$C$72+1)/(36-Допущения!$C$72+1))^1)+0.49,0)*(R$4&gt;=Допущения!$C$72)</f>
        <v>1</v>
      </c>
      <c r="S6" s="10" t="n">
        <f aca="false">ROUND(Допущения!$C$73*IF(S$4&lt;Допущения!$C$72,0,((S$4-Допущения!$C$72+1)/(36-Допущения!$C$72+1))^1)+0.49,0)*(S$4&gt;=Допущения!$C$72)</f>
        <v>1</v>
      </c>
      <c r="T6" s="10" t="n">
        <f aca="false">ROUND(Допущения!$C$73*IF(T$4&lt;Допущения!$C$72,0,((T$4-Допущения!$C$72+1)/(36-Допущения!$C$72+1))^1)+0.49,0)*(T$4&gt;=Допущения!$C$72)</f>
        <v>1</v>
      </c>
      <c r="U6" s="10" t="n">
        <f aca="false">ROUND(Допущения!$C$73*IF(U$4&lt;Допущения!$C$72,0,((U$4-Допущения!$C$72+1)/(36-Допущения!$C$72+1))^1)+0.49,0)*(U$4&gt;=Допущения!$C$72)</f>
        <v>1</v>
      </c>
      <c r="V6" s="10" t="n">
        <f aca="false">ROUND(Допущения!$C$73*IF(V$4&lt;Допущения!$C$72,0,((V$4-Допущения!$C$72+1)/(36-Допущения!$C$72+1))^1)+0.49,0)*(V$4&gt;=Допущения!$C$72)</f>
        <v>1</v>
      </c>
      <c r="W6" s="10" t="n">
        <f aca="false">ROUND(Допущения!$C$73*IF(W$4&lt;Допущения!$C$72,0,((W$4-Допущения!$C$72+1)/(36-Допущения!$C$72+1))^1)+0.49,0)*(W$4&gt;=Допущения!$C$72)</f>
        <v>1</v>
      </c>
      <c r="X6" s="10" t="n">
        <f aca="false">ROUND(Допущения!$C$73*IF(X$4&lt;Допущения!$C$72,0,((X$4-Допущения!$C$72+1)/(36-Допущения!$C$72+1))^1)+0.49,0)*(X$4&gt;=Допущения!$C$72)</f>
        <v>1</v>
      </c>
      <c r="Y6" s="10" t="n">
        <f aca="false">ROUND(Допущения!$C$73*IF(Y$4&lt;Допущения!$C$72,0,((Y$4-Допущения!$C$72+1)/(36-Допущения!$C$72+1))^1)+0.49,0)*(Y$4&gt;=Допущения!$C$72)</f>
        <v>1</v>
      </c>
      <c r="Z6" s="10" t="n">
        <f aca="false">ROUND(Допущения!$C$73*IF(Z$4&lt;Допущения!$C$72,0,((Z$4-Допущения!$C$72+1)/(36-Допущения!$C$72+1))^1)+0.49,0)*(Z$4&gt;=Допущения!$C$72)</f>
        <v>1</v>
      </c>
      <c r="AA6" s="10" t="n">
        <f aca="false">ROUND(Допущения!$C$73*IF(AA$4&lt;Допущения!$C$72,0,((AA$4-Допущения!$C$72+1)/(36-Допущения!$C$72+1))^1)+0.49,0)*(AA$4&gt;=Допущения!$C$72)</f>
        <v>1</v>
      </c>
      <c r="AB6" s="10" t="n">
        <f aca="false">ROUND(Допущения!$C$73*IF(AB$4&lt;Допущения!$C$72,0,((AB$4-Допущения!$C$72+1)/(36-Допущения!$C$72+1))^1)+0.49,0)*(AB$4&gt;=Допущения!$C$72)</f>
        <v>1</v>
      </c>
      <c r="AC6" s="10" t="n">
        <f aca="false">ROUND(Допущения!$C$73*IF(AC$4&lt;Допущения!$C$72,0,((AC$4-Допущения!$C$72+1)/(36-Допущения!$C$72+1))^1)+0.49,0)*(AC$4&gt;=Допущения!$C$72)</f>
        <v>1</v>
      </c>
      <c r="AD6" s="10" t="n">
        <f aca="false">ROUND(Допущения!$C$73*IF(AD$4&lt;Допущения!$C$72,0,((AD$4-Допущения!$C$72+1)/(36-Допущения!$C$72+1))^1)+0.49,0)*(AD$4&gt;=Допущения!$C$72)</f>
        <v>1</v>
      </c>
      <c r="AE6" s="10" t="n">
        <f aca="false">ROUND(Допущения!$C$73*IF(AE$4&lt;Допущения!$C$72,0,((AE$4-Допущения!$C$72+1)/(36-Допущения!$C$72+1))^1)+0.49,0)*(AE$4&gt;=Допущения!$C$72)</f>
        <v>1</v>
      </c>
      <c r="AF6" s="10" t="n">
        <f aca="false">ROUND(Допущения!$C$73*IF(AF$4&lt;Допущения!$C$72,0,((AF$4-Допущения!$C$72+1)/(36-Допущения!$C$72+1))^1)+0.49,0)*(AF$4&gt;=Допущения!$C$72)</f>
        <v>1</v>
      </c>
      <c r="AG6" s="10" t="n">
        <f aca="false">ROUND(Допущения!$C$73*IF(AG$4&lt;Допущения!$C$72,0,((AG$4-Допущения!$C$72+1)/(36-Допущения!$C$72+1))^1)+0.49,0)*(AG$4&gt;=Допущения!$C$72)</f>
        <v>1</v>
      </c>
      <c r="AH6" s="10" t="n">
        <f aca="false">ROUND(Допущения!$C$73*IF(AH$4&lt;Допущения!$C$72,0,((AH$4-Допущения!$C$72+1)/(36-Допущения!$C$72+1))^1)+0.49,0)*(AH$4&gt;=Допущения!$C$72)</f>
        <v>1</v>
      </c>
      <c r="AI6" s="10" t="n">
        <f aca="false">ROUND(Допущения!$C$73*IF(AI$4&lt;Допущения!$C$72,0,((AI$4-Допущения!$C$72+1)/(36-Допущения!$C$72+1))^1)+0.49,0)*(AI$4&gt;=Допущения!$C$72)</f>
        <v>1</v>
      </c>
      <c r="AJ6" s="10" t="n">
        <f aca="false">ROUND(Допущения!$C$73*IF(AJ$4&lt;Допущения!$C$72,0,((AJ$4-Допущения!$C$72+1)/(36-Допущения!$C$72+1))^1)+0.49,0)*(AJ$4&gt;=Допущения!$C$72)</f>
        <v>1</v>
      </c>
      <c r="AK6" s="10" t="n">
        <f aca="false">ROUND(Допущения!$C$73*IF(AK$4&lt;Допущения!$C$72,0,((AK$4-Допущения!$C$72+1)/(36-Допущения!$C$72+1))^1)+0.49,0)*(AK$4&gt;=Допущения!$C$72)</f>
        <v>1</v>
      </c>
      <c r="AL6" s="10" t="n">
        <f aca="false">ROUND(Допущения!$C$73*IF(AL$4&lt;Допущения!$C$72,0,((AL$4-Допущения!$C$72+1)/(36-Допущения!$C$72+1))^1)+0.49,0)*(AL$4&gt;=Допущения!$C$72)</f>
        <v>1</v>
      </c>
      <c r="AM6" s="10" t="n">
        <f aca="false">N6</f>
        <v>1</v>
      </c>
      <c r="AN6" s="10" t="n">
        <f aca="false">Z6</f>
        <v>1</v>
      </c>
      <c r="AO6" s="10" t="n">
        <f aca="false">AL6</f>
        <v>1</v>
      </c>
    </row>
    <row r="7" customFormat="false" ht="15" hidden="false" customHeight="false" outlineLevel="0" collapsed="false">
      <c r="A7" s="0" t="s">
        <v>267</v>
      </c>
      <c r="B7" s="0" t="s">
        <v>332</v>
      </c>
      <c r="C7" s="10" t="n">
        <f aca="false">C5*Допущения!$C$71/12+C6*Допущения!$C$74</f>
        <v>0</v>
      </c>
      <c r="D7" s="10" t="n">
        <f aca="false">D5*Допущения!$C$71/12+D6*Допущения!$C$74</f>
        <v>0</v>
      </c>
      <c r="E7" s="10" t="n">
        <f aca="false">E5*Допущения!$C$71/12+E6*Допущения!$C$74</f>
        <v>0</v>
      </c>
      <c r="F7" s="10" t="n">
        <f aca="false">F5*Допущения!$C$71/12+F6*Допущения!$C$74</f>
        <v>100000</v>
      </c>
      <c r="G7" s="10" t="n">
        <f aca="false">G5*Допущения!$C$71/12+G6*Допущения!$C$74</f>
        <v>100000</v>
      </c>
      <c r="H7" s="10" t="n">
        <f aca="false">H5*Допущения!$C$71/12+H6*Допущения!$C$74</f>
        <v>100000</v>
      </c>
      <c r="I7" s="10" t="n">
        <f aca="false">I5*Допущения!$C$71/12+I6*Допущения!$C$74</f>
        <v>100000</v>
      </c>
      <c r="J7" s="10" t="n">
        <f aca="false">J5*Допущения!$C$71/12+J6*Допущения!$C$74</f>
        <v>100000</v>
      </c>
      <c r="K7" s="10" t="n">
        <f aca="false">K5*Допущения!$C$71/12+K6*Допущения!$C$74</f>
        <v>100000</v>
      </c>
      <c r="L7" s="10" t="n">
        <f aca="false">L5*Допущения!$C$71/12+L6*Допущения!$C$74</f>
        <v>100000</v>
      </c>
      <c r="M7" s="10" t="n">
        <f aca="false">M5*Допущения!$C$71/12+M6*Допущения!$C$74</f>
        <v>100000</v>
      </c>
      <c r="N7" s="10" t="n">
        <f aca="false">N5*Допущения!$C$71/12+N6*Допущения!$C$74</f>
        <v>100000</v>
      </c>
      <c r="O7" s="10" t="n">
        <f aca="false">O5*Допущения!$C$71/12+O6*Допущения!$C$74</f>
        <v>100000</v>
      </c>
      <c r="P7" s="10" t="n">
        <f aca="false">P5*Допущения!$C$71/12+P6*Допущения!$C$74</f>
        <v>100000</v>
      </c>
      <c r="Q7" s="10" t="n">
        <f aca="false">Q5*Допущения!$C$71/12+Q6*Допущения!$C$74</f>
        <v>100000</v>
      </c>
      <c r="R7" s="10" t="n">
        <f aca="false">R5*Допущения!$C$71/12+R6*Допущения!$C$74</f>
        <v>100000</v>
      </c>
      <c r="S7" s="10" t="n">
        <f aca="false">S5*Допущения!$C$71/12+S6*Допущения!$C$74</f>
        <v>100000</v>
      </c>
      <c r="T7" s="10" t="n">
        <f aca="false">T5*Допущения!$C$71/12+T6*Допущения!$C$74</f>
        <v>100000</v>
      </c>
      <c r="U7" s="10" t="n">
        <f aca="false">U5*Допущения!$C$71/12+U6*Допущения!$C$74</f>
        <v>100000</v>
      </c>
      <c r="V7" s="10" t="n">
        <f aca="false">V5*Допущения!$C$71/12+V6*Допущения!$C$74</f>
        <v>100000</v>
      </c>
      <c r="W7" s="10" t="n">
        <f aca="false">W5*Допущения!$C$71/12+W6*Допущения!$C$74</f>
        <v>100000</v>
      </c>
      <c r="X7" s="10" t="n">
        <f aca="false">X5*Допущения!$C$71/12+X6*Допущения!$C$74</f>
        <v>150000</v>
      </c>
      <c r="Y7" s="10" t="n">
        <f aca="false">Y5*Допущения!$C$71/12+Y6*Допущения!$C$74</f>
        <v>150000</v>
      </c>
      <c r="Z7" s="10" t="n">
        <f aca="false">Z5*Допущения!$C$71/12+Z6*Допущения!$C$74</f>
        <v>150000</v>
      </c>
      <c r="AA7" s="10" t="n">
        <f aca="false">AA5*Допущения!$C$71/12+AA6*Допущения!$C$74</f>
        <v>150000</v>
      </c>
      <c r="AB7" s="10" t="n">
        <f aca="false">AB5*Допущения!$C$71/12+AB6*Допущения!$C$74</f>
        <v>150000</v>
      </c>
      <c r="AC7" s="10" t="n">
        <f aca="false">AC5*Допущения!$C$71/12+AC6*Допущения!$C$74</f>
        <v>150000</v>
      </c>
      <c r="AD7" s="10" t="n">
        <f aca="false">AD5*Допущения!$C$71/12+AD6*Допущения!$C$74</f>
        <v>150000</v>
      </c>
      <c r="AE7" s="10" t="n">
        <f aca="false">AE5*Допущения!$C$71/12+AE6*Допущения!$C$74</f>
        <v>150000</v>
      </c>
      <c r="AF7" s="10" t="n">
        <f aca="false">AF5*Допущения!$C$71/12+AF6*Допущения!$C$74</f>
        <v>150000</v>
      </c>
      <c r="AG7" s="10" t="n">
        <f aca="false">AG5*Допущения!$C$71/12+AG6*Допущения!$C$74</f>
        <v>150000</v>
      </c>
      <c r="AH7" s="10" t="n">
        <f aca="false">AH5*Допущения!$C$71/12+AH6*Допущения!$C$74</f>
        <v>150000</v>
      </c>
      <c r="AI7" s="10" t="n">
        <f aca="false">AI5*Допущения!$C$71/12+AI6*Допущения!$C$74</f>
        <v>150000</v>
      </c>
      <c r="AJ7" s="10" t="n">
        <f aca="false">AJ5*Допущения!$C$71/12+AJ6*Допущения!$C$74</f>
        <v>150000</v>
      </c>
      <c r="AK7" s="10" t="n">
        <f aca="false">AK5*Допущения!$C$71/12+AK6*Допущения!$C$74</f>
        <v>150000</v>
      </c>
      <c r="AL7" s="10" t="n">
        <f aca="false">AL5*Допущения!$C$71/12+AL6*Допущения!$C$74</f>
        <v>150000</v>
      </c>
      <c r="AM7" s="10" t="n">
        <f aca="false">SUM(C7:N7)</f>
        <v>900000</v>
      </c>
      <c r="AN7" s="10" t="n">
        <f aca="false">SUM(O7:Z7)</f>
        <v>1350000</v>
      </c>
      <c r="AO7" s="10" t="n">
        <f aca="false">SUM(AA7:AL7)</f>
        <v>1800000</v>
      </c>
      <c r="AP7" s="10" t="n">
        <f aca="false">SUM(C7:AL7)</f>
        <v>4050000</v>
      </c>
    </row>
    <row r="8" customFormat="false" ht="15" hidden="false" customHeight="false" outlineLevel="0" collapsed="false">
      <c r="A8" s="0" t="s">
        <v>275</v>
      </c>
      <c r="B8" s="0" t="s">
        <v>333</v>
      </c>
      <c r="C8" s="10" t="n">
        <f aca="false">C5*Допущения!$C$71/12*(1-Допущения!$C$14)+C6*Допущения!$C$74*(Допущения!$C$75-Допущения!$C$14)</f>
        <v>0</v>
      </c>
      <c r="D8" s="10" t="n">
        <f aca="false">D5*Допущения!$C$71/12*(1-Допущения!$C$14)+D6*Допущения!$C$74*(Допущения!$C$75-Допущения!$C$14)</f>
        <v>0</v>
      </c>
      <c r="E8" s="10" t="n">
        <f aca="false">E5*Допущения!$C$71/12*(1-Допущения!$C$14)+E6*Допущения!$C$74*(Допущения!$C$75-Допущения!$C$14)</f>
        <v>0</v>
      </c>
      <c r="F8" s="10" t="n">
        <f aca="false">F5*Допущения!$C$71/12*(1-Допущения!$C$14)+F6*Допущения!$C$74*(Допущения!$C$75-Допущения!$C$14)</f>
        <v>24000</v>
      </c>
      <c r="G8" s="10" t="n">
        <f aca="false">G5*Допущения!$C$71/12*(1-Допущения!$C$14)+G6*Допущения!$C$74*(Допущения!$C$75-Допущения!$C$14)</f>
        <v>24000</v>
      </c>
      <c r="H8" s="10" t="n">
        <f aca="false">H5*Допущения!$C$71/12*(1-Допущения!$C$14)+H6*Допущения!$C$74*(Допущения!$C$75-Допущения!$C$14)</f>
        <v>24000</v>
      </c>
      <c r="I8" s="10" t="n">
        <f aca="false">I5*Допущения!$C$71/12*(1-Допущения!$C$14)+I6*Допущения!$C$74*(Допущения!$C$75-Допущения!$C$14)</f>
        <v>24000</v>
      </c>
      <c r="J8" s="10" t="n">
        <f aca="false">J5*Допущения!$C$71/12*(1-Допущения!$C$14)+J6*Допущения!$C$74*(Допущения!$C$75-Допущения!$C$14)</f>
        <v>24000</v>
      </c>
      <c r="K8" s="10" t="n">
        <f aca="false">K5*Допущения!$C$71/12*(1-Допущения!$C$14)+K6*Допущения!$C$74*(Допущения!$C$75-Допущения!$C$14)</f>
        <v>24000</v>
      </c>
      <c r="L8" s="10" t="n">
        <f aca="false">L5*Допущения!$C$71/12*(1-Допущения!$C$14)+L6*Допущения!$C$74*(Допущения!$C$75-Допущения!$C$14)</f>
        <v>24000</v>
      </c>
      <c r="M8" s="10" t="n">
        <f aca="false">M5*Допущения!$C$71/12*(1-Допущения!$C$14)+M6*Допущения!$C$74*(Допущения!$C$75-Допущения!$C$14)</f>
        <v>24000</v>
      </c>
      <c r="N8" s="10" t="n">
        <f aca="false">N5*Допущения!$C$71/12*(1-Допущения!$C$14)+N6*Допущения!$C$74*(Допущения!$C$75-Допущения!$C$14)</f>
        <v>24000</v>
      </c>
      <c r="O8" s="10" t="n">
        <f aca="false">O5*Допущения!$C$71/12*(1-Допущения!$C$14)+O6*Допущения!$C$74*(Допущения!$C$75-Допущения!$C$14)</f>
        <v>24000</v>
      </c>
      <c r="P8" s="10" t="n">
        <f aca="false">P5*Допущения!$C$71/12*(1-Допущения!$C$14)+P6*Допущения!$C$74*(Допущения!$C$75-Допущения!$C$14)</f>
        <v>24000</v>
      </c>
      <c r="Q8" s="10" t="n">
        <f aca="false">Q5*Допущения!$C$71/12*(1-Допущения!$C$14)+Q6*Допущения!$C$74*(Допущения!$C$75-Допущения!$C$14)</f>
        <v>24000</v>
      </c>
      <c r="R8" s="10" t="n">
        <f aca="false">R5*Допущения!$C$71/12*(1-Допущения!$C$14)+R6*Допущения!$C$74*(Допущения!$C$75-Допущения!$C$14)</f>
        <v>24000</v>
      </c>
      <c r="S8" s="10" t="n">
        <f aca="false">S5*Допущения!$C$71/12*(1-Допущения!$C$14)+S6*Допущения!$C$74*(Допущения!$C$75-Допущения!$C$14)</f>
        <v>24000</v>
      </c>
      <c r="T8" s="10" t="n">
        <f aca="false">T5*Допущения!$C$71/12*(1-Допущения!$C$14)+T6*Допущения!$C$74*(Допущения!$C$75-Допущения!$C$14)</f>
        <v>24000</v>
      </c>
      <c r="U8" s="10" t="n">
        <f aca="false">U5*Допущения!$C$71/12*(1-Допущения!$C$14)+U6*Допущения!$C$74*(Допущения!$C$75-Допущения!$C$14)</f>
        <v>24000</v>
      </c>
      <c r="V8" s="10" t="n">
        <f aca="false">V5*Допущения!$C$71/12*(1-Допущения!$C$14)+V6*Допущения!$C$74*(Допущения!$C$75-Допущения!$C$14)</f>
        <v>24000</v>
      </c>
      <c r="W8" s="10" t="n">
        <f aca="false">W5*Допущения!$C$71/12*(1-Допущения!$C$14)+W6*Допущения!$C$74*(Допущения!$C$75-Допущения!$C$14)</f>
        <v>24000</v>
      </c>
      <c r="X8" s="10" t="n">
        <f aca="false">X5*Допущения!$C$71/12*(1-Допущения!$C$14)+X6*Допущения!$C$74*(Допущения!$C$75-Допущения!$C$14)</f>
        <v>71000</v>
      </c>
      <c r="Y8" s="10" t="n">
        <f aca="false">Y5*Допущения!$C$71/12*(1-Допущения!$C$14)+Y6*Допущения!$C$74*(Допущения!$C$75-Допущения!$C$14)</f>
        <v>71000</v>
      </c>
      <c r="Z8" s="10" t="n">
        <f aca="false">Z5*Допущения!$C$71/12*(1-Допущения!$C$14)+Z6*Допущения!$C$74*(Допущения!$C$75-Допущения!$C$14)</f>
        <v>71000</v>
      </c>
      <c r="AA8" s="10" t="n">
        <f aca="false">AA5*Допущения!$C$71/12*(1-Допущения!$C$14)+AA6*Допущения!$C$74*(Допущения!$C$75-Допущения!$C$14)</f>
        <v>71000</v>
      </c>
      <c r="AB8" s="10" t="n">
        <f aca="false">AB5*Допущения!$C$71/12*(1-Допущения!$C$14)+AB6*Допущения!$C$74*(Допущения!$C$75-Допущения!$C$14)</f>
        <v>71000</v>
      </c>
      <c r="AC8" s="10" t="n">
        <f aca="false">AC5*Допущения!$C$71/12*(1-Допущения!$C$14)+AC6*Допущения!$C$74*(Допущения!$C$75-Допущения!$C$14)</f>
        <v>71000</v>
      </c>
      <c r="AD8" s="10" t="n">
        <f aca="false">AD5*Допущения!$C$71/12*(1-Допущения!$C$14)+AD6*Допущения!$C$74*(Допущения!$C$75-Допущения!$C$14)</f>
        <v>71000</v>
      </c>
      <c r="AE8" s="10" t="n">
        <f aca="false">AE5*Допущения!$C$71/12*(1-Допущения!$C$14)+AE6*Допущения!$C$74*(Допущения!$C$75-Допущения!$C$14)</f>
        <v>71000</v>
      </c>
      <c r="AF8" s="10" t="n">
        <f aca="false">AF5*Допущения!$C$71/12*(1-Допущения!$C$14)+AF6*Допущения!$C$74*(Допущения!$C$75-Допущения!$C$14)</f>
        <v>71000</v>
      </c>
      <c r="AG8" s="10" t="n">
        <f aca="false">AG5*Допущения!$C$71/12*(1-Допущения!$C$14)+AG6*Допущения!$C$74*(Допущения!$C$75-Допущения!$C$14)</f>
        <v>71000</v>
      </c>
      <c r="AH8" s="10" t="n">
        <f aca="false">AH5*Допущения!$C$71/12*(1-Допущения!$C$14)+AH6*Допущения!$C$74*(Допущения!$C$75-Допущения!$C$14)</f>
        <v>71000</v>
      </c>
      <c r="AI8" s="10" t="n">
        <f aca="false">AI5*Допущения!$C$71/12*(1-Допущения!$C$14)+AI6*Допущения!$C$74*(Допущения!$C$75-Допущения!$C$14)</f>
        <v>71000</v>
      </c>
      <c r="AJ8" s="10" t="n">
        <f aca="false">AJ5*Допущения!$C$71/12*(1-Допущения!$C$14)+AJ6*Допущения!$C$74*(Допущения!$C$75-Допущения!$C$14)</f>
        <v>71000</v>
      </c>
      <c r="AK8" s="10" t="n">
        <f aca="false">AK5*Допущения!$C$71/12*(1-Допущения!$C$14)+AK6*Допущения!$C$74*(Допущения!$C$75-Допущения!$C$14)</f>
        <v>71000</v>
      </c>
      <c r="AL8" s="10" t="n">
        <f aca="false">AL5*Допущения!$C$71/12*(1-Допущения!$C$14)+AL6*Допущения!$C$74*(Допущения!$C$75-Допущения!$C$14)</f>
        <v>71000</v>
      </c>
      <c r="AM8" s="10" t="n">
        <f aca="false">SUM(C8:N8)</f>
        <v>216000</v>
      </c>
      <c r="AN8" s="10" t="n">
        <f aca="false">SUM(O8:Z8)</f>
        <v>429000</v>
      </c>
      <c r="AO8" s="10" t="n">
        <f aca="false">SUM(AA8:AL8)</f>
        <v>852000</v>
      </c>
      <c r="AP8" s="10" t="n">
        <f aca="false">SUM(C8:AL8)</f>
        <v>1497000</v>
      </c>
    </row>
    <row r="9" customFormat="false" ht="15" hidden="false" customHeight="false" outlineLevel="0" collapsed="false">
      <c r="A9" s="0" t="s">
        <v>277</v>
      </c>
      <c r="B9" s="0" t="s">
        <v>334</v>
      </c>
      <c r="C9" s="10" t="n">
        <f aca="false">0</f>
        <v>0</v>
      </c>
      <c r="D9" s="10" t="n">
        <f aca="false">0</f>
        <v>0</v>
      </c>
      <c r="E9" s="10" t="n">
        <f aca="false">0</f>
        <v>0</v>
      </c>
      <c r="F9" s="10" t="n">
        <f aca="false">0</f>
        <v>0</v>
      </c>
      <c r="G9" s="10" t="n">
        <f aca="false">0</f>
        <v>0</v>
      </c>
      <c r="H9" s="10" t="n">
        <f aca="false">0</f>
        <v>0</v>
      </c>
      <c r="I9" s="10" t="n">
        <f aca="false">0</f>
        <v>0</v>
      </c>
      <c r="J9" s="10" t="n">
        <f aca="false">0</f>
        <v>0</v>
      </c>
      <c r="K9" s="10" t="n">
        <f aca="false">0</f>
        <v>0</v>
      </c>
      <c r="L9" s="10" t="n">
        <f aca="false">0</f>
        <v>0</v>
      </c>
      <c r="M9" s="10" t="n">
        <f aca="false">0</f>
        <v>0</v>
      </c>
      <c r="N9" s="10" t="n">
        <f aca="false">0</f>
        <v>0</v>
      </c>
      <c r="O9" s="10" t="n">
        <f aca="false">0</f>
        <v>0</v>
      </c>
      <c r="P9" s="10" t="n">
        <f aca="false">0</f>
        <v>0</v>
      </c>
      <c r="Q9" s="10" t="n">
        <f aca="false">0</f>
        <v>0</v>
      </c>
      <c r="R9" s="10" t="n">
        <f aca="false">0</f>
        <v>0</v>
      </c>
      <c r="S9" s="10" t="n">
        <f aca="false">0</f>
        <v>0</v>
      </c>
      <c r="T9" s="10" t="n">
        <f aca="false">0</f>
        <v>0</v>
      </c>
      <c r="U9" s="10" t="n">
        <f aca="false">0</f>
        <v>0</v>
      </c>
      <c r="V9" s="10" t="n">
        <f aca="false">0</f>
        <v>0</v>
      </c>
      <c r="W9" s="10" t="n">
        <f aca="false">0</f>
        <v>0</v>
      </c>
      <c r="X9" s="10" t="n">
        <f aca="false">0</f>
        <v>0</v>
      </c>
      <c r="Y9" s="10" t="n">
        <f aca="false">0</f>
        <v>0</v>
      </c>
      <c r="Z9" s="10" t="n">
        <f aca="false">0</f>
        <v>0</v>
      </c>
      <c r="AA9" s="10" t="n">
        <f aca="false">0</f>
        <v>0</v>
      </c>
      <c r="AB9" s="10" t="n">
        <f aca="false">0</f>
        <v>0</v>
      </c>
      <c r="AC9" s="10" t="n">
        <f aca="false">0</f>
        <v>0</v>
      </c>
      <c r="AD9" s="10" t="n">
        <f aca="false">0</f>
        <v>0</v>
      </c>
      <c r="AE9" s="10" t="n">
        <f aca="false">0</f>
        <v>0</v>
      </c>
      <c r="AF9" s="10" t="n">
        <f aca="false">0</f>
        <v>0</v>
      </c>
      <c r="AG9" s="10" t="n">
        <f aca="false">0</f>
        <v>0</v>
      </c>
      <c r="AH9" s="10" t="n">
        <f aca="false">0</f>
        <v>0</v>
      </c>
      <c r="AI9" s="10" t="n">
        <f aca="false">0</f>
        <v>0</v>
      </c>
      <c r="AJ9" s="10" t="n">
        <f aca="false">0</f>
        <v>0</v>
      </c>
      <c r="AK9" s="10" t="n">
        <f aca="false">0</f>
        <v>0</v>
      </c>
      <c r="AL9" s="10" t="n">
        <f aca="false">0</f>
        <v>0</v>
      </c>
      <c r="AM9" s="10" t="n">
        <f aca="false">SUM(C9:N9)</f>
        <v>0</v>
      </c>
      <c r="AN9" s="10" t="n">
        <f aca="false">SUM(O9:Z9)</f>
        <v>0</v>
      </c>
      <c r="AO9" s="10" t="n">
        <f aca="false">SUM(AA9:AL9)</f>
        <v>0</v>
      </c>
      <c r="AP9" s="10" t="n">
        <f aca="false">SUM(C9:AL9)</f>
        <v>0</v>
      </c>
    </row>
    <row r="10" customFormat="false" ht="15" hidden="false" customHeight="false" outlineLevel="0" collapsed="false">
      <c r="A10" s="0" t="s">
        <v>279</v>
      </c>
      <c r="B10" s="0" t="s">
        <v>280</v>
      </c>
      <c r="C10" s="10" t="n">
        <f aca="false">Допущения!$C$17+IF(C$4&gt;=2,Допущения!$C$76,0)</f>
        <v>220000</v>
      </c>
      <c r="D10" s="10" t="n">
        <f aca="false">Допущения!$C$17+IF(D$4&gt;=2,Допущения!$C$76,0)</f>
        <v>350000</v>
      </c>
      <c r="E10" s="10" t="n">
        <f aca="false">Допущения!$C$17+IF(E$4&gt;=2,Допущения!$C$76,0)</f>
        <v>350000</v>
      </c>
      <c r="F10" s="10" t="n">
        <f aca="false">Допущения!$C$17+IF(F$4&gt;=2,Допущения!$C$76,0)</f>
        <v>350000</v>
      </c>
      <c r="G10" s="10" t="n">
        <f aca="false">Допущения!$C$17+IF(G$4&gt;=2,Допущения!$C$76,0)</f>
        <v>350000</v>
      </c>
      <c r="H10" s="10" t="n">
        <f aca="false">Допущения!$C$17+IF(H$4&gt;=2,Допущения!$C$76,0)</f>
        <v>350000</v>
      </c>
      <c r="I10" s="10" t="n">
        <f aca="false">Допущения!$C$17+IF(I$4&gt;=2,Допущения!$C$76,0)</f>
        <v>350000</v>
      </c>
      <c r="J10" s="10" t="n">
        <f aca="false">Допущения!$C$17+IF(J$4&gt;=2,Допущения!$C$76,0)</f>
        <v>350000</v>
      </c>
      <c r="K10" s="10" t="n">
        <f aca="false">Допущения!$C$17+IF(K$4&gt;=2,Допущения!$C$76,0)</f>
        <v>350000</v>
      </c>
      <c r="L10" s="10" t="n">
        <f aca="false">Допущения!$C$17+IF(L$4&gt;=2,Допущения!$C$76,0)</f>
        <v>350000</v>
      </c>
      <c r="M10" s="10" t="n">
        <f aca="false">Допущения!$C$17+IF(M$4&gt;=2,Допущения!$C$76,0)</f>
        <v>350000</v>
      </c>
      <c r="N10" s="10" t="n">
        <f aca="false">Допущения!$C$17+IF(N$4&gt;=2,Допущения!$C$76,0)</f>
        <v>350000</v>
      </c>
      <c r="O10" s="10" t="n">
        <f aca="false">Допущения!$C$17+IF(O$4&gt;=2,Допущения!$C$76,0)</f>
        <v>350000</v>
      </c>
      <c r="P10" s="10" t="n">
        <f aca="false">Допущения!$C$17+IF(P$4&gt;=2,Допущения!$C$76,0)</f>
        <v>350000</v>
      </c>
      <c r="Q10" s="10" t="n">
        <f aca="false">Допущения!$C$17+IF(Q$4&gt;=2,Допущения!$C$76,0)</f>
        <v>350000</v>
      </c>
      <c r="R10" s="10" t="n">
        <f aca="false">Допущения!$C$17+IF(R$4&gt;=2,Допущения!$C$76,0)</f>
        <v>350000</v>
      </c>
      <c r="S10" s="10" t="n">
        <f aca="false">Допущения!$C$17+IF(S$4&gt;=2,Допущения!$C$76,0)</f>
        <v>350000</v>
      </c>
      <c r="T10" s="10" t="n">
        <f aca="false">Допущения!$C$17+IF(T$4&gt;=2,Допущения!$C$76,0)</f>
        <v>350000</v>
      </c>
      <c r="U10" s="10" t="n">
        <f aca="false">Допущения!$C$17+IF(U$4&gt;=2,Допущения!$C$76,0)</f>
        <v>350000</v>
      </c>
      <c r="V10" s="10" t="n">
        <f aca="false">Допущения!$C$17+IF(V$4&gt;=2,Допущения!$C$76,0)</f>
        <v>350000</v>
      </c>
      <c r="W10" s="10" t="n">
        <f aca="false">Допущения!$C$17+IF(W$4&gt;=2,Допущения!$C$76,0)</f>
        <v>350000</v>
      </c>
      <c r="X10" s="10" t="n">
        <f aca="false">Допущения!$C$17+IF(X$4&gt;=2,Допущения!$C$76,0)</f>
        <v>350000</v>
      </c>
      <c r="Y10" s="10" t="n">
        <f aca="false">Допущения!$C$17+IF(Y$4&gt;=2,Допущения!$C$76,0)</f>
        <v>350000</v>
      </c>
      <c r="Z10" s="10" t="n">
        <f aca="false">Допущения!$C$17+IF(Z$4&gt;=2,Допущения!$C$76,0)</f>
        <v>350000</v>
      </c>
      <c r="AA10" s="10" t="n">
        <f aca="false">Допущения!$C$17+IF(AA$4&gt;=2,Допущения!$C$76,0)</f>
        <v>350000</v>
      </c>
      <c r="AB10" s="10" t="n">
        <f aca="false">Допущения!$C$17+IF(AB$4&gt;=2,Допущения!$C$76,0)</f>
        <v>350000</v>
      </c>
      <c r="AC10" s="10" t="n">
        <f aca="false">Допущения!$C$17+IF(AC$4&gt;=2,Допущения!$C$76,0)</f>
        <v>350000</v>
      </c>
      <c r="AD10" s="10" t="n">
        <f aca="false">Допущения!$C$17+IF(AD$4&gt;=2,Допущения!$C$76,0)</f>
        <v>350000</v>
      </c>
      <c r="AE10" s="10" t="n">
        <f aca="false">Допущения!$C$17+IF(AE$4&gt;=2,Допущения!$C$76,0)</f>
        <v>350000</v>
      </c>
      <c r="AF10" s="10" t="n">
        <f aca="false">Допущения!$C$17+IF(AF$4&gt;=2,Допущения!$C$76,0)</f>
        <v>350000</v>
      </c>
      <c r="AG10" s="10" t="n">
        <f aca="false">Допущения!$C$17+IF(AG$4&gt;=2,Допущения!$C$76,0)</f>
        <v>350000</v>
      </c>
      <c r="AH10" s="10" t="n">
        <f aca="false">Допущения!$C$17+IF(AH$4&gt;=2,Допущения!$C$76,0)</f>
        <v>350000</v>
      </c>
      <c r="AI10" s="10" t="n">
        <f aca="false">Допущения!$C$17+IF(AI$4&gt;=2,Допущения!$C$76,0)</f>
        <v>350000</v>
      </c>
      <c r="AJ10" s="10" t="n">
        <f aca="false">Допущения!$C$17+IF(AJ$4&gt;=2,Допущения!$C$76,0)</f>
        <v>350000</v>
      </c>
      <c r="AK10" s="10" t="n">
        <f aca="false">Допущения!$C$17+IF(AK$4&gt;=2,Допущения!$C$76,0)</f>
        <v>350000</v>
      </c>
      <c r="AL10" s="10" t="n">
        <f aca="false">Допущения!$C$17+IF(AL$4&gt;=2,Допущения!$C$76,0)</f>
        <v>350000</v>
      </c>
      <c r="AM10" s="10" t="n">
        <f aca="false">SUM(C10:N10)</f>
        <v>4070000</v>
      </c>
      <c r="AN10" s="10" t="n">
        <f aca="false">SUM(O10:Z10)</f>
        <v>4200000</v>
      </c>
      <c r="AO10" s="10" t="n">
        <f aca="false">SUM(AA10:AL10)</f>
        <v>4200000</v>
      </c>
      <c r="AP10" s="10" t="n">
        <f aca="false">SUM(C10:AL10)</f>
        <v>12470000</v>
      </c>
    </row>
    <row r="11" customFormat="false" ht="15" hidden="false" customHeight="false" outlineLevel="0" collapsed="false">
      <c r="A11" s="1" t="s">
        <v>281</v>
      </c>
      <c r="B11" s="1" t="s">
        <v>282</v>
      </c>
      <c r="C11" s="11" t="n">
        <f aca="false">C8-C10-C9</f>
        <v>-220000</v>
      </c>
      <c r="D11" s="11" t="n">
        <f aca="false">D8-D10-D9</f>
        <v>-350000</v>
      </c>
      <c r="E11" s="11" t="n">
        <f aca="false">E8-E10-E9</f>
        <v>-350000</v>
      </c>
      <c r="F11" s="11" t="n">
        <f aca="false">F8-F10-F9</f>
        <v>-326000</v>
      </c>
      <c r="G11" s="11" t="n">
        <f aca="false">G8-G10-G9</f>
        <v>-326000</v>
      </c>
      <c r="H11" s="11" t="n">
        <f aca="false">H8-H10-H9</f>
        <v>-326000</v>
      </c>
      <c r="I11" s="11" t="n">
        <f aca="false">I8-I10-I9</f>
        <v>-326000</v>
      </c>
      <c r="J11" s="11" t="n">
        <f aca="false">J8-J10-J9</f>
        <v>-326000</v>
      </c>
      <c r="K11" s="11" t="n">
        <f aca="false">K8-K10-K9</f>
        <v>-326000</v>
      </c>
      <c r="L11" s="11" t="n">
        <f aca="false">L8-L10-L9</f>
        <v>-326000</v>
      </c>
      <c r="M11" s="11" t="n">
        <f aca="false">M8-M10-M9</f>
        <v>-326000</v>
      </c>
      <c r="N11" s="11" t="n">
        <f aca="false">N8-N10-N9</f>
        <v>-326000</v>
      </c>
      <c r="O11" s="11" t="n">
        <f aca="false">O8-O10-O9</f>
        <v>-326000</v>
      </c>
      <c r="P11" s="11" t="n">
        <f aca="false">P8-P10-P9</f>
        <v>-326000</v>
      </c>
      <c r="Q11" s="11" t="n">
        <f aca="false">Q8-Q10-Q9</f>
        <v>-326000</v>
      </c>
      <c r="R11" s="11" t="n">
        <f aca="false">R8-R10-R9</f>
        <v>-326000</v>
      </c>
      <c r="S11" s="11" t="n">
        <f aca="false">S8-S10-S9</f>
        <v>-326000</v>
      </c>
      <c r="T11" s="11" t="n">
        <f aca="false">T8-T10-T9</f>
        <v>-326000</v>
      </c>
      <c r="U11" s="11" t="n">
        <f aca="false">U8-U10-U9</f>
        <v>-326000</v>
      </c>
      <c r="V11" s="11" t="n">
        <f aca="false">V8-V10-V9</f>
        <v>-326000</v>
      </c>
      <c r="W11" s="11" t="n">
        <f aca="false">W8-W10-W9</f>
        <v>-326000</v>
      </c>
      <c r="X11" s="11" t="n">
        <f aca="false">X8-X10-X9</f>
        <v>-279000</v>
      </c>
      <c r="Y11" s="11" t="n">
        <f aca="false">Y8-Y10-Y9</f>
        <v>-279000</v>
      </c>
      <c r="Z11" s="11" t="n">
        <f aca="false">Z8-Z10-Z9</f>
        <v>-279000</v>
      </c>
      <c r="AA11" s="11" t="n">
        <f aca="false">AA8-AA10-AA9</f>
        <v>-279000</v>
      </c>
      <c r="AB11" s="11" t="n">
        <f aca="false">AB8-AB10-AB9</f>
        <v>-279000</v>
      </c>
      <c r="AC11" s="11" t="n">
        <f aca="false">AC8-AC10-AC9</f>
        <v>-279000</v>
      </c>
      <c r="AD11" s="11" t="n">
        <f aca="false">AD8-AD10-AD9</f>
        <v>-279000</v>
      </c>
      <c r="AE11" s="11" t="n">
        <f aca="false">AE8-AE10-AE9</f>
        <v>-279000</v>
      </c>
      <c r="AF11" s="11" t="n">
        <f aca="false">AF8-AF10-AF9</f>
        <v>-279000</v>
      </c>
      <c r="AG11" s="11" t="n">
        <f aca="false">AG8-AG10-AG9</f>
        <v>-279000</v>
      </c>
      <c r="AH11" s="11" t="n">
        <f aca="false">AH8-AH10-AH9</f>
        <v>-279000</v>
      </c>
      <c r="AI11" s="11" t="n">
        <f aca="false">AI8-AI10-AI9</f>
        <v>-279000</v>
      </c>
      <c r="AJ11" s="11" t="n">
        <f aca="false">AJ8-AJ10-AJ9</f>
        <v>-279000</v>
      </c>
      <c r="AK11" s="11" t="n">
        <f aca="false">AK8-AK10-AK9</f>
        <v>-279000</v>
      </c>
      <c r="AL11" s="11" t="n">
        <f aca="false">AL8-AL10-AL9</f>
        <v>-279000</v>
      </c>
      <c r="AM11" s="11" t="n">
        <f aca="false">SUM(C11:N11)</f>
        <v>-3854000</v>
      </c>
      <c r="AN11" s="11" t="n">
        <f aca="false">SUM(O11:Z11)</f>
        <v>-3771000</v>
      </c>
      <c r="AO11" s="11" t="n">
        <f aca="false">SUM(AA11:AL11)</f>
        <v>-3348000</v>
      </c>
      <c r="AP11" s="11" t="n">
        <f aca="false">SUM(C11:AL11)</f>
        <v>-10973000</v>
      </c>
    </row>
    <row r="12" customFormat="false" ht="15" hidden="false" customHeight="false" outlineLevel="0" collapsed="false">
      <c r="A12" s="0" t="s">
        <v>283</v>
      </c>
      <c r="B12" s="0" t="s">
        <v>284</v>
      </c>
      <c r="C12" s="10" t="n">
        <f aca="false">IF(C$4=1,Допущения!$C$19+Допущения!$C$77,0)</f>
        <v>450000</v>
      </c>
      <c r="D12" s="10" t="n">
        <f aca="false">IF(D$4=1,Допущения!$C$19+Допущения!$C$77,0)</f>
        <v>0</v>
      </c>
      <c r="E12" s="10" t="n">
        <f aca="false">IF(E$4=1,Допущения!$C$19+Допущения!$C$77,0)</f>
        <v>0</v>
      </c>
      <c r="F12" s="10" t="n">
        <f aca="false">IF(F$4=1,Допущения!$C$19+Допущения!$C$77,0)</f>
        <v>0</v>
      </c>
      <c r="G12" s="10" t="n">
        <f aca="false">IF(G$4=1,Допущения!$C$19+Допущения!$C$77,0)</f>
        <v>0</v>
      </c>
      <c r="H12" s="10" t="n">
        <f aca="false">IF(H$4=1,Допущения!$C$19+Допущения!$C$77,0)</f>
        <v>0</v>
      </c>
      <c r="I12" s="10" t="n">
        <f aca="false">IF(I$4=1,Допущения!$C$19+Допущения!$C$77,0)</f>
        <v>0</v>
      </c>
      <c r="J12" s="10" t="n">
        <f aca="false">IF(J$4=1,Допущения!$C$19+Допущения!$C$77,0)</f>
        <v>0</v>
      </c>
      <c r="K12" s="10" t="n">
        <f aca="false">IF(K$4=1,Допущения!$C$19+Допущения!$C$77,0)</f>
        <v>0</v>
      </c>
      <c r="L12" s="10" t="n">
        <f aca="false">IF(L$4=1,Допущения!$C$19+Допущения!$C$77,0)</f>
        <v>0</v>
      </c>
      <c r="M12" s="10" t="n">
        <f aca="false">IF(M$4=1,Допущения!$C$19+Допущения!$C$77,0)</f>
        <v>0</v>
      </c>
      <c r="N12" s="10" t="n">
        <f aca="false">IF(N$4=1,Допущения!$C$19+Допущения!$C$77,0)</f>
        <v>0</v>
      </c>
      <c r="O12" s="10" t="n">
        <f aca="false">IF(O$4=1,Допущения!$C$19+Допущения!$C$77,0)</f>
        <v>0</v>
      </c>
      <c r="P12" s="10" t="n">
        <f aca="false">IF(P$4=1,Допущения!$C$19+Допущения!$C$77,0)</f>
        <v>0</v>
      </c>
      <c r="Q12" s="10" t="n">
        <f aca="false">IF(Q$4=1,Допущения!$C$19+Допущения!$C$77,0)</f>
        <v>0</v>
      </c>
      <c r="R12" s="10" t="n">
        <f aca="false">IF(R$4=1,Допущения!$C$19+Допущения!$C$77,0)</f>
        <v>0</v>
      </c>
      <c r="S12" s="10" t="n">
        <f aca="false">IF(S$4=1,Допущения!$C$19+Допущения!$C$77,0)</f>
        <v>0</v>
      </c>
      <c r="T12" s="10" t="n">
        <f aca="false">IF(T$4=1,Допущения!$C$19+Допущения!$C$77,0)</f>
        <v>0</v>
      </c>
      <c r="U12" s="10" t="n">
        <f aca="false">IF(U$4=1,Допущения!$C$19+Допущения!$C$77,0)</f>
        <v>0</v>
      </c>
      <c r="V12" s="10" t="n">
        <f aca="false">IF(V$4=1,Допущения!$C$19+Допущения!$C$77,0)</f>
        <v>0</v>
      </c>
      <c r="W12" s="10" t="n">
        <f aca="false">IF(W$4=1,Допущения!$C$19+Допущения!$C$77,0)</f>
        <v>0</v>
      </c>
      <c r="X12" s="10" t="n">
        <f aca="false">IF(X$4=1,Допущения!$C$19+Допущения!$C$77,0)</f>
        <v>0</v>
      </c>
      <c r="Y12" s="10" t="n">
        <f aca="false">IF(Y$4=1,Допущения!$C$19+Допущения!$C$77,0)</f>
        <v>0</v>
      </c>
      <c r="Z12" s="10" t="n">
        <f aca="false">IF(Z$4=1,Допущения!$C$19+Допущения!$C$77,0)</f>
        <v>0</v>
      </c>
      <c r="AA12" s="10" t="n">
        <f aca="false">IF(AA$4=1,Допущения!$C$19+Допущения!$C$77,0)</f>
        <v>0</v>
      </c>
      <c r="AB12" s="10" t="n">
        <f aca="false">IF(AB$4=1,Допущения!$C$19+Допущения!$C$77,0)</f>
        <v>0</v>
      </c>
      <c r="AC12" s="10" t="n">
        <f aca="false">IF(AC$4=1,Допущения!$C$19+Допущения!$C$77,0)</f>
        <v>0</v>
      </c>
      <c r="AD12" s="10" t="n">
        <f aca="false">IF(AD$4=1,Допущения!$C$19+Допущения!$C$77,0)</f>
        <v>0</v>
      </c>
      <c r="AE12" s="10" t="n">
        <f aca="false">IF(AE$4=1,Допущения!$C$19+Допущения!$C$77,0)</f>
        <v>0</v>
      </c>
      <c r="AF12" s="10" t="n">
        <f aca="false">IF(AF$4=1,Допущения!$C$19+Допущения!$C$77,0)</f>
        <v>0</v>
      </c>
      <c r="AG12" s="10" t="n">
        <f aca="false">IF(AG$4=1,Допущения!$C$19+Допущения!$C$77,0)</f>
        <v>0</v>
      </c>
      <c r="AH12" s="10" t="n">
        <f aca="false">IF(AH$4=1,Допущения!$C$19+Допущения!$C$77,0)</f>
        <v>0</v>
      </c>
      <c r="AI12" s="10" t="n">
        <f aca="false">IF(AI$4=1,Допущения!$C$19+Допущения!$C$77,0)</f>
        <v>0</v>
      </c>
      <c r="AJ12" s="10" t="n">
        <f aca="false">IF(AJ$4=1,Допущения!$C$19+Допущения!$C$77,0)</f>
        <v>0</v>
      </c>
      <c r="AK12" s="10" t="n">
        <f aca="false">IF(AK$4=1,Допущения!$C$19+Допущения!$C$77,0)</f>
        <v>0</v>
      </c>
      <c r="AL12" s="10" t="n">
        <f aca="false">IF(AL$4=1,Допущения!$C$19+Допущения!$C$77,0)</f>
        <v>0</v>
      </c>
      <c r="AM12" s="10" t="n">
        <f aca="false">SUM(C12:N12)</f>
        <v>450000</v>
      </c>
      <c r="AN12" s="10" t="n">
        <f aca="false">SUM(O12:Z12)</f>
        <v>0</v>
      </c>
      <c r="AO12" s="10" t="n">
        <f aca="false">SUM(AA12:AL12)</f>
        <v>0</v>
      </c>
      <c r="AP12" s="10" t="n">
        <f aca="false">SUM(C12:AL12)</f>
        <v>450000</v>
      </c>
    </row>
    <row r="13" customFormat="false" ht="15" hidden="false" customHeight="false" outlineLevel="0" collapsed="false">
      <c r="A13" s="1" t="s">
        <v>285</v>
      </c>
      <c r="B13" s="1" t="s">
        <v>286</v>
      </c>
      <c r="C13" s="11" t="n">
        <f aca="false">C11-C12</f>
        <v>-670000</v>
      </c>
      <c r="D13" s="11" t="n">
        <f aca="false">D11-D12</f>
        <v>-350000</v>
      </c>
      <c r="E13" s="11" t="n">
        <f aca="false">E11-E12</f>
        <v>-350000</v>
      </c>
      <c r="F13" s="11" t="n">
        <f aca="false">F11-F12</f>
        <v>-326000</v>
      </c>
      <c r="G13" s="11" t="n">
        <f aca="false">G11-G12</f>
        <v>-326000</v>
      </c>
      <c r="H13" s="11" t="n">
        <f aca="false">H11-H12</f>
        <v>-326000</v>
      </c>
      <c r="I13" s="11" t="n">
        <f aca="false">I11-I12</f>
        <v>-326000</v>
      </c>
      <c r="J13" s="11" t="n">
        <f aca="false">J11-J12</f>
        <v>-326000</v>
      </c>
      <c r="K13" s="11" t="n">
        <f aca="false">K11-K12</f>
        <v>-326000</v>
      </c>
      <c r="L13" s="11" t="n">
        <f aca="false">L11-L12</f>
        <v>-326000</v>
      </c>
      <c r="M13" s="11" t="n">
        <f aca="false">M11-M12</f>
        <v>-326000</v>
      </c>
      <c r="N13" s="11" t="n">
        <f aca="false">N11-N12</f>
        <v>-326000</v>
      </c>
      <c r="O13" s="11" t="n">
        <f aca="false">O11-O12</f>
        <v>-326000</v>
      </c>
      <c r="P13" s="11" t="n">
        <f aca="false">P11-P12</f>
        <v>-326000</v>
      </c>
      <c r="Q13" s="11" t="n">
        <f aca="false">Q11-Q12</f>
        <v>-326000</v>
      </c>
      <c r="R13" s="11" t="n">
        <f aca="false">R11-R12</f>
        <v>-326000</v>
      </c>
      <c r="S13" s="11" t="n">
        <f aca="false">S11-S12</f>
        <v>-326000</v>
      </c>
      <c r="T13" s="11" t="n">
        <f aca="false">T11-T12</f>
        <v>-326000</v>
      </c>
      <c r="U13" s="11" t="n">
        <f aca="false">U11-U12</f>
        <v>-326000</v>
      </c>
      <c r="V13" s="11" t="n">
        <f aca="false">V11-V12</f>
        <v>-326000</v>
      </c>
      <c r="W13" s="11" t="n">
        <f aca="false">W11-W12</f>
        <v>-326000</v>
      </c>
      <c r="X13" s="11" t="n">
        <f aca="false">X11-X12</f>
        <v>-279000</v>
      </c>
      <c r="Y13" s="11" t="n">
        <f aca="false">Y11-Y12</f>
        <v>-279000</v>
      </c>
      <c r="Z13" s="11" t="n">
        <f aca="false">Z11-Z12</f>
        <v>-279000</v>
      </c>
      <c r="AA13" s="11" t="n">
        <f aca="false">AA11-AA12</f>
        <v>-279000</v>
      </c>
      <c r="AB13" s="11" t="n">
        <f aca="false">AB11-AB12</f>
        <v>-279000</v>
      </c>
      <c r="AC13" s="11" t="n">
        <f aca="false">AC11-AC12</f>
        <v>-279000</v>
      </c>
      <c r="AD13" s="11" t="n">
        <f aca="false">AD11-AD12</f>
        <v>-279000</v>
      </c>
      <c r="AE13" s="11" t="n">
        <f aca="false">AE11-AE12</f>
        <v>-279000</v>
      </c>
      <c r="AF13" s="11" t="n">
        <f aca="false">AF11-AF12</f>
        <v>-279000</v>
      </c>
      <c r="AG13" s="11" t="n">
        <f aca="false">AG11-AG12</f>
        <v>-279000</v>
      </c>
      <c r="AH13" s="11" t="n">
        <f aca="false">AH11-AH12</f>
        <v>-279000</v>
      </c>
      <c r="AI13" s="11" t="n">
        <f aca="false">AI11-AI12</f>
        <v>-279000</v>
      </c>
      <c r="AJ13" s="11" t="n">
        <f aca="false">AJ11-AJ12</f>
        <v>-279000</v>
      </c>
      <c r="AK13" s="11" t="n">
        <f aca="false">AK11-AK12</f>
        <v>-279000</v>
      </c>
      <c r="AL13" s="11" t="n">
        <f aca="false">AL11-AL12</f>
        <v>-279000</v>
      </c>
      <c r="AM13" s="11" t="n">
        <f aca="false">SUM(C13:N13)</f>
        <v>-4304000</v>
      </c>
      <c r="AN13" s="11" t="n">
        <f aca="false">SUM(O13:Z13)</f>
        <v>-3771000</v>
      </c>
      <c r="AO13" s="11" t="n">
        <f aca="false">SUM(AA13:AL13)</f>
        <v>-3348000</v>
      </c>
      <c r="AP13" s="11" t="n">
        <f aca="false">SUM(C13:AL13)</f>
        <v>-11423000</v>
      </c>
    </row>
    <row r="14" customFormat="false" ht="15" hidden="false" customHeight="false" outlineLevel="0" collapsed="false">
      <c r="A14" s="1" t="s">
        <v>287</v>
      </c>
      <c r="B14" s="1" t="s">
        <v>288</v>
      </c>
      <c r="C14" s="11" t="n">
        <f aca="false">0+C13</f>
        <v>-670000</v>
      </c>
      <c r="D14" s="11" t="n">
        <f aca="false">C14+D13</f>
        <v>-1020000</v>
      </c>
      <c r="E14" s="11" t="n">
        <f aca="false">D14+E13</f>
        <v>-1370000</v>
      </c>
      <c r="F14" s="11" t="n">
        <f aca="false">E14+F13</f>
        <v>-1696000</v>
      </c>
      <c r="G14" s="11" t="n">
        <f aca="false">F14+G13</f>
        <v>-2022000</v>
      </c>
      <c r="H14" s="11" t="n">
        <f aca="false">G14+H13</f>
        <v>-2348000</v>
      </c>
      <c r="I14" s="11" t="n">
        <f aca="false">H14+I13</f>
        <v>-2674000</v>
      </c>
      <c r="J14" s="11" t="n">
        <f aca="false">I14+J13</f>
        <v>-3000000</v>
      </c>
      <c r="K14" s="11" t="n">
        <f aca="false">J14+K13</f>
        <v>-3326000</v>
      </c>
      <c r="L14" s="11" t="n">
        <f aca="false">K14+L13</f>
        <v>-3652000</v>
      </c>
      <c r="M14" s="11" t="n">
        <f aca="false">L14+M13</f>
        <v>-3978000</v>
      </c>
      <c r="N14" s="11" t="n">
        <f aca="false">M14+N13</f>
        <v>-4304000</v>
      </c>
      <c r="O14" s="11" t="n">
        <f aca="false">N14+O13</f>
        <v>-4630000</v>
      </c>
      <c r="P14" s="11" t="n">
        <f aca="false">O14+P13</f>
        <v>-4956000</v>
      </c>
      <c r="Q14" s="11" t="n">
        <f aca="false">P14+Q13</f>
        <v>-5282000</v>
      </c>
      <c r="R14" s="11" t="n">
        <f aca="false">Q14+R13</f>
        <v>-5608000</v>
      </c>
      <c r="S14" s="11" t="n">
        <f aca="false">R14+S13</f>
        <v>-5934000</v>
      </c>
      <c r="T14" s="11" t="n">
        <f aca="false">S14+T13</f>
        <v>-6260000</v>
      </c>
      <c r="U14" s="11" t="n">
        <f aca="false">T14+U13</f>
        <v>-6586000</v>
      </c>
      <c r="V14" s="11" t="n">
        <f aca="false">U14+V13</f>
        <v>-6912000</v>
      </c>
      <c r="W14" s="11" t="n">
        <f aca="false">V14+W13</f>
        <v>-7238000</v>
      </c>
      <c r="X14" s="11" t="n">
        <f aca="false">W14+X13</f>
        <v>-7517000</v>
      </c>
      <c r="Y14" s="11" t="n">
        <f aca="false">X14+Y13</f>
        <v>-7796000</v>
      </c>
      <c r="Z14" s="11" t="n">
        <f aca="false">Y14+Z13</f>
        <v>-8075000</v>
      </c>
      <c r="AA14" s="11" t="n">
        <f aca="false">Z14+AA13</f>
        <v>-8354000</v>
      </c>
      <c r="AB14" s="11" t="n">
        <f aca="false">AA14+AB13</f>
        <v>-8633000</v>
      </c>
      <c r="AC14" s="11" t="n">
        <f aca="false">AB14+AC13</f>
        <v>-8912000</v>
      </c>
      <c r="AD14" s="11" t="n">
        <f aca="false">AC14+AD13</f>
        <v>-9191000</v>
      </c>
      <c r="AE14" s="11" t="n">
        <f aca="false">AD14+AE13</f>
        <v>-9470000</v>
      </c>
      <c r="AF14" s="11" t="n">
        <f aca="false">AE14+AF13</f>
        <v>-9749000</v>
      </c>
      <c r="AG14" s="11" t="n">
        <f aca="false">AF14+AG13</f>
        <v>-10028000</v>
      </c>
      <c r="AH14" s="11" t="n">
        <f aca="false">AG14+AH13</f>
        <v>-10307000</v>
      </c>
      <c r="AI14" s="11" t="n">
        <f aca="false">AH14+AI13</f>
        <v>-10586000</v>
      </c>
      <c r="AJ14" s="11" t="n">
        <f aca="false">AI14+AJ13</f>
        <v>-10865000</v>
      </c>
      <c r="AK14" s="11" t="n">
        <f aca="false">AJ14+AK13</f>
        <v>-11144000</v>
      </c>
      <c r="AL14" s="11" t="n">
        <f aca="false">AK14+AL13</f>
        <v>-11423000</v>
      </c>
      <c r="AM14" s="11" t="n">
        <f aca="false">N14</f>
        <v>-4304000</v>
      </c>
      <c r="AN14" s="11" t="n">
        <f aca="false">Z14</f>
        <v>-8075000</v>
      </c>
      <c r="AO14" s="11" t="n">
        <f aca="false">AL14</f>
        <v>-11423000</v>
      </c>
      <c r="AP14" s="1"/>
    </row>
    <row r="15" customFormat="false" ht="15" hidden="false" customHeight="false" outlineLevel="0" collapsed="false">
      <c r="A15" s="0" t="s">
        <v>289</v>
      </c>
      <c r="B15" s="0" t="s">
        <v>290</v>
      </c>
      <c r="C15" s="0" t="n">
        <f aca="false">IF(AND(C11&gt;0,COUNTIF(C11:AL11,"&lt;=0")=0),C$4,99)</f>
        <v>99</v>
      </c>
      <c r="D15" s="0" t="n">
        <f aca="false">IF(AND(D11&gt;0,COUNTIF(D11:AL11,"&lt;=0")=0),D$4,99)</f>
        <v>99</v>
      </c>
      <c r="E15" s="0" t="n">
        <f aca="false">IF(AND(E11&gt;0,COUNTIF(E11:AL11,"&lt;=0")=0),E$4,99)</f>
        <v>99</v>
      </c>
      <c r="F15" s="0" t="n">
        <f aca="false">IF(AND(F11&gt;0,COUNTIF(F11:AL11,"&lt;=0")=0),F$4,99)</f>
        <v>99</v>
      </c>
      <c r="G15" s="0" t="n">
        <f aca="false">IF(AND(G11&gt;0,COUNTIF(G11:AL11,"&lt;=0")=0),G$4,99)</f>
        <v>99</v>
      </c>
      <c r="H15" s="0" t="n">
        <f aca="false">IF(AND(H11&gt;0,COUNTIF(H11:AL11,"&lt;=0")=0),H$4,99)</f>
        <v>99</v>
      </c>
      <c r="I15" s="0" t="n">
        <f aca="false">IF(AND(I11&gt;0,COUNTIF(I11:AL11,"&lt;=0")=0),I$4,99)</f>
        <v>99</v>
      </c>
      <c r="J15" s="0" t="n">
        <f aca="false">IF(AND(J11&gt;0,COUNTIF(J11:AL11,"&lt;=0")=0),J$4,99)</f>
        <v>99</v>
      </c>
      <c r="K15" s="0" t="n">
        <f aca="false">IF(AND(K11&gt;0,COUNTIF(K11:AL11,"&lt;=0")=0),K$4,99)</f>
        <v>99</v>
      </c>
      <c r="L15" s="0" t="n">
        <f aca="false">IF(AND(L11&gt;0,COUNTIF(L11:AL11,"&lt;=0")=0),L$4,99)</f>
        <v>99</v>
      </c>
      <c r="M15" s="0" t="n">
        <f aca="false">IF(AND(M11&gt;0,COUNTIF(M11:AL11,"&lt;=0")=0),M$4,99)</f>
        <v>99</v>
      </c>
      <c r="N15" s="0" t="n">
        <f aca="false">IF(AND(N11&gt;0,COUNTIF(N11:AL11,"&lt;=0")=0),N$4,99)</f>
        <v>99</v>
      </c>
      <c r="O15" s="0" t="n">
        <f aca="false">IF(AND(O11&gt;0,COUNTIF(O11:AL11,"&lt;=0")=0),O$4,99)</f>
        <v>99</v>
      </c>
      <c r="P15" s="0" t="n">
        <f aca="false">IF(AND(P11&gt;0,COUNTIF(P11:AL11,"&lt;=0")=0),P$4,99)</f>
        <v>99</v>
      </c>
      <c r="Q15" s="0" t="n">
        <f aca="false">IF(AND(Q11&gt;0,COUNTIF(Q11:AL11,"&lt;=0")=0),Q$4,99)</f>
        <v>99</v>
      </c>
      <c r="R15" s="0" t="n">
        <f aca="false">IF(AND(R11&gt;0,COUNTIF(R11:AL11,"&lt;=0")=0),R$4,99)</f>
        <v>99</v>
      </c>
      <c r="S15" s="0" t="n">
        <f aca="false">IF(AND(S11&gt;0,COUNTIF(S11:AL11,"&lt;=0")=0),S$4,99)</f>
        <v>99</v>
      </c>
      <c r="T15" s="0" t="n">
        <f aca="false">IF(AND(T11&gt;0,COUNTIF(T11:AL11,"&lt;=0")=0),T$4,99)</f>
        <v>99</v>
      </c>
      <c r="U15" s="0" t="n">
        <f aca="false">IF(AND(U11&gt;0,COUNTIF(U11:AL11,"&lt;=0")=0),U$4,99)</f>
        <v>99</v>
      </c>
      <c r="V15" s="0" t="n">
        <f aca="false">IF(AND(V11&gt;0,COUNTIF(V11:AL11,"&lt;=0")=0),V$4,99)</f>
        <v>99</v>
      </c>
      <c r="W15" s="0" t="n">
        <f aca="false">IF(AND(W11&gt;0,COUNTIF(W11:AL11,"&lt;=0")=0),W$4,99)</f>
        <v>99</v>
      </c>
      <c r="X15" s="0" t="n">
        <f aca="false">IF(AND(X11&gt;0,COUNTIF(X11:AL11,"&lt;=0")=0),X$4,99)</f>
        <v>99</v>
      </c>
      <c r="Y15" s="0" t="n">
        <f aca="false">IF(AND(Y11&gt;0,COUNTIF(Y11:AL11,"&lt;=0")=0),Y$4,99)</f>
        <v>99</v>
      </c>
      <c r="Z15" s="0" t="n">
        <f aca="false">IF(AND(Z11&gt;0,COUNTIF(Z11:AL11,"&lt;=0")=0),Z$4,99)</f>
        <v>99</v>
      </c>
      <c r="AA15" s="0" t="n">
        <f aca="false">IF(AND(AA11&gt;0,COUNTIF(AA11:AL11,"&lt;=0")=0),AA$4,99)</f>
        <v>99</v>
      </c>
      <c r="AB15" s="0" t="n">
        <f aca="false">IF(AND(AB11&gt;0,COUNTIF(AB11:AL11,"&lt;=0")=0),AB$4,99)</f>
        <v>99</v>
      </c>
      <c r="AC15" s="0" t="n">
        <f aca="false">IF(AND(AC11&gt;0,COUNTIF(AC11:AL11,"&lt;=0")=0),AC$4,99)</f>
        <v>99</v>
      </c>
      <c r="AD15" s="0" t="n">
        <f aca="false">IF(AND(AD11&gt;0,COUNTIF(AD11:AL11,"&lt;=0")=0),AD$4,99)</f>
        <v>99</v>
      </c>
      <c r="AE15" s="0" t="n">
        <f aca="false">IF(AND(AE11&gt;0,COUNTIF(AE11:AL11,"&lt;=0")=0),AE$4,99)</f>
        <v>99</v>
      </c>
      <c r="AF15" s="0" t="n">
        <f aca="false">IF(AND(AF11&gt;0,COUNTIF(AF11:AL11,"&lt;=0")=0),AF$4,99)</f>
        <v>99</v>
      </c>
      <c r="AG15" s="0" t="n">
        <f aca="false">IF(AND(AG11&gt;0,COUNTIF(AG11:AL11,"&lt;=0")=0),AG$4,99)</f>
        <v>99</v>
      </c>
      <c r="AH15" s="0" t="n">
        <f aca="false">IF(AND(AH11&gt;0,COUNTIF(AH11:AL11,"&lt;=0")=0),AH$4,99)</f>
        <v>99</v>
      </c>
      <c r="AI15" s="0" t="n">
        <f aca="false">IF(AND(AI11&gt;0,COUNTIF(AI11:AL11,"&lt;=0")=0),AI$4,99)</f>
        <v>99</v>
      </c>
      <c r="AJ15" s="0" t="n">
        <f aca="false">IF(AND(AJ11&gt;0,COUNTIF(AJ11:AL11,"&lt;=0")=0),AJ$4,99)</f>
        <v>99</v>
      </c>
      <c r="AK15" s="0" t="n">
        <f aca="false">IF(AND(AK11&gt;0,COUNTIF(AK11:AL11,"&lt;=0")=0),AK$4,99)</f>
        <v>99</v>
      </c>
      <c r="AL15" s="0" t="n">
        <f aca="false">IF(AND(AL11&gt;0,COUNTIF(AL11:AL11,"&lt;=0")=0),AL$4,99)</f>
        <v>99</v>
      </c>
    </row>
    <row r="16" customFormat="false" ht="15" hidden="false" customHeight="false" outlineLevel="0" collapsed="false">
      <c r="A16" s="0" t="s">
        <v>291</v>
      </c>
      <c r="B16" s="0" t="s">
        <v>292</v>
      </c>
      <c r="C16" s="0" t="n">
        <f aca="false">IF(AND(C14&gt;=0,COUNTIF(C14:AL14,"&lt;0")=0),C$4,99)</f>
        <v>99</v>
      </c>
      <c r="D16" s="0" t="n">
        <f aca="false">IF(AND(D14&gt;=0,COUNTIF(D14:AL14,"&lt;0")=0),D$4,99)</f>
        <v>99</v>
      </c>
      <c r="E16" s="0" t="n">
        <f aca="false">IF(AND(E14&gt;=0,COUNTIF(E14:AL14,"&lt;0")=0),E$4,99)</f>
        <v>99</v>
      </c>
      <c r="F16" s="0" t="n">
        <f aca="false">IF(AND(F14&gt;=0,COUNTIF(F14:AL14,"&lt;0")=0),F$4,99)</f>
        <v>99</v>
      </c>
      <c r="G16" s="0" t="n">
        <f aca="false">IF(AND(G14&gt;=0,COUNTIF(G14:AL14,"&lt;0")=0),G$4,99)</f>
        <v>99</v>
      </c>
      <c r="H16" s="0" t="n">
        <f aca="false">IF(AND(H14&gt;=0,COUNTIF(H14:AL14,"&lt;0")=0),H$4,99)</f>
        <v>99</v>
      </c>
      <c r="I16" s="0" t="n">
        <f aca="false">IF(AND(I14&gt;=0,COUNTIF(I14:AL14,"&lt;0")=0),I$4,99)</f>
        <v>99</v>
      </c>
      <c r="J16" s="0" t="n">
        <f aca="false">IF(AND(J14&gt;=0,COUNTIF(J14:AL14,"&lt;0")=0),J$4,99)</f>
        <v>99</v>
      </c>
      <c r="K16" s="0" t="n">
        <f aca="false">IF(AND(K14&gt;=0,COUNTIF(K14:AL14,"&lt;0")=0),K$4,99)</f>
        <v>99</v>
      </c>
      <c r="L16" s="0" t="n">
        <f aca="false">IF(AND(L14&gt;=0,COUNTIF(L14:AL14,"&lt;0")=0),L$4,99)</f>
        <v>99</v>
      </c>
      <c r="M16" s="0" t="n">
        <f aca="false">IF(AND(M14&gt;=0,COUNTIF(M14:AL14,"&lt;0")=0),M$4,99)</f>
        <v>99</v>
      </c>
      <c r="N16" s="0" t="n">
        <f aca="false">IF(AND(N14&gt;=0,COUNTIF(N14:AL14,"&lt;0")=0),N$4,99)</f>
        <v>99</v>
      </c>
      <c r="O16" s="0" t="n">
        <f aca="false">IF(AND(O14&gt;=0,COUNTIF(O14:AL14,"&lt;0")=0),O$4,99)</f>
        <v>99</v>
      </c>
      <c r="P16" s="0" t="n">
        <f aca="false">IF(AND(P14&gt;=0,COUNTIF(P14:AL14,"&lt;0")=0),P$4,99)</f>
        <v>99</v>
      </c>
      <c r="Q16" s="0" t="n">
        <f aca="false">IF(AND(Q14&gt;=0,COUNTIF(Q14:AL14,"&lt;0")=0),Q$4,99)</f>
        <v>99</v>
      </c>
      <c r="R16" s="0" t="n">
        <f aca="false">IF(AND(R14&gt;=0,COUNTIF(R14:AL14,"&lt;0")=0),R$4,99)</f>
        <v>99</v>
      </c>
      <c r="S16" s="0" t="n">
        <f aca="false">IF(AND(S14&gt;=0,COUNTIF(S14:AL14,"&lt;0")=0),S$4,99)</f>
        <v>99</v>
      </c>
      <c r="T16" s="0" t="n">
        <f aca="false">IF(AND(T14&gt;=0,COUNTIF(T14:AL14,"&lt;0")=0),T$4,99)</f>
        <v>99</v>
      </c>
      <c r="U16" s="0" t="n">
        <f aca="false">IF(AND(U14&gt;=0,COUNTIF(U14:AL14,"&lt;0")=0),U$4,99)</f>
        <v>99</v>
      </c>
      <c r="V16" s="0" t="n">
        <f aca="false">IF(AND(V14&gt;=0,COUNTIF(V14:AL14,"&lt;0")=0),V$4,99)</f>
        <v>99</v>
      </c>
      <c r="W16" s="0" t="n">
        <f aca="false">IF(AND(W14&gt;=0,COUNTIF(W14:AL14,"&lt;0")=0),W$4,99)</f>
        <v>99</v>
      </c>
      <c r="X16" s="0" t="n">
        <f aca="false">IF(AND(X14&gt;=0,COUNTIF(X14:AL14,"&lt;0")=0),X$4,99)</f>
        <v>99</v>
      </c>
      <c r="Y16" s="0" t="n">
        <f aca="false">IF(AND(Y14&gt;=0,COUNTIF(Y14:AL14,"&lt;0")=0),Y$4,99)</f>
        <v>99</v>
      </c>
      <c r="Z16" s="0" t="n">
        <f aca="false">IF(AND(Z14&gt;=0,COUNTIF(Z14:AL14,"&lt;0")=0),Z$4,99)</f>
        <v>99</v>
      </c>
      <c r="AA16" s="0" t="n">
        <f aca="false">IF(AND(AA14&gt;=0,COUNTIF(AA14:AL14,"&lt;0")=0),AA$4,99)</f>
        <v>99</v>
      </c>
      <c r="AB16" s="0" t="n">
        <f aca="false">IF(AND(AB14&gt;=0,COUNTIF(AB14:AL14,"&lt;0")=0),AB$4,99)</f>
        <v>99</v>
      </c>
      <c r="AC16" s="0" t="n">
        <f aca="false">IF(AND(AC14&gt;=0,COUNTIF(AC14:AL14,"&lt;0")=0),AC$4,99)</f>
        <v>99</v>
      </c>
      <c r="AD16" s="0" t="n">
        <f aca="false">IF(AND(AD14&gt;=0,COUNTIF(AD14:AL14,"&lt;0")=0),AD$4,99)</f>
        <v>99</v>
      </c>
      <c r="AE16" s="0" t="n">
        <f aca="false">IF(AND(AE14&gt;=0,COUNTIF(AE14:AL14,"&lt;0")=0),AE$4,99)</f>
        <v>99</v>
      </c>
      <c r="AF16" s="0" t="n">
        <f aca="false">IF(AND(AF14&gt;=0,COUNTIF(AF14:AL14,"&lt;0")=0),AF$4,99)</f>
        <v>99</v>
      </c>
      <c r="AG16" s="0" t="n">
        <f aca="false">IF(AND(AG14&gt;=0,COUNTIF(AG14:AL14,"&lt;0")=0),AG$4,99)</f>
        <v>99</v>
      </c>
      <c r="AH16" s="0" t="n">
        <f aca="false">IF(AND(AH14&gt;=0,COUNTIF(AH14:AL14,"&lt;0")=0),AH$4,99)</f>
        <v>99</v>
      </c>
      <c r="AI16" s="0" t="n">
        <f aca="false">IF(AND(AI14&gt;=0,COUNTIF(AI14:AL14,"&lt;0")=0),AI$4,99)</f>
        <v>99</v>
      </c>
      <c r="AJ16" s="0" t="n">
        <f aca="false">IF(AND(AJ14&gt;=0,COUNTIF(AJ14:AL14,"&lt;0")=0),AJ$4,99)</f>
        <v>99</v>
      </c>
      <c r="AK16" s="0" t="n">
        <f aca="false">IF(AND(AK14&gt;=0,COUNTIF(AK14:AL14,"&lt;0")=0),AK$4,99)</f>
        <v>99</v>
      </c>
      <c r="AL16" s="0" t="n">
        <f aca="false">IF(AND(AL14&gt;=0,COUNTIF(AL14:AL14,"&lt;0")=0),AL$4,99)</f>
        <v>99</v>
      </c>
    </row>
    <row r="18" customFormat="false" ht="15" hidden="false" customHeight="false" outlineLevel="0" collapsed="false">
      <c r="A18" s="1" t="s">
        <v>293</v>
      </c>
      <c r="B18" s="1" t="s">
        <v>252</v>
      </c>
      <c r="C18" s="1" t="n">
        <v>1</v>
      </c>
      <c r="D18" s="1" t="n">
        <v>2</v>
      </c>
      <c r="E18" s="1" t="n">
        <v>3</v>
      </c>
      <c r="F18" s="1" t="n">
        <v>4</v>
      </c>
      <c r="G18" s="1" t="n">
        <v>5</v>
      </c>
      <c r="H18" s="1" t="n">
        <v>6</v>
      </c>
      <c r="I18" s="1" t="n">
        <v>7</v>
      </c>
      <c r="J18" s="1" t="n">
        <v>8</v>
      </c>
      <c r="K18" s="1" t="n">
        <v>9</v>
      </c>
      <c r="L18" s="1" t="n">
        <v>10</v>
      </c>
      <c r="M18" s="1" t="n">
        <v>11</v>
      </c>
      <c r="N18" s="1" t="n">
        <v>12</v>
      </c>
      <c r="O18" s="1" t="n">
        <v>13</v>
      </c>
      <c r="P18" s="1" t="n">
        <v>14</v>
      </c>
      <c r="Q18" s="1" t="n">
        <v>15</v>
      </c>
      <c r="R18" s="1" t="n">
        <v>16</v>
      </c>
      <c r="S18" s="1" t="n">
        <v>17</v>
      </c>
      <c r="T18" s="1" t="n">
        <v>18</v>
      </c>
      <c r="U18" s="1" t="n">
        <v>19</v>
      </c>
      <c r="V18" s="1" t="n">
        <v>20</v>
      </c>
      <c r="W18" s="1" t="n">
        <v>21</v>
      </c>
      <c r="X18" s="1" t="n">
        <v>22</v>
      </c>
      <c r="Y18" s="1" t="n">
        <v>23</v>
      </c>
      <c r="Z18" s="1" t="n">
        <v>24</v>
      </c>
      <c r="AA18" s="1" t="n">
        <v>25</v>
      </c>
      <c r="AB18" s="1" t="n">
        <v>26</v>
      </c>
      <c r="AC18" s="1" t="n">
        <v>27</v>
      </c>
      <c r="AD18" s="1" t="n">
        <v>28</v>
      </c>
      <c r="AE18" s="1" t="n">
        <v>29</v>
      </c>
      <c r="AF18" s="1" t="n">
        <v>30</v>
      </c>
      <c r="AG18" s="1" t="n">
        <v>31</v>
      </c>
      <c r="AH18" s="1" t="n">
        <v>32</v>
      </c>
      <c r="AI18" s="1" t="n">
        <v>33</v>
      </c>
      <c r="AJ18" s="1" t="n">
        <v>34</v>
      </c>
      <c r="AK18" s="1" t="n">
        <v>35</v>
      </c>
      <c r="AL18" s="1" t="n">
        <v>36</v>
      </c>
      <c r="AM18" s="1" t="s">
        <v>253</v>
      </c>
      <c r="AN18" s="1" t="s">
        <v>254</v>
      </c>
      <c r="AO18" s="1" t="s">
        <v>255</v>
      </c>
      <c r="AP18" s="1" t="s">
        <v>256</v>
      </c>
    </row>
    <row r="19" customFormat="false" ht="15" hidden="false" customHeight="false" outlineLevel="0" collapsed="false">
      <c r="A19" s="0" t="s">
        <v>328</v>
      </c>
      <c r="B19" s="0" t="s">
        <v>329</v>
      </c>
      <c r="C19" s="10" t="n">
        <f aca="false">ROUND(Допущения!$D$70*IF(C$18&lt;Допущения!$D$69,0,((C$18-Допущения!$D$69+1)/(36-Допущения!$D$69+1))^1),0)</f>
        <v>0</v>
      </c>
      <c r="D19" s="10" t="n">
        <f aca="false">ROUND(Допущения!$D$70*IF(D$18&lt;Допущения!$D$69,0,((D$18-Допущения!$D$69+1)/(36-Допущения!$D$69+1))^1),0)</f>
        <v>0</v>
      </c>
      <c r="E19" s="10" t="n">
        <f aca="false">ROUND(Допущения!$D$70*IF(E$18&lt;Допущения!$D$69,0,((E$18-Допущения!$D$69+1)/(36-Допущения!$D$69+1))^1),0)</f>
        <v>0</v>
      </c>
      <c r="F19" s="10" t="n">
        <f aca="false">ROUND(Допущения!$D$70*IF(F$18&lt;Допущения!$D$69,0,((F$18-Допущения!$D$69+1)/(36-Допущения!$D$69+1))^1),0)</f>
        <v>0</v>
      </c>
      <c r="G19" s="10" t="n">
        <f aca="false">ROUND(Допущения!$D$70*IF(G$18&lt;Допущения!$D$69,0,((G$18-Допущения!$D$69+1)/(36-Допущения!$D$69+1))^1),0)</f>
        <v>0</v>
      </c>
      <c r="H19" s="10" t="n">
        <f aca="false">ROUND(Допущения!$D$70*IF(H$18&lt;Допущения!$D$69,0,((H$18-Допущения!$D$69+1)/(36-Допущения!$D$69+1))^1),0)</f>
        <v>0</v>
      </c>
      <c r="I19" s="10" t="n">
        <f aca="false">ROUND(Допущения!$D$70*IF(I$18&lt;Допущения!$D$69,0,((I$18-Допущения!$D$69+1)/(36-Допущения!$D$69+1))^1),0)</f>
        <v>0</v>
      </c>
      <c r="J19" s="10" t="n">
        <f aca="false">ROUND(Допущения!$D$70*IF(J$18&lt;Допущения!$D$69,0,((J$18-Допущения!$D$69+1)/(36-Допущения!$D$69+1))^1),0)</f>
        <v>0</v>
      </c>
      <c r="K19" s="10" t="n">
        <f aca="false">ROUND(Допущения!$D$70*IF(K$18&lt;Допущения!$D$69,0,((K$18-Допущения!$D$69+1)/(36-Допущения!$D$69+1))^1),0)</f>
        <v>0</v>
      </c>
      <c r="L19" s="10" t="n">
        <f aca="false">ROUND(Допущения!$D$70*IF(L$18&lt;Допущения!$D$69,0,((L$18-Допущения!$D$69+1)/(36-Допущения!$D$69+1))^1),0)</f>
        <v>0</v>
      </c>
      <c r="M19" s="10" t="n">
        <f aca="false">ROUND(Допущения!$D$70*IF(M$18&lt;Допущения!$D$69,0,((M$18-Допущения!$D$69+1)/(36-Допущения!$D$69+1))^1),0)</f>
        <v>1</v>
      </c>
      <c r="N19" s="10" t="n">
        <f aca="false">ROUND(Допущения!$D$70*IF(N$18&lt;Допущения!$D$69,0,((N$18-Допущения!$D$69+1)/(36-Допущения!$D$69+1))^1),0)</f>
        <v>1</v>
      </c>
      <c r="O19" s="10" t="n">
        <f aca="false">ROUND(Допущения!$D$70*IF(O$18&lt;Допущения!$D$69,0,((O$18-Допущения!$D$69+1)/(36-Допущения!$D$69+1))^1),0)</f>
        <v>1</v>
      </c>
      <c r="P19" s="10" t="n">
        <f aca="false">ROUND(Допущения!$D$70*IF(P$18&lt;Допущения!$D$69,0,((P$18-Допущения!$D$69+1)/(36-Допущения!$D$69+1))^1),0)</f>
        <v>1</v>
      </c>
      <c r="Q19" s="10" t="n">
        <f aca="false">ROUND(Допущения!$D$70*IF(Q$18&lt;Допущения!$D$69,0,((Q$18-Допущения!$D$69+1)/(36-Допущения!$D$69+1))^1),0)</f>
        <v>1</v>
      </c>
      <c r="R19" s="10" t="n">
        <f aca="false">ROUND(Допущения!$D$70*IF(R$18&lt;Допущения!$D$69,0,((R$18-Допущения!$D$69+1)/(36-Допущения!$D$69+1))^1),0)</f>
        <v>1</v>
      </c>
      <c r="S19" s="10" t="n">
        <f aca="false">ROUND(Допущения!$D$70*IF(S$18&lt;Допущения!$D$69,0,((S$18-Допущения!$D$69+1)/(36-Допущения!$D$69+1))^1),0)</f>
        <v>1</v>
      </c>
      <c r="T19" s="10" t="n">
        <f aca="false">ROUND(Допущения!$D$70*IF(T$18&lt;Допущения!$D$69,0,((T$18-Допущения!$D$69+1)/(36-Допущения!$D$69+1))^1),0)</f>
        <v>1</v>
      </c>
      <c r="U19" s="10" t="n">
        <f aca="false">ROUND(Допущения!$D$70*IF(U$18&lt;Допущения!$D$69,0,((U$18-Допущения!$D$69+1)/(36-Допущения!$D$69+1))^1),0)</f>
        <v>1</v>
      </c>
      <c r="V19" s="10" t="n">
        <f aca="false">ROUND(Допущения!$D$70*IF(V$18&lt;Допущения!$D$69,0,((V$18-Допущения!$D$69+1)/(36-Допущения!$D$69+1))^1),0)</f>
        <v>1</v>
      </c>
      <c r="W19" s="10" t="n">
        <f aca="false">ROUND(Допущения!$D$70*IF(W$18&lt;Допущения!$D$69,0,((W$18-Допущения!$D$69+1)/(36-Допущения!$D$69+1))^1),0)</f>
        <v>2</v>
      </c>
      <c r="X19" s="10" t="n">
        <f aca="false">ROUND(Допущения!$D$70*IF(X$18&lt;Допущения!$D$69,0,((X$18-Допущения!$D$69+1)/(36-Допущения!$D$69+1))^1),0)</f>
        <v>2</v>
      </c>
      <c r="Y19" s="10" t="n">
        <f aca="false">ROUND(Допущения!$D$70*IF(Y$18&lt;Допущения!$D$69,0,((Y$18-Допущения!$D$69+1)/(36-Допущения!$D$69+1))^1),0)</f>
        <v>2</v>
      </c>
      <c r="Z19" s="10" t="n">
        <f aca="false">ROUND(Допущения!$D$70*IF(Z$18&lt;Допущения!$D$69,0,((Z$18-Допущения!$D$69+1)/(36-Допущения!$D$69+1))^1),0)</f>
        <v>2</v>
      </c>
      <c r="AA19" s="10" t="n">
        <f aca="false">ROUND(Допущения!$D$70*IF(AA$18&lt;Допущения!$D$69,0,((AA$18-Допущения!$D$69+1)/(36-Допущения!$D$69+1))^1),0)</f>
        <v>2</v>
      </c>
      <c r="AB19" s="10" t="n">
        <f aca="false">ROUND(Допущения!$D$70*IF(AB$18&lt;Допущения!$D$69,0,((AB$18-Допущения!$D$69+1)/(36-Допущения!$D$69+1))^1),0)</f>
        <v>2</v>
      </c>
      <c r="AC19" s="10" t="n">
        <f aca="false">ROUND(Допущения!$D$70*IF(AC$18&lt;Допущения!$D$69,0,((AC$18-Допущения!$D$69+1)/(36-Допущения!$D$69+1))^1),0)</f>
        <v>2</v>
      </c>
      <c r="AD19" s="10" t="n">
        <f aca="false">ROUND(Допущения!$D$70*IF(AD$18&lt;Допущения!$D$69,0,((AD$18-Допущения!$D$69+1)/(36-Допущения!$D$69+1))^1),0)</f>
        <v>2</v>
      </c>
      <c r="AE19" s="10" t="n">
        <f aca="false">ROUND(Допущения!$D$70*IF(AE$18&lt;Допущения!$D$69,0,((AE$18-Допущения!$D$69+1)/(36-Допущения!$D$69+1))^1),0)</f>
        <v>2</v>
      </c>
      <c r="AF19" s="10" t="n">
        <f aca="false">ROUND(Допущения!$D$70*IF(AF$18&lt;Допущения!$D$69,0,((AF$18-Допущения!$D$69+1)/(36-Допущения!$D$69+1))^1),0)</f>
        <v>2</v>
      </c>
      <c r="AG19" s="10" t="n">
        <f aca="false">ROUND(Допущения!$D$70*IF(AG$18&lt;Допущения!$D$69,0,((AG$18-Допущения!$D$69+1)/(36-Допущения!$D$69+1))^1),0)</f>
        <v>3</v>
      </c>
      <c r="AH19" s="10" t="n">
        <f aca="false">ROUND(Допущения!$D$70*IF(AH$18&lt;Допущения!$D$69,0,((AH$18-Допущения!$D$69+1)/(36-Допущения!$D$69+1))^1),0)</f>
        <v>3</v>
      </c>
      <c r="AI19" s="10" t="n">
        <f aca="false">ROUND(Допущения!$D$70*IF(AI$18&lt;Допущения!$D$69,0,((AI$18-Допущения!$D$69+1)/(36-Допущения!$D$69+1))^1),0)</f>
        <v>3</v>
      </c>
      <c r="AJ19" s="10" t="n">
        <f aca="false">ROUND(Допущения!$D$70*IF(AJ$18&lt;Допущения!$D$69,0,((AJ$18-Допущения!$D$69+1)/(36-Допущения!$D$69+1))^1),0)</f>
        <v>3</v>
      </c>
      <c r="AK19" s="10" t="n">
        <f aca="false">ROUND(Допущения!$D$70*IF(AK$18&lt;Допущения!$D$69,0,((AK$18-Допущения!$D$69+1)/(36-Допущения!$D$69+1))^1),0)</f>
        <v>3</v>
      </c>
      <c r="AL19" s="10" t="n">
        <f aca="false">ROUND(Допущения!$D$70*IF(AL$18&lt;Допущения!$D$69,0,((AL$18-Допущения!$D$69+1)/(36-Допущения!$D$69+1))^1),0)</f>
        <v>3</v>
      </c>
      <c r="AM19" s="10" t="n">
        <f aca="false">N19</f>
        <v>1</v>
      </c>
      <c r="AN19" s="10" t="n">
        <f aca="false">Z19</f>
        <v>2</v>
      </c>
      <c r="AO19" s="10" t="n">
        <f aca="false">AL19</f>
        <v>3</v>
      </c>
    </row>
    <row r="20" customFormat="false" ht="15" hidden="false" customHeight="false" outlineLevel="0" collapsed="false">
      <c r="A20" s="0" t="s">
        <v>330</v>
      </c>
      <c r="B20" s="0" t="s">
        <v>331</v>
      </c>
      <c r="C20" s="10" t="n">
        <f aca="false">ROUND(Допущения!$D$73*IF(C$18&lt;Допущения!$D$72,0,((C$18-Допущения!$D$72+1)/(36-Допущения!$D$72+1))^1)+0.49,0)*(C$18&gt;=Допущения!$D$72)</f>
        <v>0</v>
      </c>
      <c r="D20" s="10" t="n">
        <f aca="false">ROUND(Допущения!$D$73*IF(D$18&lt;Допущения!$D$72,0,((D$18-Допущения!$D$72+1)/(36-Допущения!$D$72+1))^1)+0.49,0)*(D$18&gt;=Допущения!$D$72)</f>
        <v>0</v>
      </c>
      <c r="E20" s="10" t="n">
        <f aca="false">ROUND(Допущения!$D$73*IF(E$18&lt;Допущения!$D$72,0,((E$18-Допущения!$D$72+1)/(36-Допущения!$D$72+1))^1)+0.49,0)*(E$18&gt;=Допущения!$D$72)</f>
        <v>1</v>
      </c>
      <c r="F20" s="10" t="n">
        <f aca="false">ROUND(Допущения!$D$73*IF(F$18&lt;Допущения!$D$72,0,((F$18-Допущения!$D$72+1)/(36-Допущения!$D$72+1))^1)+0.49,0)*(F$18&gt;=Допущения!$D$72)</f>
        <v>1</v>
      </c>
      <c r="G20" s="10" t="n">
        <f aca="false">ROUND(Допущения!$D$73*IF(G$18&lt;Допущения!$D$72,0,((G$18-Допущения!$D$72+1)/(36-Допущения!$D$72+1))^1)+0.49,0)*(G$18&gt;=Допущения!$D$72)</f>
        <v>1</v>
      </c>
      <c r="H20" s="10" t="n">
        <f aca="false">ROUND(Допущения!$D$73*IF(H$18&lt;Допущения!$D$72,0,((H$18-Допущения!$D$72+1)/(36-Допущения!$D$72+1))^1)+0.49,0)*(H$18&gt;=Допущения!$D$72)</f>
        <v>1</v>
      </c>
      <c r="I20" s="10" t="n">
        <f aca="false">ROUND(Допущения!$D$73*IF(I$18&lt;Допущения!$D$72,0,((I$18-Допущения!$D$72+1)/(36-Допущения!$D$72+1))^1)+0.49,0)*(I$18&gt;=Допущения!$D$72)</f>
        <v>1</v>
      </c>
      <c r="J20" s="10" t="n">
        <f aca="false">ROUND(Допущения!$D$73*IF(J$18&lt;Допущения!$D$72,0,((J$18-Допущения!$D$72+1)/(36-Допущения!$D$72+1))^1)+0.49,0)*(J$18&gt;=Допущения!$D$72)</f>
        <v>1</v>
      </c>
      <c r="K20" s="10" t="n">
        <f aca="false">ROUND(Допущения!$D$73*IF(K$18&lt;Допущения!$D$72,0,((K$18-Допущения!$D$72+1)/(36-Допущения!$D$72+1))^1)+0.49,0)*(K$18&gt;=Допущения!$D$72)</f>
        <v>1</v>
      </c>
      <c r="L20" s="10" t="n">
        <f aca="false">ROUND(Допущения!$D$73*IF(L$18&lt;Допущения!$D$72,0,((L$18-Допущения!$D$72+1)/(36-Допущения!$D$72+1))^1)+0.49,0)*(L$18&gt;=Допущения!$D$72)</f>
        <v>1</v>
      </c>
      <c r="M20" s="10" t="n">
        <f aca="false">ROUND(Допущения!$D$73*IF(M$18&lt;Допущения!$D$72,0,((M$18-Допущения!$D$72+1)/(36-Допущения!$D$72+1))^1)+0.49,0)*(M$18&gt;=Допущения!$D$72)</f>
        <v>1</v>
      </c>
      <c r="N20" s="10" t="n">
        <f aca="false">ROUND(Допущения!$D$73*IF(N$18&lt;Допущения!$D$72,0,((N$18-Допущения!$D$72+1)/(36-Допущения!$D$72+1))^1)+0.49,0)*(N$18&gt;=Допущения!$D$72)</f>
        <v>1</v>
      </c>
      <c r="O20" s="10" t="n">
        <f aca="false">ROUND(Допущения!$D$73*IF(O$18&lt;Допущения!$D$72,0,((O$18-Допущения!$D$72+1)/(36-Допущения!$D$72+1))^1)+0.49,0)*(O$18&gt;=Допущения!$D$72)</f>
        <v>1</v>
      </c>
      <c r="P20" s="10" t="n">
        <f aca="false">ROUND(Допущения!$D$73*IF(P$18&lt;Допущения!$D$72,0,((P$18-Допущения!$D$72+1)/(36-Допущения!$D$72+1))^1)+0.49,0)*(P$18&gt;=Допущения!$D$72)</f>
        <v>1</v>
      </c>
      <c r="Q20" s="10" t="n">
        <f aca="false">ROUND(Допущения!$D$73*IF(Q$18&lt;Допущения!$D$72,0,((Q$18-Допущения!$D$72+1)/(36-Допущения!$D$72+1))^1)+0.49,0)*(Q$18&gt;=Допущения!$D$72)</f>
        <v>1</v>
      </c>
      <c r="R20" s="10" t="n">
        <f aca="false">ROUND(Допущения!$D$73*IF(R$18&lt;Допущения!$D$72,0,((R$18-Допущения!$D$72+1)/(36-Допущения!$D$72+1))^1)+0.49,0)*(R$18&gt;=Допущения!$D$72)</f>
        <v>1</v>
      </c>
      <c r="S20" s="10" t="n">
        <f aca="false">ROUND(Допущения!$D$73*IF(S$18&lt;Допущения!$D$72,0,((S$18-Допущения!$D$72+1)/(36-Допущения!$D$72+1))^1)+0.49,0)*(S$18&gt;=Допущения!$D$72)</f>
        <v>1</v>
      </c>
      <c r="T20" s="10" t="n">
        <f aca="false">ROUND(Допущения!$D$73*IF(T$18&lt;Допущения!$D$72,0,((T$18-Допущения!$D$72+1)/(36-Допущения!$D$72+1))^1)+0.49,0)*(T$18&gt;=Допущения!$D$72)</f>
        <v>1</v>
      </c>
      <c r="U20" s="10" t="n">
        <f aca="false">ROUND(Допущения!$D$73*IF(U$18&lt;Допущения!$D$72,0,((U$18-Допущения!$D$72+1)/(36-Допущения!$D$72+1))^1)+0.49,0)*(U$18&gt;=Допущения!$D$72)</f>
        <v>1</v>
      </c>
      <c r="V20" s="10" t="n">
        <f aca="false">ROUND(Допущения!$D$73*IF(V$18&lt;Допущения!$D$72,0,((V$18-Допущения!$D$72+1)/(36-Допущения!$D$72+1))^1)+0.49,0)*(V$18&gt;=Допущения!$D$72)</f>
        <v>2</v>
      </c>
      <c r="W20" s="10" t="n">
        <f aca="false">ROUND(Допущения!$D$73*IF(W$18&lt;Допущения!$D$72,0,((W$18-Допущения!$D$72+1)/(36-Допущения!$D$72+1))^1)+0.49,0)*(W$18&gt;=Допущения!$D$72)</f>
        <v>2</v>
      </c>
      <c r="X20" s="10" t="n">
        <f aca="false">ROUND(Допущения!$D$73*IF(X$18&lt;Допущения!$D$72,0,((X$18-Допущения!$D$72+1)/(36-Допущения!$D$72+1))^1)+0.49,0)*(X$18&gt;=Допущения!$D$72)</f>
        <v>2</v>
      </c>
      <c r="Y20" s="10" t="n">
        <f aca="false">ROUND(Допущения!$D$73*IF(Y$18&lt;Допущения!$D$72,0,((Y$18-Допущения!$D$72+1)/(36-Допущения!$D$72+1))^1)+0.49,0)*(Y$18&gt;=Допущения!$D$72)</f>
        <v>2</v>
      </c>
      <c r="Z20" s="10" t="n">
        <f aca="false">ROUND(Допущения!$D$73*IF(Z$18&lt;Допущения!$D$72,0,((Z$18-Допущения!$D$72+1)/(36-Допущения!$D$72+1))^1)+0.49,0)*(Z$18&gt;=Допущения!$D$72)</f>
        <v>2</v>
      </c>
      <c r="AA20" s="10" t="n">
        <f aca="false">ROUND(Допущения!$D$73*IF(AA$18&lt;Допущения!$D$72,0,((AA$18-Допущения!$D$72+1)/(36-Допущения!$D$72+1))^1)+0.49,0)*(AA$18&gt;=Допущения!$D$72)</f>
        <v>2</v>
      </c>
      <c r="AB20" s="10" t="n">
        <f aca="false">ROUND(Допущения!$D$73*IF(AB$18&lt;Допущения!$D$72,0,((AB$18-Допущения!$D$72+1)/(36-Допущения!$D$72+1))^1)+0.49,0)*(AB$18&gt;=Допущения!$D$72)</f>
        <v>2</v>
      </c>
      <c r="AC20" s="10" t="n">
        <f aca="false">ROUND(Допущения!$D$73*IF(AC$18&lt;Допущения!$D$72,0,((AC$18-Допущения!$D$72+1)/(36-Допущения!$D$72+1))^1)+0.49,0)*(AC$18&gt;=Допущения!$D$72)</f>
        <v>2</v>
      </c>
      <c r="AD20" s="10" t="n">
        <f aca="false">ROUND(Допущения!$D$73*IF(AD$18&lt;Допущения!$D$72,0,((AD$18-Допущения!$D$72+1)/(36-Допущения!$D$72+1))^1)+0.49,0)*(AD$18&gt;=Допущения!$D$72)</f>
        <v>2</v>
      </c>
      <c r="AE20" s="10" t="n">
        <f aca="false">ROUND(Допущения!$D$73*IF(AE$18&lt;Допущения!$D$72,0,((AE$18-Допущения!$D$72+1)/(36-Допущения!$D$72+1))^1)+0.49,0)*(AE$18&gt;=Допущения!$D$72)</f>
        <v>2</v>
      </c>
      <c r="AF20" s="10" t="n">
        <f aca="false">ROUND(Допущения!$D$73*IF(AF$18&lt;Допущения!$D$72,0,((AF$18-Допущения!$D$72+1)/(36-Допущения!$D$72+1))^1)+0.49,0)*(AF$18&gt;=Допущения!$D$72)</f>
        <v>2</v>
      </c>
      <c r="AG20" s="10" t="n">
        <f aca="false">ROUND(Допущения!$D$73*IF(AG$18&lt;Допущения!$D$72,0,((AG$18-Допущения!$D$72+1)/(36-Допущения!$D$72+1))^1)+0.49,0)*(AG$18&gt;=Допущения!$D$72)</f>
        <v>2</v>
      </c>
      <c r="AH20" s="10" t="n">
        <f aca="false">ROUND(Допущения!$D$73*IF(AH$18&lt;Допущения!$D$72,0,((AH$18-Допущения!$D$72+1)/(36-Допущения!$D$72+1))^1)+0.49,0)*(AH$18&gt;=Допущения!$D$72)</f>
        <v>2</v>
      </c>
      <c r="AI20" s="10" t="n">
        <f aca="false">ROUND(Допущения!$D$73*IF(AI$18&lt;Допущения!$D$72,0,((AI$18-Допущения!$D$72+1)/(36-Допущения!$D$72+1))^1)+0.49,0)*(AI$18&gt;=Допущения!$D$72)</f>
        <v>2</v>
      </c>
      <c r="AJ20" s="10" t="n">
        <f aca="false">ROUND(Допущения!$D$73*IF(AJ$18&lt;Допущения!$D$72,0,((AJ$18-Допущения!$D$72+1)/(36-Допущения!$D$72+1))^1)+0.49,0)*(AJ$18&gt;=Допущения!$D$72)</f>
        <v>2</v>
      </c>
      <c r="AK20" s="10" t="n">
        <f aca="false">ROUND(Допущения!$D$73*IF(AK$18&lt;Допущения!$D$72,0,((AK$18-Допущения!$D$72+1)/(36-Допущения!$D$72+1))^1)+0.49,0)*(AK$18&gt;=Допущения!$D$72)</f>
        <v>2</v>
      </c>
      <c r="AL20" s="10" t="n">
        <f aca="false">ROUND(Допущения!$D$73*IF(AL$18&lt;Допущения!$D$72,0,((AL$18-Допущения!$D$72+1)/(36-Допущения!$D$72+1))^1)+0.49,0)*(AL$18&gt;=Допущения!$D$72)</f>
        <v>2</v>
      </c>
      <c r="AM20" s="10" t="n">
        <f aca="false">N20</f>
        <v>1</v>
      </c>
      <c r="AN20" s="10" t="n">
        <f aca="false">Z20</f>
        <v>2</v>
      </c>
      <c r="AO20" s="10" t="n">
        <f aca="false">AL20</f>
        <v>2</v>
      </c>
    </row>
    <row r="21" customFormat="false" ht="15" hidden="false" customHeight="false" outlineLevel="0" collapsed="false">
      <c r="A21" s="0" t="s">
        <v>267</v>
      </c>
      <c r="B21" s="0" t="s">
        <v>332</v>
      </c>
      <c r="C21" s="10" t="n">
        <f aca="false">C19*Допущения!$D$71/12+C20*Допущения!$D$74</f>
        <v>0</v>
      </c>
      <c r="D21" s="10" t="n">
        <f aca="false">D19*Допущения!$D$71/12+D20*Допущения!$D$74</f>
        <v>0</v>
      </c>
      <c r="E21" s="10" t="n">
        <f aca="false">E19*Допущения!$D$71/12+E20*Допущения!$D$74</f>
        <v>150000</v>
      </c>
      <c r="F21" s="10" t="n">
        <f aca="false">F19*Допущения!$D$71/12+F20*Допущения!$D$74</f>
        <v>150000</v>
      </c>
      <c r="G21" s="10" t="n">
        <f aca="false">G19*Допущения!$D$71/12+G20*Допущения!$D$74</f>
        <v>150000</v>
      </c>
      <c r="H21" s="10" t="n">
        <f aca="false">H19*Допущения!$D$71/12+H20*Допущения!$D$74</f>
        <v>150000</v>
      </c>
      <c r="I21" s="10" t="n">
        <f aca="false">I19*Допущения!$D$71/12+I20*Допущения!$D$74</f>
        <v>150000</v>
      </c>
      <c r="J21" s="10" t="n">
        <f aca="false">J19*Допущения!$D$71/12+J20*Допущения!$D$74</f>
        <v>150000</v>
      </c>
      <c r="K21" s="10" t="n">
        <f aca="false">K19*Допущения!$D$71/12+K20*Допущения!$D$74</f>
        <v>150000</v>
      </c>
      <c r="L21" s="10" t="n">
        <f aca="false">L19*Допущения!$D$71/12+L20*Допущения!$D$74</f>
        <v>150000</v>
      </c>
      <c r="M21" s="10" t="n">
        <f aca="false">M19*Допущения!$D$71/12+M20*Допущения!$D$74</f>
        <v>250000</v>
      </c>
      <c r="N21" s="10" t="n">
        <f aca="false">N19*Допущения!$D$71/12+N20*Допущения!$D$74</f>
        <v>250000</v>
      </c>
      <c r="O21" s="10" t="n">
        <f aca="false">O19*Допущения!$D$71/12+O20*Допущения!$D$74</f>
        <v>250000</v>
      </c>
      <c r="P21" s="10" t="n">
        <f aca="false">P19*Допущения!$D$71/12+P20*Допущения!$D$74</f>
        <v>250000</v>
      </c>
      <c r="Q21" s="10" t="n">
        <f aca="false">Q19*Допущения!$D$71/12+Q20*Допущения!$D$74</f>
        <v>250000</v>
      </c>
      <c r="R21" s="10" t="n">
        <f aca="false">R19*Допущения!$D$71/12+R20*Допущения!$D$74</f>
        <v>250000</v>
      </c>
      <c r="S21" s="10" t="n">
        <f aca="false">S19*Допущения!$D$71/12+S20*Допущения!$D$74</f>
        <v>250000</v>
      </c>
      <c r="T21" s="10" t="n">
        <f aca="false">T19*Допущения!$D$71/12+T20*Допущения!$D$74</f>
        <v>250000</v>
      </c>
      <c r="U21" s="10" t="n">
        <f aca="false">U19*Допущения!$D$71/12+U20*Допущения!$D$74</f>
        <v>250000</v>
      </c>
      <c r="V21" s="10" t="n">
        <f aca="false">V19*Допущения!$D$71/12+V20*Допущения!$D$74</f>
        <v>400000</v>
      </c>
      <c r="W21" s="10" t="n">
        <f aca="false">W19*Допущения!$D$71/12+W20*Допущения!$D$74</f>
        <v>500000</v>
      </c>
      <c r="X21" s="10" t="n">
        <f aca="false">X19*Допущения!$D$71/12+X20*Допущения!$D$74</f>
        <v>500000</v>
      </c>
      <c r="Y21" s="10" t="n">
        <f aca="false">Y19*Допущения!$D$71/12+Y20*Допущения!$D$74</f>
        <v>500000</v>
      </c>
      <c r="Z21" s="10" t="n">
        <f aca="false">Z19*Допущения!$D$71/12+Z20*Допущения!$D$74</f>
        <v>500000</v>
      </c>
      <c r="AA21" s="10" t="n">
        <f aca="false">AA19*Допущения!$D$71/12+AA20*Допущения!$D$74</f>
        <v>500000</v>
      </c>
      <c r="AB21" s="10" t="n">
        <f aca="false">AB19*Допущения!$D$71/12+AB20*Допущения!$D$74</f>
        <v>500000</v>
      </c>
      <c r="AC21" s="10" t="n">
        <f aca="false">AC19*Допущения!$D$71/12+AC20*Допущения!$D$74</f>
        <v>500000</v>
      </c>
      <c r="AD21" s="10" t="n">
        <f aca="false">AD19*Допущения!$D$71/12+AD20*Допущения!$D$74</f>
        <v>500000</v>
      </c>
      <c r="AE21" s="10" t="n">
        <f aca="false">AE19*Допущения!$D$71/12+AE20*Допущения!$D$74</f>
        <v>500000</v>
      </c>
      <c r="AF21" s="10" t="n">
        <f aca="false">AF19*Допущения!$D$71/12+AF20*Допущения!$D$74</f>
        <v>500000</v>
      </c>
      <c r="AG21" s="10" t="n">
        <f aca="false">AG19*Допущения!$D$71/12+AG20*Допущения!$D$74</f>
        <v>600000</v>
      </c>
      <c r="AH21" s="10" t="n">
        <f aca="false">AH19*Допущения!$D$71/12+AH20*Допущения!$D$74</f>
        <v>600000</v>
      </c>
      <c r="AI21" s="10" t="n">
        <f aca="false">AI19*Допущения!$D$71/12+AI20*Допущения!$D$74</f>
        <v>600000</v>
      </c>
      <c r="AJ21" s="10" t="n">
        <f aca="false">AJ19*Допущения!$D$71/12+AJ20*Допущения!$D$74</f>
        <v>600000</v>
      </c>
      <c r="AK21" s="10" t="n">
        <f aca="false">AK19*Допущения!$D$71/12+AK20*Допущения!$D$74</f>
        <v>600000</v>
      </c>
      <c r="AL21" s="10" t="n">
        <f aca="false">AL19*Допущения!$D$71/12+AL20*Допущения!$D$74</f>
        <v>600000</v>
      </c>
      <c r="AM21" s="10" t="n">
        <f aca="false">SUM(C21:N21)</f>
        <v>1700000</v>
      </c>
      <c r="AN21" s="10" t="n">
        <f aca="false">SUM(O21:Z21)</f>
        <v>4150000</v>
      </c>
      <c r="AO21" s="10" t="n">
        <f aca="false">SUM(AA21:AL21)</f>
        <v>6600000</v>
      </c>
      <c r="AP21" s="10" t="n">
        <f aca="false">SUM(C21:AL21)</f>
        <v>12450000</v>
      </c>
    </row>
    <row r="22" customFormat="false" ht="15" hidden="false" customHeight="false" outlineLevel="0" collapsed="false">
      <c r="A22" s="0" t="s">
        <v>275</v>
      </c>
      <c r="B22" s="0" t="s">
        <v>333</v>
      </c>
      <c r="C22" s="10" t="n">
        <f aca="false">C19*Допущения!$D$71/12*(1-Допущения!$D$14)+C20*Допущения!$D$74*(Допущения!$D$75-Допущения!$D$14)</f>
        <v>0</v>
      </c>
      <c r="D22" s="10" t="n">
        <f aca="false">D19*Допущения!$D$71/12*(1-Допущения!$D$14)+D20*Допущения!$D$74*(Допущения!$D$75-Допущения!$D$14)</f>
        <v>0</v>
      </c>
      <c r="E22" s="10" t="n">
        <f aca="false">E19*Допущения!$D$71/12*(1-Допущения!$D$14)+E20*Допущения!$D$74*(Допущения!$D$75-Допущения!$D$14)</f>
        <v>51000</v>
      </c>
      <c r="F22" s="10" t="n">
        <f aca="false">F19*Допущения!$D$71/12*(1-Допущения!$D$14)+F20*Допущения!$D$74*(Допущения!$D$75-Допущения!$D$14)</f>
        <v>51000</v>
      </c>
      <c r="G22" s="10" t="n">
        <f aca="false">G19*Допущения!$D$71/12*(1-Допущения!$D$14)+G20*Допущения!$D$74*(Допущения!$D$75-Допущения!$D$14)</f>
        <v>51000</v>
      </c>
      <c r="H22" s="10" t="n">
        <f aca="false">H19*Допущения!$D$71/12*(1-Допущения!$D$14)+H20*Допущения!$D$74*(Допущения!$D$75-Допущения!$D$14)</f>
        <v>51000</v>
      </c>
      <c r="I22" s="10" t="n">
        <f aca="false">I19*Допущения!$D$71/12*(1-Допущения!$D$14)+I20*Допущения!$D$74*(Допущения!$D$75-Допущения!$D$14)</f>
        <v>51000</v>
      </c>
      <c r="J22" s="10" t="n">
        <f aca="false">J19*Допущения!$D$71/12*(1-Допущения!$D$14)+J20*Допущения!$D$74*(Допущения!$D$75-Допущения!$D$14)</f>
        <v>51000</v>
      </c>
      <c r="K22" s="10" t="n">
        <f aca="false">K19*Допущения!$D$71/12*(1-Допущения!$D$14)+K20*Допущения!$D$74*(Допущения!$D$75-Допущения!$D$14)</f>
        <v>51000</v>
      </c>
      <c r="L22" s="10" t="n">
        <f aca="false">L19*Допущения!$D$71/12*(1-Допущения!$D$14)+L20*Допущения!$D$74*(Допущения!$D$75-Допущения!$D$14)</f>
        <v>51000</v>
      </c>
      <c r="M22" s="10" t="n">
        <f aca="false">M19*Допущения!$D$71/12*(1-Допущения!$D$14)+M20*Допущения!$D$74*(Допущения!$D$75-Допущения!$D$14)</f>
        <v>145000</v>
      </c>
      <c r="N22" s="10" t="n">
        <f aca="false">N19*Допущения!$D$71/12*(1-Допущения!$D$14)+N20*Допущения!$D$74*(Допущения!$D$75-Допущения!$D$14)</f>
        <v>145000</v>
      </c>
      <c r="O22" s="10" t="n">
        <f aca="false">O19*Допущения!$D$71/12*(1-Допущения!$D$14)+O20*Допущения!$D$74*(Допущения!$D$75-Допущения!$D$14)</f>
        <v>145000</v>
      </c>
      <c r="P22" s="10" t="n">
        <f aca="false">P19*Допущения!$D$71/12*(1-Допущения!$D$14)+P20*Допущения!$D$74*(Допущения!$D$75-Допущения!$D$14)</f>
        <v>145000</v>
      </c>
      <c r="Q22" s="10" t="n">
        <f aca="false">Q19*Допущения!$D$71/12*(1-Допущения!$D$14)+Q20*Допущения!$D$74*(Допущения!$D$75-Допущения!$D$14)</f>
        <v>145000</v>
      </c>
      <c r="R22" s="10" t="n">
        <f aca="false">R19*Допущения!$D$71/12*(1-Допущения!$D$14)+R20*Допущения!$D$74*(Допущения!$D$75-Допущения!$D$14)</f>
        <v>145000</v>
      </c>
      <c r="S22" s="10" t="n">
        <f aca="false">S19*Допущения!$D$71/12*(1-Допущения!$D$14)+S20*Допущения!$D$74*(Допущения!$D$75-Допущения!$D$14)</f>
        <v>145000</v>
      </c>
      <c r="T22" s="10" t="n">
        <f aca="false">T19*Допущения!$D$71/12*(1-Допущения!$D$14)+T20*Допущения!$D$74*(Допущения!$D$75-Допущения!$D$14)</f>
        <v>145000</v>
      </c>
      <c r="U22" s="10" t="n">
        <f aca="false">U19*Допущения!$D$71/12*(1-Допущения!$D$14)+U20*Допущения!$D$74*(Допущения!$D$75-Допущения!$D$14)</f>
        <v>145000</v>
      </c>
      <c r="V22" s="10" t="n">
        <f aca="false">V19*Допущения!$D$71/12*(1-Допущения!$D$14)+V20*Допущения!$D$74*(Допущения!$D$75-Допущения!$D$14)</f>
        <v>196000</v>
      </c>
      <c r="W22" s="10" t="n">
        <f aca="false">W19*Допущения!$D$71/12*(1-Допущения!$D$14)+W20*Допущения!$D$74*(Допущения!$D$75-Допущения!$D$14)</f>
        <v>290000</v>
      </c>
      <c r="X22" s="10" t="n">
        <f aca="false">X19*Допущения!$D$71/12*(1-Допущения!$D$14)+X20*Допущения!$D$74*(Допущения!$D$75-Допущения!$D$14)</f>
        <v>290000</v>
      </c>
      <c r="Y22" s="10" t="n">
        <f aca="false">Y19*Допущения!$D$71/12*(1-Допущения!$D$14)+Y20*Допущения!$D$74*(Допущения!$D$75-Допущения!$D$14)</f>
        <v>290000</v>
      </c>
      <c r="Z22" s="10" t="n">
        <f aca="false">Z19*Допущения!$D$71/12*(1-Допущения!$D$14)+Z20*Допущения!$D$74*(Допущения!$D$75-Допущения!$D$14)</f>
        <v>290000</v>
      </c>
      <c r="AA22" s="10" t="n">
        <f aca="false">AA19*Допущения!$D$71/12*(1-Допущения!$D$14)+AA20*Допущения!$D$74*(Допущения!$D$75-Допущения!$D$14)</f>
        <v>290000</v>
      </c>
      <c r="AB22" s="10" t="n">
        <f aca="false">AB19*Допущения!$D$71/12*(1-Допущения!$D$14)+AB20*Допущения!$D$74*(Допущения!$D$75-Допущения!$D$14)</f>
        <v>290000</v>
      </c>
      <c r="AC22" s="10" t="n">
        <f aca="false">AC19*Допущения!$D$71/12*(1-Допущения!$D$14)+AC20*Допущения!$D$74*(Допущения!$D$75-Допущения!$D$14)</f>
        <v>290000</v>
      </c>
      <c r="AD22" s="10" t="n">
        <f aca="false">AD19*Допущения!$D$71/12*(1-Допущения!$D$14)+AD20*Допущения!$D$74*(Допущения!$D$75-Допущения!$D$14)</f>
        <v>290000</v>
      </c>
      <c r="AE22" s="10" t="n">
        <f aca="false">AE19*Допущения!$D$71/12*(1-Допущения!$D$14)+AE20*Допущения!$D$74*(Допущения!$D$75-Допущения!$D$14)</f>
        <v>290000</v>
      </c>
      <c r="AF22" s="10" t="n">
        <f aca="false">AF19*Допущения!$D$71/12*(1-Допущения!$D$14)+AF20*Допущения!$D$74*(Допущения!$D$75-Допущения!$D$14)</f>
        <v>290000</v>
      </c>
      <c r="AG22" s="10" t="n">
        <f aca="false">AG19*Допущения!$D$71/12*(1-Допущения!$D$14)+AG20*Допущения!$D$74*(Допущения!$D$75-Допущения!$D$14)</f>
        <v>384000</v>
      </c>
      <c r="AH22" s="10" t="n">
        <f aca="false">AH19*Допущения!$D$71/12*(1-Допущения!$D$14)+AH20*Допущения!$D$74*(Допущения!$D$75-Допущения!$D$14)</f>
        <v>384000</v>
      </c>
      <c r="AI22" s="10" t="n">
        <f aca="false">AI19*Допущения!$D$71/12*(1-Допущения!$D$14)+AI20*Допущения!$D$74*(Допущения!$D$75-Допущения!$D$14)</f>
        <v>384000</v>
      </c>
      <c r="AJ22" s="10" t="n">
        <f aca="false">AJ19*Допущения!$D$71/12*(1-Допущения!$D$14)+AJ20*Допущения!$D$74*(Допущения!$D$75-Допущения!$D$14)</f>
        <v>384000</v>
      </c>
      <c r="AK22" s="10" t="n">
        <f aca="false">AK19*Допущения!$D$71/12*(1-Допущения!$D$14)+AK20*Допущения!$D$74*(Допущения!$D$75-Допущения!$D$14)</f>
        <v>384000</v>
      </c>
      <c r="AL22" s="10" t="n">
        <f aca="false">AL19*Допущения!$D$71/12*(1-Допущения!$D$14)+AL20*Допущения!$D$74*(Допущения!$D$75-Допущения!$D$14)</f>
        <v>384000</v>
      </c>
      <c r="AM22" s="10" t="n">
        <f aca="false">SUM(C22:N22)</f>
        <v>698000</v>
      </c>
      <c r="AN22" s="10" t="n">
        <f aca="false">SUM(O22:Z22)</f>
        <v>2371000</v>
      </c>
      <c r="AO22" s="10" t="n">
        <f aca="false">SUM(AA22:AL22)</f>
        <v>4044000</v>
      </c>
      <c r="AP22" s="10" t="n">
        <f aca="false">SUM(C22:AL22)</f>
        <v>7113000</v>
      </c>
    </row>
    <row r="23" customFormat="false" ht="15" hidden="false" customHeight="false" outlineLevel="0" collapsed="false">
      <c r="A23" s="0" t="s">
        <v>277</v>
      </c>
      <c r="B23" s="0" t="s">
        <v>334</v>
      </c>
      <c r="C23" s="10" t="n">
        <f aca="false">0</f>
        <v>0</v>
      </c>
      <c r="D23" s="10" t="n">
        <f aca="false">0</f>
        <v>0</v>
      </c>
      <c r="E23" s="10" t="n">
        <f aca="false">0</f>
        <v>0</v>
      </c>
      <c r="F23" s="10" t="n">
        <f aca="false">0</f>
        <v>0</v>
      </c>
      <c r="G23" s="10" t="n">
        <f aca="false">0</f>
        <v>0</v>
      </c>
      <c r="H23" s="10" t="n">
        <f aca="false">0</f>
        <v>0</v>
      </c>
      <c r="I23" s="10" t="n">
        <f aca="false">0</f>
        <v>0</v>
      </c>
      <c r="J23" s="10" t="n">
        <f aca="false">0</f>
        <v>0</v>
      </c>
      <c r="K23" s="10" t="n">
        <f aca="false">0</f>
        <v>0</v>
      </c>
      <c r="L23" s="10" t="n">
        <f aca="false">0</f>
        <v>0</v>
      </c>
      <c r="M23" s="10" t="n">
        <f aca="false">0</f>
        <v>0</v>
      </c>
      <c r="N23" s="10" t="n">
        <f aca="false">0</f>
        <v>0</v>
      </c>
      <c r="O23" s="10" t="n">
        <f aca="false">0</f>
        <v>0</v>
      </c>
      <c r="P23" s="10" t="n">
        <f aca="false">0</f>
        <v>0</v>
      </c>
      <c r="Q23" s="10" t="n">
        <f aca="false">0</f>
        <v>0</v>
      </c>
      <c r="R23" s="10" t="n">
        <f aca="false">0</f>
        <v>0</v>
      </c>
      <c r="S23" s="10" t="n">
        <f aca="false">0</f>
        <v>0</v>
      </c>
      <c r="T23" s="10" t="n">
        <f aca="false">0</f>
        <v>0</v>
      </c>
      <c r="U23" s="10" t="n">
        <f aca="false">0</f>
        <v>0</v>
      </c>
      <c r="V23" s="10" t="n">
        <f aca="false">0</f>
        <v>0</v>
      </c>
      <c r="W23" s="10" t="n">
        <f aca="false">0</f>
        <v>0</v>
      </c>
      <c r="X23" s="10" t="n">
        <f aca="false">0</f>
        <v>0</v>
      </c>
      <c r="Y23" s="10" t="n">
        <f aca="false">0</f>
        <v>0</v>
      </c>
      <c r="Z23" s="10" t="n">
        <f aca="false">0</f>
        <v>0</v>
      </c>
      <c r="AA23" s="10" t="n">
        <f aca="false">0</f>
        <v>0</v>
      </c>
      <c r="AB23" s="10" t="n">
        <f aca="false">0</f>
        <v>0</v>
      </c>
      <c r="AC23" s="10" t="n">
        <f aca="false">0</f>
        <v>0</v>
      </c>
      <c r="AD23" s="10" t="n">
        <f aca="false">0</f>
        <v>0</v>
      </c>
      <c r="AE23" s="10" t="n">
        <f aca="false">0</f>
        <v>0</v>
      </c>
      <c r="AF23" s="10" t="n">
        <f aca="false">0</f>
        <v>0</v>
      </c>
      <c r="AG23" s="10" t="n">
        <f aca="false">0</f>
        <v>0</v>
      </c>
      <c r="AH23" s="10" t="n">
        <f aca="false">0</f>
        <v>0</v>
      </c>
      <c r="AI23" s="10" t="n">
        <f aca="false">0</f>
        <v>0</v>
      </c>
      <c r="AJ23" s="10" t="n">
        <f aca="false">0</f>
        <v>0</v>
      </c>
      <c r="AK23" s="10" t="n">
        <f aca="false">0</f>
        <v>0</v>
      </c>
      <c r="AL23" s="10" t="n">
        <f aca="false">0</f>
        <v>0</v>
      </c>
      <c r="AM23" s="10" t="n">
        <f aca="false">SUM(C23:N23)</f>
        <v>0</v>
      </c>
      <c r="AN23" s="10" t="n">
        <f aca="false">SUM(O23:Z23)</f>
        <v>0</v>
      </c>
      <c r="AO23" s="10" t="n">
        <f aca="false">SUM(AA23:AL23)</f>
        <v>0</v>
      </c>
      <c r="AP23" s="10" t="n">
        <f aca="false">SUM(C23:AL23)</f>
        <v>0</v>
      </c>
    </row>
    <row r="24" customFormat="false" ht="15" hidden="false" customHeight="false" outlineLevel="0" collapsed="false">
      <c r="A24" s="0" t="s">
        <v>279</v>
      </c>
      <c r="B24" s="0" t="s">
        <v>280</v>
      </c>
      <c r="C24" s="10" t="n">
        <f aca="false">Допущения!$D$17+IF(C$18&gt;=2,Допущения!$D$76,0)</f>
        <v>180000</v>
      </c>
      <c r="D24" s="10" t="n">
        <f aca="false">Допущения!$D$17+IF(D$18&gt;=2,Допущения!$D$76,0)</f>
        <v>290000</v>
      </c>
      <c r="E24" s="10" t="n">
        <f aca="false">Допущения!$D$17+IF(E$18&gt;=2,Допущения!$D$76,0)</f>
        <v>290000</v>
      </c>
      <c r="F24" s="10" t="n">
        <f aca="false">Допущения!$D$17+IF(F$18&gt;=2,Допущения!$D$76,0)</f>
        <v>290000</v>
      </c>
      <c r="G24" s="10" t="n">
        <f aca="false">Допущения!$D$17+IF(G$18&gt;=2,Допущения!$D$76,0)</f>
        <v>290000</v>
      </c>
      <c r="H24" s="10" t="n">
        <f aca="false">Допущения!$D$17+IF(H$18&gt;=2,Допущения!$D$76,0)</f>
        <v>290000</v>
      </c>
      <c r="I24" s="10" t="n">
        <f aca="false">Допущения!$D$17+IF(I$18&gt;=2,Допущения!$D$76,0)</f>
        <v>290000</v>
      </c>
      <c r="J24" s="10" t="n">
        <f aca="false">Допущения!$D$17+IF(J$18&gt;=2,Допущения!$D$76,0)</f>
        <v>290000</v>
      </c>
      <c r="K24" s="10" t="n">
        <f aca="false">Допущения!$D$17+IF(K$18&gt;=2,Допущения!$D$76,0)</f>
        <v>290000</v>
      </c>
      <c r="L24" s="10" t="n">
        <f aca="false">Допущения!$D$17+IF(L$18&gt;=2,Допущения!$D$76,0)</f>
        <v>290000</v>
      </c>
      <c r="M24" s="10" t="n">
        <f aca="false">Допущения!$D$17+IF(M$18&gt;=2,Допущения!$D$76,0)</f>
        <v>290000</v>
      </c>
      <c r="N24" s="10" t="n">
        <f aca="false">Допущения!$D$17+IF(N$18&gt;=2,Допущения!$D$76,0)</f>
        <v>290000</v>
      </c>
      <c r="O24" s="10" t="n">
        <f aca="false">Допущения!$D$17+IF(O$18&gt;=2,Допущения!$D$76,0)</f>
        <v>290000</v>
      </c>
      <c r="P24" s="10" t="n">
        <f aca="false">Допущения!$D$17+IF(P$18&gt;=2,Допущения!$D$76,0)</f>
        <v>290000</v>
      </c>
      <c r="Q24" s="10" t="n">
        <f aca="false">Допущения!$D$17+IF(Q$18&gt;=2,Допущения!$D$76,0)</f>
        <v>290000</v>
      </c>
      <c r="R24" s="10" t="n">
        <f aca="false">Допущения!$D$17+IF(R$18&gt;=2,Допущения!$D$76,0)</f>
        <v>290000</v>
      </c>
      <c r="S24" s="10" t="n">
        <f aca="false">Допущения!$D$17+IF(S$18&gt;=2,Допущения!$D$76,0)</f>
        <v>290000</v>
      </c>
      <c r="T24" s="10" t="n">
        <f aca="false">Допущения!$D$17+IF(T$18&gt;=2,Допущения!$D$76,0)</f>
        <v>290000</v>
      </c>
      <c r="U24" s="10" t="n">
        <f aca="false">Допущения!$D$17+IF(U$18&gt;=2,Допущения!$D$76,0)</f>
        <v>290000</v>
      </c>
      <c r="V24" s="10" t="n">
        <f aca="false">Допущения!$D$17+IF(V$18&gt;=2,Допущения!$D$76,0)</f>
        <v>290000</v>
      </c>
      <c r="W24" s="10" t="n">
        <f aca="false">Допущения!$D$17+IF(W$18&gt;=2,Допущения!$D$76,0)</f>
        <v>290000</v>
      </c>
      <c r="X24" s="10" t="n">
        <f aca="false">Допущения!$D$17+IF(X$18&gt;=2,Допущения!$D$76,0)</f>
        <v>290000</v>
      </c>
      <c r="Y24" s="10" t="n">
        <f aca="false">Допущения!$D$17+IF(Y$18&gt;=2,Допущения!$D$76,0)</f>
        <v>290000</v>
      </c>
      <c r="Z24" s="10" t="n">
        <f aca="false">Допущения!$D$17+IF(Z$18&gt;=2,Допущения!$D$76,0)</f>
        <v>290000</v>
      </c>
      <c r="AA24" s="10" t="n">
        <f aca="false">Допущения!$D$17+IF(AA$18&gt;=2,Допущения!$D$76,0)</f>
        <v>290000</v>
      </c>
      <c r="AB24" s="10" t="n">
        <f aca="false">Допущения!$D$17+IF(AB$18&gt;=2,Допущения!$D$76,0)</f>
        <v>290000</v>
      </c>
      <c r="AC24" s="10" t="n">
        <f aca="false">Допущения!$D$17+IF(AC$18&gt;=2,Допущения!$D$76,0)</f>
        <v>290000</v>
      </c>
      <c r="AD24" s="10" t="n">
        <f aca="false">Допущения!$D$17+IF(AD$18&gt;=2,Допущения!$D$76,0)</f>
        <v>290000</v>
      </c>
      <c r="AE24" s="10" t="n">
        <f aca="false">Допущения!$D$17+IF(AE$18&gt;=2,Допущения!$D$76,0)</f>
        <v>290000</v>
      </c>
      <c r="AF24" s="10" t="n">
        <f aca="false">Допущения!$D$17+IF(AF$18&gt;=2,Допущения!$D$76,0)</f>
        <v>290000</v>
      </c>
      <c r="AG24" s="10" t="n">
        <f aca="false">Допущения!$D$17+IF(AG$18&gt;=2,Допущения!$D$76,0)</f>
        <v>290000</v>
      </c>
      <c r="AH24" s="10" t="n">
        <f aca="false">Допущения!$D$17+IF(AH$18&gt;=2,Допущения!$D$76,0)</f>
        <v>290000</v>
      </c>
      <c r="AI24" s="10" t="n">
        <f aca="false">Допущения!$D$17+IF(AI$18&gt;=2,Допущения!$D$76,0)</f>
        <v>290000</v>
      </c>
      <c r="AJ24" s="10" t="n">
        <f aca="false">Допущения!$D$17+IF(AJ$18&gt;=2,Допущения!$D$76,0)</f>
        <v>290000</v>
      </c>
      <c r="AK24" s="10" t="n">
        <f aca="false">Допущения!$D$17+IF(AK$18&gt;=2,Допущения!$D$76,0)</f>
        <v>290000</v>
      </c>
      <c r="AL24" s="10" t="n">
        <f aca="false">Допущения!$D$17+IF(AL$18&gt;=2,Допущения!$D$76,0)</f>
        <v>290000</v>
      </c>
      <c r="AM24" s="10" t="n">
        <f aca="false">SUM(C24:N24)</f>
        <v>3370000</v>
      </c>
      <c r="AN24" s="10" t="n">
        <f aca="false">SUM(O24:Z24)</f>
        <v>3480000</v>
      </c>
      <c r="AO24" s="10" t="n">
        <f aca="false">SUM(AA24:AL24)</f>
        <v>3480000</v>
      </c>
      <c r="AP24" s="10" t="n">
        <f aca="false">SUM(C24:AL24)</f>
        <v>10330000</v>
      </c>
    </row>
    <row r="25" customFormat="false" ht="15" hidden="false" customHeight="false" outlineLevel="0" collapsed="false">
      <c r="A25" s="1" t="s">
        <v>281</v>
      </c>
      <c r="B25" s="1" t="s">
        <v>282</v>
      </c>
      <c r="C25" s="11" t="n">
        <f aca="false">C22-C24-C23</f>
        <v>-180000</v>
      </c>
      <c r="D25" s="11" t="n">
        <f aca="false">D22-D24-D23</f>
        <v>-290000</v>
      </c>
      <c r="E25" s="11" t="n">
        <f aca="false">E22-E24-E23</f>
        <v>-239000</v>
      </c>
      <c r="F25" s="11" t="n">
        <f aca="false">F22-F24-F23</f>
        <v>-239000</v>
      </c>
      <c r="G25" s="11" t="n">
        <f aca="false">G22-G24-G23</f>
        <v>-239000</v>
      </c>
      <c r="H25" s="11" t="n">
        <f aca="false">H22-H24-H23</f>
        <v>-239000</v>
      </c>
      <c r="I25" s="11" t="n">
        <f aca="false">I22-I24-I23</f>
        <v>-239000</v>
      </c>
      <c r="J25" s="11" t="n">
        <f aca="false">J22-J24-J23</f>
        <v>-239000</v>
      </c>
      <c r="K25" s="11" t="n">
        <f aca="false">K22-K24-K23</f>
        <v>-239000</v>
      </c>
      <c r="L25" s="11" t="n">
        <f aca="false">L22-L24-L23</f>
        <v>-239000</v>
      </c>
      <c r="M25" s="11" t="n">
        <f aca="false">M22-M24-M23</f>
        <v>-145000</v>
      </c>
      <c r="N25" s="11" t="n">
        <f aca="false">N22-N24-N23</f>
        <v>-145000</v>
      </c>
      <c r="O25" s="11" t="n">
        <f aca="false">O22-O24-O23</f>
        <v>-145000</v>
      </c>
      <c r="P25" s="11" t="n">
        <f aca="false">P22-P24-P23</f>
        <v>-145000</v>
      </c>
      <c r="Q25" s="11" t="n">
        <f aca="false">Q22-Q24-Q23</f>
        <v>-145000</v>
      </c>
      <c r="R25" s="11" t="n">
        <f aca="false">R22-R24-R23</f>
        <v>-145000</v>
      </c>
      <c r="S25" s="11" t="n">
        <f aca="false">S22-S24-S23</f>
        <v>-145000</v>
      </c>
      <c r="T25" s="11" t="n">
        <f aca="false">T22-T24-T23</f>
        <v>-145000</v>
      </c>
      <c r="U25" s="11" t="n">
        <f aca="false">U22-U24-U23</f>
        <v>-145000</v>
      </c>
      <c r="V25" s="11" t="n">
        <f aca="false">V22-V24-V23</f>
        <v>-94000</v>
      </c>
      <c r="W25" s="11" t="n">
        <f aca="false">W22-W24-W23</f>
        <v>0</v>
      </c>
      <c r="X25" s="11" t="n">
        <f aca="false">X22-X24-X23</f>
        <v>0</v>
      </c>
      <c r="Y25" s="11" t="n">
        <f aca="false">Y22-Y24-Y23</f>
        <v>0</v>
      </c>
      <c r="Z25" s="11" t="n">
        <f aca="false">Z22-Z24-Z23</f>
        <v>0</v>
      </c>
      <c r="AA25" s="11" t="n">
        <f aca="false">AA22-AA24-AA23</f>
        <v>0</v>
      </c>
      <c r="AB25" s="11" t="n">
        <f aca="false">AB22-AB24-AB23</f>
        <v>0</v>
      </c>
      <c r="AC25" s="11" t="n">
        <f aca="false">AC22-AC24-AC23</f>
        <v>0</v>
      </c>
      <c r="AD25" s="11" t="n">
        <f aca="false">AD22-AD24-AD23</f>
        <v>0</v>
      </c>
      <c r="AE25" s="11" t="n">
        <f aca="false">AE22-AE24-AE23</f>
        <v>0</v>
      </c>
      <c r="AF25" s="11" t="n">
        <f aca="false">AF22-AF24-AF23</f>
        <v>0</v>
      </c>
      <c r="AG25" s="11" t="n">
        <f aca="false">AG22-AG24-AG23</f>
        <v>94000</v>
      </c>
      <c r="AH25" s="11" t="n">
        <f aca="false">AH22-AH24-AH23</f>
        <v>94000</v>
      </c>
      <c r="AI25" s="11" t="n">
        <f aca="false">AI22-AI24-AI23</f>
        <v>94000</v>
      </c>
      <c r="AJ25" s="11" t="n">
        <f aca="false">AJ22-AJ24-AJ23</f>
        <v>94000</v>
      </c>
      <c r="AK25" s="11" t="n">
        <f aca="false">AK22-AK24-AK23</f>
        <v>94000</v>
      </c>
      <c r="AL25" s="11" t="n">
        <f aca="false">AL22-AL24-AL23</f>
        <v>94000</v>
      </c>
      <c r="AM25" s="11" t="n">
        <f aca="false">SUM(C25:N25)</f>
        <v>-2672000</v>
      </c>
      <c r="AN25" s="11" t="n">
        <f aca="false">SUM(O25:Z25)</f>
        <v>-1109000</v>
      </c>
      <c r="AO25" s="11" t="n">
        <f aca="false">SUM(AA25:AL25)</f>
        <v>564000</v>
      </c>
      <c r="AP25" s="11" t="n">
        <f aca="false">SUM(C25:AL25)</f>
        <v>-3217000</v>
      </c>
    </row>
    <row r="26" customFormat="false" ht="15" hidden="false" customHeight="false" outlineLevel="0" collapsed="false">
      <c r="A26" s="0" t="s">
        <v>283</v>
      </c>
      <c r="B26" s="0" t="s">
        <v>284</v>
      </c>
      <c r="C26" s="10" t="n">
        <f aca="false">IF(C$18=1,Допущения!$D$19+Допущения!$D$77,0)</f>
        <v>300000</v>
      </c>
      <c r="D26" s="10" t="n">
        <f aca="false">IF(D$18=1,Допущения!$D$19+Допущения!$D$77,0)</f>
        <v>0</v>
      </c>
      <c r="E26" s="10" t="n">
        <f aca="false">IF(E$18=1,Допущения!$D$19+Допущения!$D$77,0)</f>
        <v>0</v>
      </c>
      <c r="F26" s="10" t="n">
        <f aca="false">IF(F$18=1,Допущения!$D$19+Допущения!$D$77,0)</f>
        <v>0</v>
      </c>
      <c r="G26" s="10" t="n">
        <f aca="false">IF(G$18=1,Допущения!$D$19+Допущения!$D$77,0)</f>
        <v>0</v>
      </c>
      <c r="H26" s="10" t="n">
        <f aca="false">IF(H$18=1,Допущения!$D$19+Допущения!$D$77,0)</f>
        <v>0</v>
      </c>
      <c r="I26" s="10" t="n">
        <f aca="false">IF(I$18=1,Допущения!$D$19+Допущения!$D$77,0)</f>
        <v>0</v>
      </c>
      <c r="J26" s="10" t="n">
        <f aca="false">IF(J$18=1,Допущения!$D$19+Допущения!$D$77,0)</f>
        <v>0</v>
      </c>
      <c r="K26" s="10" t="n">
        <f aca="false">IF(K$18=1,Допущения!$D$19+Допущения!$D$77,0)</f>
        <v>0</v>
      </c>
      <c r="L26" s="10" t="n">
        <f aca="false">IF(L$18=1,Допущения!$D$19+Допущения!$D$77,0)</f>
        <v>0</v>
      </c>
      <c r="M26" s="10" t="n">
        <f aca="false">IF(M$18=1,Допущения!$D$19+Допущения!$D$77,0)</f>
        <v>0</v>
      </c>
      <c r="N26" s="10" t="n">
        <f aca="false">IF(N$18=1,Допущения!$D$19+Допущения!$D$77,0)</f>
        <v>0</v>
      </c>
      <c r="O26" s="10" t="n">
        <f aca="false">IF(O$18=1,Допущения!$D$19+Допущения!$D$77,0)</f>
        <v>0</v>
      </c>
      <c r="P26" s="10" t="n">
        <f aca="false">IF(P$18=1,Допущения!$D$19+Допущения!$D$77,0)</f>
        <v>0</v>
      </c>
      <c r="Q26" s="10" t="n">
        <f aca="false">IF(Q$18=1,Допущения!$D$19+Допущения!$D$77,0)</f>
        <v>0</v>
      </c>
      <c r="R26" s="10" t="n">
        <f aca="false">IF(R$18=1,Допущения!$D$19+Допущения!$D$77,0)</f>
        <v>0</v>
      </c>
      <c r="S26" s="10" t="n">
        <f aca="false">IF(S$18=1,Допущения!$D$19+Допущения!$D$77,0)</f>
        <v>0</v>
      </c>
      <c r="T26" s="10" t="n">
        <f aca="false">IF(T$18=1,Допущения!$D$19+Допущения!$D$77,0)</f>
        <v>0</v>
      </c>
      <c r="U26" s="10" t="n">
        <f aca="false">IF(U$18=1,Допущения!$D$19+Допущения!$D$77,0)</f>
        <v>0</v>
      </c>
      <c r="V26" s="10" t="n">
        <f aca="false">IF(V$18=1,Допущения!$D$19+Допущения!$D$77,0)</f>
        <v>0</v>
      </c>
      <c r="W26" s="10" t="n">
        <f aca="false">IF(W$18=1,Допущения!$D$19+Допущения!$D$77,0)</f>
        <v>0</v>
      </c>
      <c r="X26" s="10" t="n">
        <f aca="false">IF(X$18=1,Допущения!$D$19+Допущения!$D$77,0)</f>
        <v>0</v>
      </c>
      <c r="Y26" s="10" t="n">
        <f aca="false">IF(Y$18=1,Допущения!$D$19+Допущения!$D$77,0)</f>
        <v>0</v>
      </c>
      <c r="Z26" s="10" t="n">
        <f aca="false">IF(Z$18=1,Допущения!$D$19+Допущения!$D$77,0)</f>
        <v>0</v>
      </c>
      <c r="AA26" s="10" t="n">
        <f aca="false">IF(AA$18=1,Допущения!$D$19+Допущения!$D$77,0)</f>
        <v>0</v>
      </c>
      <c r="AB26" s="10" t="n">
        <f aca="false">IF(AB$18=1,Допущения!$D$19+Допущения!$D$77,0)</f>
        <v>0</v>
      </c>
      <c r="AC26" s="10" t="n">
        <f aca="false">IF(AC$18=1,Допущения!$D$19+Допущения!$D$77,0)</f>
        <v>0</v>
      </c>
      <c r="AD26" s="10" t="n">
        <f aca="false">IF(AD$18=1,Допущения!$D$19+Допущения!$D$77,0)</f>
        <v>0</v>
      </c>
      <c r="AE26" s="10" t="n">
        <f aca="false">IF(AE$18=1,Допущения!$D$19+Допущения!$D$77,0)</f>
        <v>0</v>
      </c>
      <c r="AF26" s="10" t="n">
        <f aca="false">IF(AF$18=1,Допущения!$D$19+Допущения!$D$77,0)</f>
        <v>0</v>
      </c>
      <c r="AG26" s="10" t="n">
        <f aca="false">IF(AG$18=1,Допущения!$D$19+Допущения!$D$77,0)</f>
        <v>0</v>
      </c>
      <c r="AH26" s="10" t="n">
        <f aca="false">IF(AH$18=1,Допущения!$D$19+Допущения!$D$77,0)</f>
        <v>0</v>
      </c>
      <c r="AI26" s="10" t="n">
        <f aca="false">IF(AI$18=1,Допущения!$D$19+Допущения!$D$77,0)</f>
        <v>0</v>
      </c>
      <c r="AJ26" s="10" t="n">
        <f aca="false">IF(AJ$18=1,Допущения!$D$19+Допущения!$D$77,0)</f>
        <v>0</v>
      </c>
      <c r="AK26" s="10" t="n">
        <f aca="false">IF(AK$18=1,Допущения!$D$19+Допущения!$D$77,0)</f>
        <v>0</v>
      </c>
      <c r="AL26" s="10" t="n">
        <f aca="false">IF(AL$18=1,Допущения!$D$19+Допущения!$D$77,0)</f>
        <v>0</v>
      </c>
      <c r="AM26" s="10" t="n">
        <f aca="false">SUM(C26:N26)</f>
        <v>300000</v>
      </c>
      <c r="AN26" s="10" t="n">
        <f aca="false">SUM(O26:Z26)</f>
        <v>0</v>
      </c>
      <c r="AO26" s="10" t="n">
        <f aca="false">SUM(AA26:AL26)</f>
        <v>0</v>
      </c>
      <c r="AP26" s="10" t="n">
        <f aca="false">SUM(C26:AL26)</f>
        <v>300000</v>
      </c>
    </row>
    <row r="27" customFormat="false" ht="15" hidden="false" customHeight="false" outlineLevel="0" collapsed="false">
      <c r="A27" s="1" t="s">
        <v>285</v>
      </c>
      <c r="B27" s="1" t="s">
        <v>286</v>
      </c>
      <c r="C27" s="11" t="n">
        <f aca="false">C25-C26</f>
        <v>-480000</v>
      </c>
      <c r="D27" s="11" t="n">
        <f aca="false">D25-D26</f>
        <v>-290000</v>
      </c>
      <c r="E27" s="11" t="n">
        <f aca="false">E25-E26</f>
        <v>-239000</v>
      </c>
      <c r="F27" s="11" t="n">
        <f aca="false">F25-F26</f>
        <v>-239000</v>
      </c>
      <c r="G27" s="11" t="n">
        <f aca="false">G25-G26</f>
        <v>-239000</v>
      </c>
      <c r="H27" s="11" t="n">
        <f aca="false">H25-H26</f>
        <v>-239000</v>
      </c>
      <c r="I27" s="11" t="n">
        <f aca="false">I25-I26</f>
        <v>-239000</v>
      </c>
      <c r="J27" s="11" t="n">
        <f aca="false">J25-J26</f>
        <v>-239000</v>
      </c>
      <c r="K27" s="11" t="n">
        <f aca="false">K25-K26</f>
        <v>-239000</v>
      </c>
      <c r="L27" s="11" t="n">
        <f aca="false">L25-L26</f>
        <v>-239000</v>
      </c>
      <c r="M27" s="11" t="n">
        <f aca="false">M25-M26</f>
        <v>-145000</v>
      </c>
      <c r="N27" s="11" t="n">
        <f aca="false">N25-N26</f>
        <v>-145000</v>
      </c>
      <c r="O27" s="11" t="n">
        <f aca="false">O25-O26</f>
        <v>-145000</v>
      </c>
      <c r="P27" s="11" t="n">
        <f aca="false">P25-P26</f>
        <v>-145000</v>
      </c>
      <c r="Q27" s="11" t="n">
        <f aca="false">Q25-Q26</f>
        <v>-145000</v>
      </c>
      <c r="R27" s="11" t="n">
        <f aca="false">R25-R26</f>
        <v>-145000</v>
      </c>
      <c r="S27" s="11" t="n">
        <f aca="false">S25-S26</f>
        <v>-145000</v>
      </c>
      <c r="T27" s="11" t="n">
        <f aca="false">T25-T26</f>
        <v>-145000</v>
      </c>
      <c r="U27" s="11" t="n">
        <f aca="false">U25-U26</f>
        <v>-145000</v>
      </c>
      <c r="V27" s="11" t="n">
        <f aca="false">V25-V26</f>
        <v>-94000</v>
      </c>
      <c r="W27" s="11" t="n">
        <f aca="false">W25-W26</f>
        <v>0</v>
      </c>
      <c r="X27" s="11" t="n">
        <f aca="false">X25-X26</f>
        <v>0</v>
      </c>
      <c r="Y27" s="11" t="n">
        <f aca="false">Y25-Y26</f>
        <v>0</v>
      </c>
      <c r="Z27" s="11" t="n">
        <f aca="false">Z25-Z26</f>
        <v>0</v>
      </c>
      <c r="AA27" s="11" t="n">
        <f aca="false">AA25-AA26</f>
        <v>0</v>
      </c>
      <c r="AB27" s="11" t="n">
        <f aca="false">AB25-AB26</f>
        <v>0</v>
      </c>
      <c r="AC27" s="11" t="n">
        <f aca="false">AC25-AC26</f>
        <v>0</v>
      </c>
      <c r="AD27" s="11" t="n">
        <f aca="false">AD25-AD26</f>
        <v>0</v>
      </c>
      <c r="AE27" s="11" t="n">
        <f aca="false">AE25-AE26</f>
        <v>0</v>
      </c>
      <c r="AF27" s="11" t="n">
        <f aca="false">AF25-AF26</f>
        <v>0</v>
      </c>
      <c r="AG27" s="11" t="n">
        <f aca="false">AG25-AG26</f>
        <v>94000</v>
      </c>
      <c r="AH27" s="11" t="n">
        <f aca="false">AH25-AH26</f>
        <v>94000</v>
      </c>
      <c r="AI27" s="11" t="n">
        <f aca="false">AI25-AI26</f>
        <v>94000</v>
      </c>
      <c r="AJ27" s="11" t="n">
        <f aca="false">AJ25-AJ26</f>
        <v>94000</v>
      </c>
      <c r="AK27" s="11" t="n">
        <f aca="false">AK25-AK26</f>
        <v>94000</v>
      </c>
      <c r="AL27" s="11" t="n">
        <f aca="false">AL25-AL26</f>
        <v>94000</v>
      </c>
      <c r="AM27" s="11" t="n">
        <f aca="false">SUM(C27:N27)</f>
        <v>-2972000</v>
      </c>
      <c r="AN27" s="11" t="n">
        <f aca="false">SUM(O27:Z27)</f>
        <v>-1109000</v>
      </c>
      <c r="AO27" s="11" t="n">
        <f aca="false">SUM(AA27:AL27)</f>
        <v>564000</v>
      </c>
      <c r="AP27" s="11" t="n">
        <f aca="false">SUM(C27:AL27)</f>
        <v>-3517000</v>
      </c>
    </row>
    <row r="28" customFormat="false" ht="15" hidden="false" customHeight="false" outlineLevel="0" collapsed="false">
      <c r="A28" s="1" t="s">
        <v>287</v>
      </c>
      <c r="B28" s="1" t="s">
        <v>288</v>
      </c>
      <c r="C28" s="11" t="n">
        <f aca="false">0+C27</f>
        <v>-480000</v>
      </c>
      <c r="D28" s="11" t="n">
        <f aca="false">C28+D27</f>
        <v>-770000</v>
      </c>
      <c r="E28" s="11" t="n">
        <f aca="false">D28+E27</f>
        <v>-1009000</v>
      </c>
      <c r="F28" s="11" t="n">
        <f aca="false">E28+F27</f>
        <v>-1248000</v>
      </c>
      <c r="G28" s="11" t="n">
        <f aca="false">F28+G27</f>
        <v>-1487000</v>
      </c>
      <c r="H28" s="11" t="n">
        <f aca="false">G28+H27</f>
        <v>-1726000</v>
      </c>
      <c r="I28" s="11" t="n">
        <f aca="false">H28+I27</f>
        <v>-1965000</v>
      </c>
      <c r="J28" s="11" t="n">
        <f aca="false">I28+J27</f>
        <v>-2204000</v>
      </c>
      <c r="K28" s="11" t="n">
        <f aca="false">J28+K27</f>
        <v>-2443000</v>
      </c>
      <c r="L28" s="11" t="n">
        <f aca="false">K28+L27</f>
        <v>-2682000</v>
      </c>
      <c r="M28" s="11" t="n">
        <f aca="false">L28+M27</f>
        <v>-2827000</v>
      </c>
      <c r="N28" s="11" t="n">
        <f aca="false">M28+N27</f>
        <v>-2972000</v>
      </c>
      <c r="O28" s="11" t="n">
        <f aca="false">N28+O27</f>
        <v>-3117000</v>
      </c>
      <c r="P28" s="11" t="n">
        <f aca="false">O28+P27</f>
        <v>-3262000</v>
      </c>
      <c r="Q28" s="11" t="n">
        <f aca="false">P28+Q27</f>
        <v>-3407000</v>
      </c>
      <c r="R28" s="11" t="n">
        <f aca="false">Q28+R27</f>
        <v>-3552000</v>
      </c>
      <c r="S28" s="11" t="n">
        <f aca="false">R28+S27</f>
        <v>-3697000</v>
      </c>
      <c r="T28" s="11" t="n">
        <f aca="false">S28+T27</f>
        <v>-3842000</v>
      </c>
      <c r="U28" s="11" t="n">
        <f aca="false">T28+U27</f>
        <v>-3987000</v>
      </c>
      <c r="V28" s="11" t="n">
        <f aca="false">U28+V27</f>
        <v>-4081000</v>
      </c>
      <c r="W28" s="11" t="n">
        <f aca="false">V28+W27</f>
        <v>-4081000</v>
      </c>
      <c r="X28" s="11" t="n">
        <f aca="false">W28+X27</f>
        <v>-4081000</v>
      </c>
      <c r="Y28" s="11" t="n">
        <f aca="false">X28+Y27</f>
        <v>-4081000</v>
      </c>
      <c r="Z28" s="11" t="n">
        <f aca="false">Y28+Z27</f>
        <v>-4081000</v>
      </c>
      <c r="AA28" s="11" t="n">
        <f aca="false">Z28+AA27</f>
        <v>-4081000</v>
      </c>
      <c r="AB28" s="11" t="n">
        <f aca="false">AA28+AB27</f>
        <v>-4081000</v>
      </c>
      <c r="AC28" s="11" t="n">
        <f aca="false">AB28+AC27</f>
        <v>-4081000</v>
      </c>
      <c r="AD28" s="11" t="n">
        <f aca="false">AC28+AD27</f>
        <v>-4081000</v>
      </c>
      <c r="AE28" s="11" t="n">
        <f aca="false">AD28+AE27</f>
        <v>-4081000</v>
      </c>
      <c r="AF28" s="11" t="n">
        <f aca="false">AE28+AF27</f>
        <v>-4081000</v>
      </c>
      <c r="AG28" s="11" t="n">
        <f aca="false">AF28+AG27</f>
        <v>-3987000</v>
      </c>
      <c r="AH28" s="11" t="n">
        <f aca="false">AG28+AH27</f>
        <v>-3893000</v>
      </c>
      <c r="AI28" s="11" t="n">
        <f aca="false">AH28+AI27</f>
        <v>-3799000</v>
      </c>
      <c r="AJ28" s="11" t="n">
        <f aca="false">AI28+AJ27</f>
        <v>-3705000</v>
      </c>
      <c r="AK28" s="11" t="n">
        <f aca="false">AJ28+AK27</f>
        <v>-3611000</v>
      </c>
      <c r="AL28" s="11" t="n">
        <f aca="false">AK28+AL27</f>
        <v>-3517000</v>
      </c>
      <c r="AM28" s="11" t="n">
        <f aca="false">N28</f>
        <v>-2972000</v>
      </c>
      <c r="AN28" s="11" t="n">
        <f aca="false">Z28</f>
        <v>-4081000</v>
      </c>
      <c r="AO28" s="11" t="n">
        <f aca="false">AL28</f>
        <v>-3517000</v>
      </c>
      <c r="AP28" s="1"/>
    </row>
    <row r="29" customFormat="false" ht="15" hidden="false" customHeight="false" outlineLevel="0" collapsed="false">
      <c r="A29" s="0" t="s">
        <v>289</v>
      </c>
      <c r="B29" s="0" t="s">
        <v>290</v>
      </c>
      <c r="C29" s="0" t="n">
        <f aca="false">IF(AND(C25&gt;0,COUNTIF(C25:AL25,"&lt;=0")=0),C$18,99)</f>
        <v>99</v>
      </c>
      <c r="D29" s="0" t="n">
        <f aca="false">IF(AND(D25&gt;0,COUNTIF(D25:AL25,"&lt;=0")=0),D$18,99)</f>
        <v>99</v>
      </c>
      <c r="E29" s="0" t="n">
        <f aca="false">IF(AND(E25&gt;0,COUNTIF(E25:AL25,"&lt;=0")=0),E$18,99)</f>
        <v>99</v>
      </c>
      <c r="F29" s="0" t="n">
        <f aca="false">IF(AND(F25&gt;0,COUNTIF(F25:AL25,"&lt;=0")=0),F$18,99)</f>
        <v>99</v>
      </c>
      <c r="G29" s="0" t="n">
        <f aca="false">IF(AND(G25&gt;0,COUNTIF(G25:AL25,"&lt;=0")=0),G$18,99)</f>
        <v>99</v>
      </c>
      <c r="H29" s="0" t="n">
        <f aca="false">IF(AND(H25&gt;0,COUNTIF(H25:AL25,"&lt;=0")=0),H$18,99)</f>
        <v>99</v>
      </c>
      <c r="I29" s="0" t="n">
        <f aca="false">IF(AND(I25&gt;0,COUNTIF(I25:AL25,"&lt;=0")=0),I$18,99)</f>
        <v>99</v>
      </c>
      <c r="J29" s="0" t="n">
        <f aca="false">IF(AND(J25&gt;0,COUNTIF(J25:AL25,"&lt;=0")=0),J$18,99)</f>
        <v>99</v>
      </c>
      <c r="K29" s="0" t="n">
        <f aca="false">IF(AND(K25&gt;0,COUNTIF(K25:AL25,"&lt;=0")=0),K$18,99)</f>
        <v>99</v>
      </c>
      <c r="L29" s="0" t="n">
        <f aca="false">IF(AND(L25&gt;0,COUNTIF(L25:AL25,"&lt;=0")=0),L$18,99)</f>
        <v>99</v>
      </c>
      <c r="M29" s="0" t="n">
        <f aca="false">IF(AND(M25&gt;0,COUNTIF(M25:AL25,"&lt;=0")=0),M$18,99)</f>
        <v>99</v>
      </c>
      <c r="N29" s="0" t="n">
        <f aca="false">IF(AND(N25&gt;0,COUNTIF(N25:AL25,"&lt;=0")=0),N$18,99)</f>
        <v>99</v>
      </c>
      <c r="O29" s="0" t="n">
        <f aca="false">IF(AND(O25&gt;0,COUNTIF(O25:AL25,"&lt;=0")=0),O$18,99)</f>
        <v>99</v>
      </c>
      <c r="P29" s="0" t="n">
        <f aca="false">IF(AND(P25&gt;0,COUNTIF(P25:AL25,"&lt;=0")=0),P$18,99)</f>
        <v>99</v>
      </c>
      <c r="Q29" s="0" t="n">
        <f aca="false">IF(AND(Q25&gt;0,COUNTIF(Q25:AL25,"&lt;=0")=0),Q$18,99)</f>
        <v>99</v>
      </c>
      <c r="R29" s="0" t="n">
        <f aca="false">IF(AND(R25&gt;0,COUNTIF(R25:AL25,"&lt;=0")=0),R$18,99)</f>
        <v>99</v>
      </c>
      <c r="S29" s="0" t="n">
        <f aca="false">IF(AND(S25&gt;0,COUNTIF(S25:AL25,"&lt;=0")=0),S$18,99)</f>
        <v>99</v>
      </c>
      <c r="T29" s="0" t="n">
        <f aca="false">IF(AND(T25&gt;0,COUNTIF(T25:AL25,"&lt;=0")=0),T$18,99)</f>
        <v>99</v>
      </c>
      <c r="U29" s="0" t="n">
        <f aca="false">IF(AND(U25&gt;0,COUNTIF(U25:AL25,"&lt;=0")=0),U$18,99)</f>
        <v>99</v>
      </c>
      <c r="V29" s="0" t="n">
        <f aca="false">IF(AND(V25&gt;0,COUNTIF(V25:AL25,"&lt;=0")=0),V$18,99)</f>
        <v>99</v>
      </c>
      <c r="W29" s="0" t="n">
        <f aca="false">IF(AND(W25&gt;0,COUNTIF(W25:AL25,"&lt;=0")=0),W$18,99)</f>
        <v>99</v>
      </c>
      <c r="X29" s="0" t="n">
        <f aca="false">IF(AND(X25&gt;0,COUNTIF(X25:AL25,"&lt;=0")=0),X$18,99)</f>
        <v>99</v>
      </c>
      <c r="Y29" s="0" t="n">
        <f aca="false">IF(AND(Y25&gt;0,COUNTIF(Y25:AL25,"&lt;=0")=0),Y$18,99)</f>
        <v>99</v>
      </c>
      <c r="Z29" s="0" t="n">
        <f aca="false">IF(AND(Z25&gt;0,COUNTIF(Z25:AL25,"&lt;=0")=0),Z$18,99)</f>
        <v>99</v>
      </c>
      <c r="AA29" s="0" t="n">
        <f aca="false">IF(AND(AA25&gt;0,COUNTIF(AA25:AL25,"&lt;=0")=0),AA$18,99)</f>
        <v>99</v>
      </c>
      <c r="AB29" s="0" t="n">
        <f aca="false">IF(AND(AB25&gt;0,COUNTIF(AB25:AL25,"&lt;=0")=0),AB$18,99)</f>
        <v>99</v>
      </c>
      <c r="AC29" s="0" t="n">
        <f aca="false">IF(AND(AC25&gt;0,COUNTIF(AC25:AL25,"&lt;=0")=0),AC$18,99)</f>
        <v>99</v>
      </c>
      <c r="AD29" s="0" t="n">
        <f aca="false">IF(AND(AD25&gt;0,COUNTIF(AD25:AL25,"&lt;=0")=0),AD$18,99)</f>
        <v>99</v>
      </c>
      <c r="AE29" s="0" t="n">
        <f aca="false">IF(AND(AE25&gt;0,COUNTIF(AE25:AL25,"&lt;=0")=0),AE$18,99)</f>
        <v>99</v>
      </c>
      <c r="AF29" s="0" t="n">
        <f aca="false">IF(AND(AF25&gt;0,COUNTIF(AF25:AL25,"&lt;=0")=0),AF$18,99)</f>
        <v>99</v>
      </c>
      <c r="AG29" s="0" t="n">
        <f aca="false">IF(AND(AG25&gt;0,COUNTIF(AG25:AL25,"&lt;=0")=0),AG$18,99)</f>
        <v>31</v>
      </c>
      <c r="AH29" s="0" t="n">
        <f aca="false">IF(AND(AH25&gt;0,COUNTIF(AH25:AL25,"&lt;=0")=0),AH$18,99)</f>
        <v>32</v>
      </c>
      <c r="AI29" s="0" t="n">
        <f aca="false">IF(AND(AI25&gt;0,COUNTIF(AI25:AL25,"&lt;=0")=0),AI$18,99)</f>
        <v>33</v>
      </c>
      <c r="AJ29" s="0" t="n">
        <f aca="false">IF(AND(AJ25&gt;0,COUNTIF(AJ25:AL25,"&lt;=0")=0),AJ$18,99)</f>
        <v>34</v>
      </c>
      <c r="AK29" s="0" t="n">
        <f aca="false">IF(AND(AK25&gt;0,COUNTIF(AK25:AL25,"&lt;=0")=0),AK$18,99)</f>
        <v>35</v>
      </c>
      <c r="AL29" s="0" t="n">
        <f aca="false">IF(AND(AL25&gt;0,COUNTIF(AL25:AL25,"&lt;=0")=0),AL$18,99)</f>
        <v>36</v>
      </c>
    </row>
    <row r="30" customFormat="false" ht="15" hidden="false" customHeight="false" outlineLevel="0" collapsed="false">
      <c r="A30" s="0" t="s">
        <v>291</v>
      </c>
      <c r="B30" s="0" t="s">
        <v>292</v>
      </c>
      <c r="C30" s="0" t="n">
        <f aca="false">IF(AND(C28&gt;=0,COUNTIF(C28:AL28,"&lt;0")=0),C$18,99)</f>
        <v>99</v>
      </c>
      <c r="D30" s="0" t="n">
        <f aca="false">IF(AND(D28&gt;=0,COUNTIF(D28:AL28,"&lt;0")=0),D$18,99)</f>
        <v>99</v>
      </c>
      <c r="E30" s="0" t="n">
        <f aca="false">IF(AND(E28&gt;=0,COUNTIF(E28:AL28,"&lt;0")=0),E$18,99)</f>
        <v>99</v>
      </c>
      <c r="F30" s="0" t="n">
        <f aca="false">IF(AND(F28&gt;=0,COUNTIF(F28:AL28,"&lt;0")=0),F$18,99)</f>
        <v>99</v>
      </c>
      <c r="G30" s="0" t="n">
        <f aca="false">IF(AND(G28&gt;=0,COUNTIF(G28:AL28,"&lt;0")=0),G$18,99)</f>
        <v>99</v>
      </c>
      <c r="H30" s="0" t="n">
        <f aca="false">IF(AND(H28&gt;=0,COUNTIF(H28:AL28,"&lt;0")=0),H$18,99)</f>
        <v>99</v>
      </c>
      <c r="I30" s="0" t="n">
        <f aca="false">IF(AND(I28&gt;=0,COUNTIF(I28:AL28,"&lt;0")=0),I$18,99)</f>
        <v>99</v>
      </c>
      <c r="J30" s="0" t="n">
        <f aca="false">IF(AND(J28&gt;=0,COUNTIF(J28:AL28,"&lt;0")=0),J$18,99)</f>
        <v>99</v>
      </c>
      <c r="K30" s="0" t="n">
        <f aca="false">IF(AND(K28&gt;=0,COUNTIF(K28:AL28,"&lt;0")=0),K$18,99)</f>
        <v>99</v>
      </c>
      <c r="L30" s="0" t="n">
        <f aca="false">IF(AND(L28&gt;=0,COUNTIF(L28:AL28,"&lt;0")=0),L$18,99)</f>
        <v>99</v>
      </c>
      <c r="M30" s="0" t="n">
        <f aca="false">IF(AND(M28&gt;=0,COUNTIF(M28:AL28,"&lt;0")=0),M$18,99)</f>
        <v>99</v>
      </c>
      <c r="N30" s="0" t="n">
        <f aca="false">IF(AND(N28&gt;=0,COUNTIF(N28:AL28,"&lt;0")=0),N$18,99)</f>
        <v>99</v>
      </c>
      <c r="O30" s="0" t="n">
        <f aca="false">IF(AND(O28&gt;=0,COUNTIF(O28:AL28,"&lt;0")=0),O$18,99)</f>
        <v>99</v>
      </c>
      <c r="P30" s="0" t="n">
        <f aca="false">IF(AND(P28&gt;=0,COUNTIF(P28:AL28,"&lt;0")=0),P$18,99)</f>
        <v>99</v>
      </c>
      <c r="Q30" s="0" t="n">
        <f aca="false">IF(AND(Q28&gt;=0,COUNTIF(Q28:AL28,"&lt;0")=0),Q$18,99)</f>
        <v>99</v>
      </c>
      <c r="R30" s="0" t="n">
        <f aca="false">IF(AND(R28&gt;=0,COUNTIF(R28:AL28,"&lt;0")=0),R$18,99)</f>
        <v>99</v>
      </c>
      <c r="S30" s="0" t="n">
        <f aca="false">IF(AND(S28&gt;=0,COUNTIF(S28:AL28,"&lt;0")=0),S$18,99)</f>
        <v>99</v>
      </c>
      <c r="T30" s="0" t="n">
        <f aca="false">IF(AND(T28&gt;=0,COUNTIF(T28:AL28,"&lt;0")=0),T$18,99)</f>
        <v>99</v>
      </c>
      <c r="U30" s="0" t="n">
        <f aca="false">IF(AND(U28&gt;=0,COUNTIF(U28:AL28,"&lt;0")=0),U$18,99)</f>
        <v>99</v>
      </c>
      <c r="V30" s="0" t="n">
        <f aca="false">IF(AND(V28&gt;=0,COUNTIF(V28:AL28,"&lt;0")=0),V$18,99)</f>
        <v>99</v>
      </c>
      <c r="W30" s="0" t="n">
        <f aca="false">IF(AND(W28&gt;=0,COUNTIF(W28:AL28,"&lt;0")=0),W$18,99)</f>
        <v>99</v>
      </c>
      <c r="X30" s="0" t="n">
        <f aca="false">IF(AND(X28&gt;=0,COUNTIF(X28:AL28,"&lt;0")=0),X$18,99)</f>
        <v>99</v>
      </c>
      <c r="Y30" s="0" t="n">
        <f aca="false">IF(AND(Y28&gt;=0,COUNTIF(Y28:AL28,"&lt;0")=0),Y$18,99)</f>
        <v>99</v>
      </c>
      <c r="Z30" s="0" t="n">
        <f aca="false">IF(AND(Z28&gt;=0,COUNTIF(Z28:AL28,"&lt;0")=0),Z$18,99)</f>
        <v>99</v>
      </c>
      <c r="AA30" s="0" t="n">
        <f aca="false">IF(AND(AA28&gt;=0,COUNTIF(AA28:AL28,"&lt;0")=0),AA$18,99)</f>
        <v>99</v>
      </c>
      <c r="AB30" s="0" t="n">
        <f aca="false">IF(AND(AB28&gt;=0,COUNTIF(AB28:AL28,"&lt;0")=0),AB$18,99)</f>
        <v>99</v>
      </c>
      <c r="AC30" s="0" t="n">
        <f aca="false">IF(AND(AC28&gt;=0,COUNTIF(AC28:AL28,"&lt;0")=0),AC$18,99)</f>
        <v>99</v>
      </c>
      <c r="AD30" s="0" t="n">
        <f aca="false">IF(AND(AD28&gt;=0,COUNTIF(AD28:AL28,"&lt;0")=0),AD$18,99)</f>
        <v>99</v>
      </c>
      <c r="AE30" s="0" t="n">
        <f aca="false">IF(AND(AE28&gt;=0,COUNTIF(AE28:AL28,"&lt;0")=0),AE$18,99)</f>
        <v>99</v>
      </c>
      <c r="AF30" s="0" t="n">
        <f aca="false">IF(AND(AF28&gt;=0,COUNTIF(AF28:AL28,"&lt;0")=0),AF$18,99)</f>
        <v>99</v>
      </c>
      <c r="AG30" s="0" t="n">
        <f aca="false">IF(AND(AG28&gt;=0,COUNTIF(AG28:AL28,"&lt;0")=0),AG$18,99)</f>
        <v>99</v>
      </c>
      <c r="AH30" s="0" t="n">
        <f aca="false">IF(AND(AH28&gt;=0,COUNTIF(AH28:AL28,"&lt;0")=0),AH$18,99)</f>
        <v>99</v>
      </c>
      <c r="AI30" s="0" t="n">
        <f aca="false">IF(AND(AI28&gt;=0,COUNTIF(AI28:AL28,"&lt;0")=0),AI$18,99)</f>
        <v>99</v>
      </c>
      <c r="AJ30" s="0" t="n">
        <f aca="false">IF(AND(AJ28&gt;=0,COUNTIF(AJ28:AL28,"&lt;0")=0),AJ$18,99)</f>
        <v>99</v>
      </c>
      <c r="AK30" s="0" t="n">
        <f aca="false">IF(AND(AK28&gt;=0,COUNTIF(AK28:AL28,"&lt;0")=0),AK$18,99)</f>
        <v>99</v>
      </c>
      <c r="AL30" s="0" t="n">
        <f aca="false">IF(AND(AL28&gt;=0,COUNTIF(AL28:AL28,"&lt;0")=0),AL$18,99)</f>
        <v>99</v>
      </c>
    </row>
    <row r="32" customFormat="false" ht="15" hidden="false" customHeight="false" outlineLevel="0" collapsed="false">
      <c r="A32" s="1" t="s">
        <v>294</v>
      </c>
      <c r="B32" s="1" t="s">
        <v>252</v>
      </c>
      <c r="C32" s="1" t="n">
        <v>1</v>
      </c>
      <c r="D32" s="1" t="n">
        <v>2</v>
      </c>
      <c r="E32" s="1" t="n">
        <v>3</v>
      </c>
      <c r="F32" s="1" t="n">
        <v>4</v>
      </c>
      <c r="G32" s="1" t="n">
        <v>5</v>
      </c>
      <c r="H32" s="1" t="n">
        <v>6</v>
      </c>
      <c r="I32" s="1" t="n">
        <v>7</v>
      </c>
      <c r="J32" s="1" t="n">
        <v>8</v>
      </c>
      <c r="K32" s="1" t="n">
        <v>9</v>
      </c>
      <c r="L32" s="1" t="n">
        <v>10</v>
      </c>
      <c r="M32" s="1" t="n">
        <v>11</v>
      </c>
      <c r="N32" s="1" t="n">
        <v>12</v>
      </c>
      <c r="O32" s="1" t="n">
        <v>13</v>
      </c>
      <c r="P32" s="1" t="n">
        <v>14</v>
      </c>
      <c r="Q32" s="1" t="n">
        <v>15</v>
      </c>
      <c r="R32" s="1" t="n">
        <v>16</v>
      </c>
      <c r="S32" s="1" t="n">
        <v>17</v>
      </c>
      <c r="T32" s="1" t="n">
        <v>18</v>
      </c>
      <c r="U32" s="1" t="n">
        <v>19</v>
      </c>
      <c r="V32" s="1" t="n">
        <v>20</v>
      </c>
      <c r="W32" s="1" t="n">
        <v>21</v>
      </c>
      <c r="X32" s="1" t="n">
        <v>22</v>
      </c>
      <c r="Y32" s="1" t="n">
        <v>23</v>
      </c>
      <c r="Z32" s="1" t="n">
        <v>24</v>
      </c>
      <c r="AA32" s="1" t="n">
        <v>25</v>
      </c>
      <c r="AB32" s="1" t="n">
        <v>26</v>
      </c>
      <c r="AC32" s="1" t="n">
        <v>27</v>
      </c>
      <c r="AD32" s="1" t="n">
        <v>28</v>
      </c>
      <c r="AE32" s="1" t="n">
        <v>29</v>
      </c>
      <c r="AF32" s="1" t="n">
        <v>30</v>
      </c>
      <c r="AG32" s="1" t="n">
        <v>31</v>
      </c>
      <c r="AH32" s="1" t="n">
        <v>32</v>
      </c>
      <c r="AI32" s="1" t="n">
        <v>33</v>
      </c>
      <c r="AJ32" s="1" t="n">
        <v>34</v>
      </c>
      <c r="AK32" s="1" t="n">
        <v>35</v>
      </c>
      <c r="AL32" s="1" t="n">
        <v>36</v>
      </c>
      <c r="AM32" s="1" t="s">
        <v>253</v>
      </c>
      <c r="AN32" s="1" t="s">
        <v>254</v>
      </c>
      <c r="AO32" s="1" t="s">
        <v>255</v>
      </c>
      <c r="AP32" s="1" t="s">
        <v>256</v>
      </c>
    </row>
    <row r="33" customFormat="false" ht="15" hidden="false" customHeight="false" outlineLevel="0" collapsed="false">
      <c r="A33" s="0" t="s">
        <v>328</v>
      </c>
      <c r="B33" s="0" t="s">
        <v>329</v>
      </c>
      <c r="C33" s="10" t="n">
        <f aca="false">ROUND(Допущения!$E$70*IF(C$32&lt;Допущения!$E$69,0,((C$32-Допущения!$E$69+1)/(36-Допущения!$E$69+1))^1),0)</f>
        <v>0</v>
      </c>
      <c r="D33" s="10" t="n">
        <f aca="false">ROUND(Допущения!$E$70*IF(D$32&lt;Допущения!$E$69,0,((D$32-Допущения!$E$69+1)/(36-Допущения!$E$69+1))^1),0)</f>
        <v>0</v>
      </c>
      <c r="E33" s="10" t="n">
        <f aca="false">ROUND(Допущения!$E$70*IF(E$32&lt;Допущения!$E$69,0,((E$32-Допущения!$E$69+1)/(36-Допущения!$E$69+1))^1),0)</f>
        <v>0</v>
      </c>
      <c r="F33" s="10" t="n">
        <f aca="false">ROUND(Допущения!$E$70*IF(F$32&lt;Допущения!$E$69,0,((F$32-Допущения!$E$69+1)/(36-Допущения!$E$69+1))^1),0)</f>
        <v>0</v>
      </c>
      <c r="G33" s="10" t="n">
        <f aca="false">ROUND(Допущения!$E$70*IF(G$32&lt;Допущения!$E$69,0,((G$32-Допущения!$E$69+1)/(36-Допущения!$E$69+1))^1),0)</f>
        <v>0</v>
      </c>
      <c r="H33" s="10" t="n">
        <f aca="false">ROUND(Допущения!$E$70*IF(H$32&lt;Допущения!$E$69,0,((H$32-Допущения!$E$69+1)/(36-Допущения!$E$69+1))^1),0)</f>
        <v>0</v>
      </c>
      <c r="I33" s="10" t="n">
        <f aca="false">ROUND(Допущения!$E$70*IF(I$32&lt;Допущения!$E$69,0,((I$32-Допущения!$E$69+1)/(36-Допущения!$E$69+1))^1),0)</f>
        <v>1</v>
      </c>
      <c r="J33" s="10" t="n">
        <f aca="false">ROUND(Допущения!$E$70*IF(J$32&lt;Допущения!$E$69,0,((J$32-Допущения!$E$69+1)/(36-Допущения!$E$69+1))^1),0)</f>
        <v>1</v>
      </c>
      <c r="K33" s="10" t="n">
        <f aca="false">ROUND(Допущения!$E$70*IF(K$32&lt;Допущения!$E$69,0,((K$32-Допущения!$E$69+1)/(36-Допущения!$E$69+1))^1),0)</f>
        <v>1</v>
      </c>
      <c r="L33" s="10" t="n">
        <f aca="false">ROUND(Допущения!$E$70*IF(L$32&lt;Допущения!$E$69,0,((L$32-Допущения!$E$69+1)/(36-Допущения!$E$69+1))^1),0)</f>
        <v>1</v>
      </c>
      <c r="M33" s="10" t="n">
        <f aca="false">ROUND(Допущения!$E$70*IF(M$32&lt;Допущения!$E$69,0,((M$32-Допущения!$E$69+1)/(36-Допущения!$E$69+1))^1),0)</f>
        <v>1</v>
      </c>
      <c r="N33" s="10" t="n">
        <f aca="false">ROUND(Допущения!$E$70*IF(N$32&lt;Допущения!$E$69,0,((N$32-Допущения!$E$69+1)/(36-Допущения!$E$69+1))^1),0)</f>
        <v>2</v>
      </c>
      <c r="O33" s="10" t="n">
        <f aca="false">ROUND(Допущения!$E$70*IF(O$32&lt;Допущения!$E$69,0,((O$32-Допущения!$E$69+1)/(36-Допущения!$E$69+1))^1),0)</f>
        <v>2</v>
      </c>
      <c r="P33" s="10" t="n">
        <f aca="false">ROUND(Допущения!$E$70*IF(P$32&lt;Допущения!$E$69,0,((P$32-Допущения!$E$69+1)/(36-Допущения!$E$69+1))^1),0)</f>
        <v>2</v>
      </c>
      <c r="Q33" s="10" t="n">
        <f aca="false">ROUND(Допущения!$E$70*IF(Q$32&lt;Допущения!$E$69,0,((Q$32-Допущения!$E$69+1)/(36-Допущения!$E$69+1))^1),0)</f>
        <v>2</v>
      </c>
      <c r="R33" s="10" t="n">
        <f aca="false">ROUND(Допущения!$E$70*IF(R$32&lt;Допущения!$E$69,0,((R$32-Допущения!$E$69+1)/(36-Допущения!$E$69+1))^1),0)</f>
        <v>2</v>
      </c>
      <c r="S33" s="10" t="n">
        <f aca="false">ROUND(Допущения!$E$70*IF(S$32&lt;Допущения!$E$69,0,((S$32-Допущения!$E$69+1)/(36-Допущения!$E$69+1))^1),0)</f>
        <v>2</v>
      </c>
      <c r="T33" s="10" t="n">
        <f aca="false">ROUND(Допущения!$E$70*IF(T$32&lt;Допущения!$E$69,0,((T$32-Допущения!$E$69+1)/(36-Допущения!$E$69+1))^1),0)</f>
        <v>3</v>
      </c>
      <c r="U33" s="10" t="n">
        <f aca="false">ROUND(Допущения!$E$70*IF(U$32&lt;Допущения!$E$69,0,((U$32-Допущения!$E$69+1)/(36-Допущения!$E$69+1))^1),0)</f>
        <v>3</v>
      </c>
      <c r="V33" s="10" t="n">
        <f aca="false">ROUND(Допущения!$E$70*IF(V$32&lt;Допущения!$E$69,0,((V$32-Допущения!$E$69+1)/(36-Допущения!$E$69+1))^1),0)</f>
        <v>3</v>
      </c>
      <c r="W33" s="10" t="n">
        <f aca="false">ROUND(Допущения!$E$70*IF(W$32&lt;Допущения!$E$69,0,((W$32-Допущения!$E$69+1)/(36-Допущения!$E$69+1))^1),0)</f>
        <v>3</v>
      </c>
      <c r="X33" s="10" t="n">
        <f aca="false">ROUND(Допущения!$E$70*IF(X$32&lt;Допущения!$E$69,0,((X$32-Допущения!$E$69+1)/(36-Допущения!$E$69+1))^1),0)</f>
        <v>3</v>
      </c>
      <c r="Y33" s="10" t="n">
        <f aca="false">ROUND(Допущения!$E$70*IF(Y$32&lt;Допущения!$E$69,0,((Y$32-Допущения!$E$69+1)/(36-Допущения!$E$69+1))^1),0)</f>
        <v>4</v>
      </c>
      <c r="Z33" s="10" t="n">
        <f aca="false">ROUND(Допущения!$E$70*IF(Z$32&lt;Допущения!$E$69,0,((Z$32-Допущения!$E$69+1)/(36-Допущения!$E$69+1))^1),0)</f>
        <v>4</v>
      </c>
      <c r="AA33" s="10" t="n">
        <f aca="false">ROUND(Допущения!$E$70*IF(AA$32&lt;Допущения!$E$69,0,((AA$32-Допущения!$E$69+1)/(36-Допущения!$E$69+1))^1),0)</f>
        <v>4</v>
      </c>
      <c r="AB33" s="10" t="n">
        <f aca="false">ROUND(Допущения!$E$70*IF(AB$32&lt;Допущения!$E$69,0,((AB$32-Допущения!$E$69+1)/(36-Допущения!$E$69+1))^1),0)</f>
        <v>4</v>
      </c>
      <c r="AC33" s="10" t="n">
        <f aca="false">ROUND(Допущения!$E$70*IF(AC$32&lt;Допущения!$E$69,0,((AC$32-Допущения!$E$69+1)/(36-Допущения!$E$69+1))^1),0)</f>
        <v>4</v>
      </c>
      <c r="AD33" s="10" t="n">
        <f aca="false">ROUND(Допущения!$E$70*IF(AD$32&lt;Допущения!$E$69,0,((AD$32-Допущения!$E$69+1)/(36-Допущения!$E$69+1))^1),0)</f>
        <v>5</v>
      </c>
      <c r="AE33" s="10" t="n">
        <f aca="false">ROUND(Допущения!$E$70*IF(AE$32&lt;Допущения!$E$69,0,((AE$32-Допущения!$E$69+1)/(36-Допущения!$E$69+1))^1),0)</f>
        <v>5</v>
      </c>
      <c r="AF33" s="10" t="n">
        <f aca="false">ROUND(Допущения!$E$70*IF(AF$32&lt;Допущения!$E$69,0,((AF$32-Допущения!$E$69+1)/(36-Допущения!$E$69+1))^1),0)</f>
        <v>5</v>
      </c>
      <c r="AG33" s="10" t="n">
        <f aca="false">ROUND(Допущения!$E$70*IF(AG$32&lt;Допущения!$E$69,0,((AG$32-Допущения!$E$69+1)/(36-Допущения!$E$69+1))^1),0)</f>
        <v>5</v>
      </c>
      <c r="AH33" s="10" t="n">
        <f aca="false">ROUND(Допущения!$E$70*IF(AH$32&lt;Допущения!$E$69,0,((AH$32-Допущения!$E$69+1)/(36-Допущения!$E$69+1))^1),0)</f>
        <v>5</v>
      </c>
      <c r="AI33" s="10" t="n">
        <f aca="false">ROUND(Допущения!$E$70*IF(AI$32&lt;Допущения!$E$69,0,((AI$32-Допущения!$E$69+1)/(36-Допущения!$E$69+1))^1),0)</f>
        <v>5</v>
      </c>
      <c r="AJ33" s="10" t="n">
        <f aca="false">ROUND(Допущения!$E$70*IF(AJ$32&lt;Допущения!$E$69,0,((AJ$32-Допущения!$E$69+1)/(36-Допущения!$E$69+1))^1),0)</f>
        <v>6</v>
      </c>
      <c r="AK33" s="10" t="n">
        <f aca="false">ROUND(Допущения!$E$70*IF(AK$32&lt;Допущения!$E$69,0,((AK$32-Допущения!$E$69+1)/(36-Допущения!$E$69+1))^1),0)</f>
        <v>6</v>
      </c>
      <c r="AL33" s="10" t="n">
        <f aca="false">ROUND(Допущения!$E$70*IF(AL$32&lt;Допущения!$E$69,0,((AL$32-Допущения!$E$69+1)/(36-Допущения!$E$69+1))^1),0)</f>
        <v>6</v>
      </c>
      <c r="AM33" s="10" t="n">
        <f aca="false">N33</f>
        <v>2</v>
      </c>
      <c r="AN33" s="10" t="n">
        <f aca="false">Z33</f>
        <v>4</v>
      </c>
      <c r="AO33" s="10" t="n">
        <f aca="false">AL33</f>
        <v>6</v>
      </c>
    </row>
    <row r="34" customFormat="false" ht="15" hidden="false" customHeight="false" outlineLevel="0" collapsed="false">
      <c r="A34" s="0" t="s">
        <v>330</v>
      </c>
      <c r="B34" s="0" t="s">
        <v>331</v>
      </c>
      <c r="C34" s="10" t="n">
        <f aca="false">ROUND(Допущения!$E$73*IF(C$32&lt;Допущения!$E$72,0,((C$32-Допущения!$E$72+1)/(36-Допущения!$E$72+1))^1)+0.49,0)*(C$32&gt;=Допущения!$E$72)</f>
        <v>0</v>
      </c>
      <c r="D34" s="10" t="n">
        <f aca="false">ROUND(Допущения!$E$73*IF(D$32&lt;Допущения!$E$72,0,((D$32-Допущения!$E$72+1)/(36-Допущения!$E$72+1))^1)+0.49,0)*(D$32&gt;=Допущения!$E$72)</f>
        <v>1</v>
      </c>
      <c r="E34" s="10" t="n">
        <f aca="false">ROUND(Допущения!$E$73*IF(E$32&lt;Допущения!$E$72,0,((E$32-Допущения!$E$72+1)/(36-Допущения!$E$72+1))^1)+0.49,0)*(E$32&gt;=Допущения!$E$72)</f>
        <v>1</v>
      </c>
      <c r="F34" s="10" t="n">
        <f aca="false">ROUND(Допущения!$E$73*IF(F$32&lt;Допущения!$E$72,0,((F$32-Допущения!$E$72+1)/(36-Допущения!$E$72+1))^1)+0.49,0)*(F$32&gt;=Допущения!$E$72)</f>
        <v>1</v>
      </c>
      <c r="G34" s="10" t="n">
        <f aca="false">ROUND(Допущения!$E$73*IF(G$32&lt;Допущения!$E$72,0,((G$32-Допущения!$E$72+1)/(36-Допущения!$E$72+1))^1)+0.49,0)*(G$32&gt;=Допущения!$E$72)</f>
        <v>1</v>
      </c>
      <c r="H34" s="10" t="n">
        <f aca="false">ROUND(Допущения!$E$73*IF(H$32&lt;Допущения!$E$72,0,((H$32-Допущения!$E$72+1)/(36-Допущения!$E$72+1))^1)+0.49,0)*(H$32&gt;=Допущения!$E$72)</f>
        <v>1</v>
      </c>
      <c r="I34" s="10" t="n">
        <f aca="false">ROUND(Допущения!$E$73*IF(I$32&lt;Допущения!$E$72,0,((I$32-Допущения!$E$72+1)/(36-Допущения!$E$72+1))^1)+0.49,0)*(I$32&gt;=Допущения!$E$72)</f>
        <v>1</v>
      </c>
      <c r="J34" s="10" t="n">
        <f aca="false">ROUND(Допущения!$E$73*IF(J$32&lt;Допущения!$E$72,0,((J$32-Допущения!$E$72+1)/(36-Допущения!$E$72+1))^1)+0.49,0)*(J$32&gt;=Допущения!$E$72)</f>
        <v>1</v>
      </c>
      <c r="K34" s="10" t="n">
        <f aca="false">ROUND(Допущения!$E$73*IF(K$32&lt;Допущения!$E$72,0,((K$32-Допущения!$E$72+1)/(36-Допущения!$E$72+1))^1)+0.49,0)*(K$32&gt;=Допущения!$E$72)</f>
        <v>1</v>
      </c>
      <c r="L34" s="10" t="n">
        <f aca="false">ROUND(Допущения!$E$73*IF(L$32&lt;Допущения!$E$72,0,((L$32-Допущения!$E$72+1)/(36-Допущения!$E$72+1))^1)+0.49,0)*(L$32&gt;=Допущения!$E$72)</f>
        <v>2</v>
      </c>
      <c r="M34" s="10" t="n">
        <f aca="false">ROUND(Допущения!$E$73*IF(M$32&lt;Допущения!$E$72,0,((M$32-Допущения!$E$72+1)/(36-Допущения!$E$72+1))^1)+0.49,0)*(M$32&gt;=Допущения!$E$72)</f>
        <v>2</v>
      </c>
      <c r="N34" s="10" t="n">
        <f aca="false">ROUND(Допущения!$E$73*IF(N$32&lt;Допущения!$E$72,0,((N$32-Допущения!$E$72+1)/(36-Допущения!$E$72+1))^1)+0.49,0)*(N$32&gt;=Допущения!$E$72)</f>
        <v>2</v>
      </c>
      <c r="O34" s="10" t="n">
        <f aca="false">ROUND(Допущения!$E$73*IF(O$32&lt;Допущения!$E$72,0,((O$32-Допущения!$E$72+1)/(36-Допущения!$E$72+1))^1)+0.49,0)*(O$32&gt;=Допущения!$E$72)</f>
        <v>2</v>
      </c>
      <c r="P34" s="10" t="n">
        <f aca="false">ROUND(Допущения!$E$73*IF(P$32&lt;Допущения!$E$72,0,((P$32-Допущения!$E$72+1)/(36-Допущения!$E$72+1))^1)+0.49,0)*(P$32&gt;=Допущения!$E$72)</f>
        <v>2</v>
      </c>
      <c r="Q34" s="10" t="n">
        <f aca="false">ROUND(Допущения!$E$73*IF(Q$32&lt;Допущения!$E$72,0,((Q$32-Допущения!$E$72+1)/(36-Допущения!$E$72+1))^1)+0.49,0)*(Q$32&gt;=Допущения!$E$72)</f>
        <v>2</v>
      </c>
      <c r="R34" s="10" t="n">
        <f aca="false">ROUND(Допущения!$E$73*IF(R$32&lt;Допущения!$E$72,0,((R$32-Допущения!$E$72+1)/(36-Допущения!$E$72+1))^1)+0.49,0)*(R$32&gt;=Допущения!$E$72)</f>
        <v>2</v>
      </c>
      <c r="S34" s="10" t="n">
        <f aca="false">ROUND(Допущения!$E$73*IF(S$32&lt;Допущения!$E$72,0,((S$32-Допущения!$E$72+1)/(36-Допущения!$E$72+1))^1)+0.49,0)*(S$32&gt;=Допущения!$E$72)</f>
        <v>2</v>
      </c>
      <c r="T34" s="10" t="n">
        <f aca="false">ROUND(Допущения!$E$73*IF(T$32&lt;Допущения!$E$72,0,((T$32-Допущения!$E$72+1)/(36-Допущения!$E$72+1))^1)+0.49,0)*(T$32&gt;=Допущения!$E$72)</f>
        <v>2</v>
      </c>
      <c r="U34" s="10" t="n">
        <f aca="false">ROUND(Допущения!$E$73*IF(U$32&lt;Допущения!$E$72,0,((U$32-Допущения!$E$72+1)/(36-Допущения!$E$72+1))^1)+0.49,0)*(U$32&gt;=Допущения!$E$72)</f>
        <v>3</v>
      </c>
      <c r="V34" s="10" t="n">
        <f aca="false">ROUND(Допущения!$E$73*IF(V$32&lt;Допущения!$E$72,0,((V$32-Допущения!$E$72+1)/(36-Допущения!$E$72+1))^1)+0.49,0)*(V$32&gt;=Допущения!$E$72)</f>
        <v>3</v>
      </c>
      <c r="W34" s="10" t="n">
        <f aca="false">ROUND(Допущения!$E$73*IF(W$32&lt;Допущения!$E$72,0,((W$32-Допущения!$E$72+1)/(36-Допущения!$E$72+1))^1)+0.49,0)*(W$32&gt;=Допущения!$E$72)</f>
        <v>3</v>
      </c>
      <c r="X34" s="10" t="n">
        <f aca="false">ROUND(Допущения!$E$73*IF(X$32&lt;Допущения!$E$72,0,((X$32-Допущения!$E$72+1)/(36-Допущения!$E$72+1))^1)+0.49,0)*(X$32&gt;=Допущения!$E$72)</f>
        <v>3</v>
      </c>
      <c r="Y34" s="10" t="n">
        <f aca="false">ROUND(Допущения!$E$73*IF(Y$32&lt;Допущения!$E$72,0,((Y$32-Допущения!$E$72+1)/(36-Допущения!$E$72+1))^1)+0.49,0)*(Y$32&gt;=Допущения!$E$72)</f>
        <v>3</v>
      </c>
      <c r="Z34" s="10" t="n">
        <f aca="false">ROUND(Допущения!$E$73*IF(Z$32&lt;Допущения!$E$72,0,((Z$32-Допущения!$E$72+1)/(36-Допущения!$E$72+1))^1)+0.49,0)*(Z$32&gt;=Допущения!$E$72)</f>
        <v>3</v>
      </c>
      <c r="AA34" s="10" t="n">
        <f aca="false">ROUND(Допущения!$E$73*IF(AA$32&lt;Допущения!$E$72,0,((AA$32-Допущения!$E$72+1)/(36-Допущения!$E$72+1))^1)+0.49,0)*(AA$32&gt;=Допущения!$E$72)</f>
        <v>3</v>
      </c>
      <c r="AB34" s="10" t="n">
        <f aca="false">ROUND(Допущения!$E$73*IF(AB$32&lt;Допущения!$E$72,0,((AB$32-Допущения!$E$72+1)/(36-Допущения!$E$72+1))^1)+0.49,0)*(AB$32&gt;=Допущения!$E$72)</f>
        <v>3</v>
      </c>
      <c r="AC34" s="10" t="n">
        <f aca="false">ROUND(Допущения!$E$73*IF(AC$32&lt;Допущения!$E$72,0,((AC$32-Допущения!$E$72+1)/(36-Допущения!$E$72+1))^1)+0.49,0)*(AC$32&gt;=Допущения!$E$72)</f>
        <v>3</v>
      </c>
      <c r="AD34" s="10" t="n">
        <f aca="false">ROUND(Допущения!$E$73*IF(AD$32&lt;Допущения!$E$72,0,((AD$32-Допущения!$E$72+1)/(36-Допущения!$E$72+1))^1)+0.49,0)*(AD$32&gt;=Допущения!$E$72)</f>
        <v>4</v>
      </c>
      <c r="AE34" s="10" t="n">
        <f aca="false">ROUND(Допущения!$E$73*IF(AE$32&lt;Допущения!$E$72,0,((AE$32-Допущения!$E$72+1)/(36-Допущения!$E$72+1))^1)+0.49,0)*(AE$32&gt;=Допущения!$E$72)</f>
        <v>4</v>
      </c>
      <c r="AF34" s="10" t="n">
        <f aca="false">ROUND(Допущения!$E$73*IF(AF$32&lt;Допущения!$E$72,0,((AF$32-Допущения!$E$72+1)/(36-Допущения!$E$72+1))^1)+0.49,0)*(AF$32&gt;=Допущения!$E$72)</f>
        <v>4</v>
      </c>
      <c r="AG34" s="10" t="n">
        <f aca="false">ROUND(Допущения!$E$73*IF(AG$32&lt;Допущения!$E$72,0,((AG$32-Допущения!$E$72+1)/(36-Допущения!$E$72+1))^1)+0.49,0)*(AG$32&gt;=Допущения!$E$72)</f>
        <v>4</v>
      </c>
      <c r="AH34" s="10" t="n">
        <f aca="false">ROUND(Допущения!$E$73*IF(AH$32&lt;Допущения!$E$72,0,((AH$32-Допущения!$E$72+1)/(36-Допущения!$E$72+1))^1)+0.49,0)*(AH$32&gt;=Допущения!$E$72)</f>
        <v>4</v>
      </c>
      <c r="AI34" s="10" t="n">
        <f aca="false">ROUND(Допущения!$E$73*IF(AI$32&lt;Допущения!$E$72,0,((AI$32-Допущения!$E$72+1)/(36-Допущения!$E$72+1))^1)+0.49,0)*(AI$32&gt;=Допущения!$E$72)</f>
        <v>4</v>
      </c>
      <c r="AJ34" s="10" t="n">
        <f aca="false">ROUND(Допущения!$E$73*IF(AJ$32&lt;Допущения!$E$72,0,((AJ$32-Допущения!$E$72+1)/(36-Допущения!$E$72+1))^1)+0.49,0)*(AJ$32&gt;=Допущения!$E$72)</f>
        <v>4</v>
      </c>
      <c r="AK34" s="10" t="n">
        <f aca="false">ROUND(Допущения!$E$73*IF(AK$32&lt;Допущения!$E$72,0,((AK$32-Допущения!$E$72+1)/(36-Допущения!$E$72+1))^1)+0.49,0)*(AK$32&gt;=Допущения!$E$72)</f>
        <v>4</v>
      </c>
      <c r="AL34" s="10" t="n">
        <f aca="false">ROUND(Допущения!$E$73*IF(AL$32&lt;Допущения!$E$72,0,((AL$32-Допущения!$E$72+1)/(36-Допущения!$E$72+1))^1)+0.49,0)*(AL$32&gt;=Допущения!$E$72)</f>
        <v>4</v>
      </c>
      <c r="AM34" s="10" t="n">
        <f aca="false">N34</f>
        <v>2</v>
      </c>
      <c r="AN34" s="10" t="n">
        <f aca="false">Z34</f>
        <v>3</v>
      </c>
      <c r="AO34" s="10" t="n">
        <f aca="false">AL34</f>
        <v>4</v>
      </c>
    </row>
    <row r="35" customFormat="false" ht="15" hidden="false" customHeight="false" outlineLevel="0" collapsed="false">
      <c r="A35" s="0" t="s">
        <v>267</v>
      </c>
      <c r="B35" s="0" t="s">
        <v>332</v>
      </c>
      <c r="C35" s="10" t="n">
        <f aca="false">C33*Допущения!$E$71/12+C34*Допущения!$E$74</f>
        <v>0</v>
      </c>
      <c r="D35" s="10" t="n">
        <f aca="false">D33*Допущения!$E$71/12+D34*Допущения!$E$74</f>
        <v>200000</v>
      </c>
      <c r="E35" s="10" t="n">
        <f aca="false">E33*Допущения!$E$71/12+E34*Допущения!$E$74</f>
        <v>200000</v>
      </c>
      <c r="F35" s="10" t="n">
        <f aca="false">F33*Допущения!$E$71/12+F34*Допущения!$E$74</f>
        <v>200000</v>
      </c>
      <c r="G35" s="10" t="n">
        <f aca="false">G33*Допущения!$E$71/12+G34*Допущения!$E$74</f>
        <v>200000</v>
      </c>
      <c r="H35" s="10" t="n">
        <f aca="false">H33*Допущения!$E$71/12+H34*Допущения!$E$74</f>
        <v>200000</v>
      </c>
      <c r="I35" s="10" t="n">
        <f aca="false">I33*Допущения!$E$71/12+I34*Допущения!$E$74</f>
        <v>366666.666666667</v>
      </c>
      <c r="J35" s="10" t="n">
        <f aca="false">J33*Допущения!$E$71/12+J34*Допущения!$E$74</f>
        <v>366666.666666667</v>
      </c>
      <c r="K35" s="10" t="n">
        <f aca="false">K33*Допущения!$E$71/12+K34*Допущения!$E$74</f>
        <v>366666.666666667</v>
      </c>
      <c r="L35" s="10" t="n">
        <f aca="false">L33*Допущения!$E$71/12+L34*Допущения!$E$74</f>
        <v>566666.666666667</v>
      </c>
      <c r="M35" s="10" t="n">
        <f aca="false">M33*Допущения!$E$71/12+M34*Допущения!$E$74</f>
        <v>566666.666666667</v>
      </c>
      <c r="N35" s="10" t="n">
        <f aca="false">N33*Допущения!$E$71/12+N34*Допущения!$E$74</f>
        <v>733333.333333333</v>
      </c>
      <c r="O35" s="10" t="n">
        <f aca="false">O33*Допущения!$E$71/12+O34*Допущения!$E$74</f>
        <v>733333.333333333</v>
      </c>
      <c r="P35" s="10" t="n">
        <f aca="false">P33*Допущения!$E$71/12+P34*Допущения!$E$74</f>
        <v>733333.333333333</v>
      </c>
      <c r="Q35" s="10" t="n">
        <f aca="false">Q33*Допущения!$E$71/12+Q34*Допущения!$E$74</f>
        <v>733333.333333333</v>
      </c>
      <c r="R35" s="10" t="n">
        <f aca="false">R33*Допущения!$E$71/12+R34*Допущения!$E$74</f>
        <v>733333.333333333</v>
      </c>
      <c r="S35" s="10" t="n">
        <f aca="false">S33*Допущения!$E$71/12+S34*Допущения!$E$74</f>
        <v>733333.333333333</v>
      </c>
      <c r="T35" s="10" t="n">
        <f aca="false">T33*Допущения!$E$71/12+T34*Допущения!$E$74</f>
        <v>900000</v>
      </c>
      <c r="U35" s="10" t="n">
        <f aca="false">U33*Допущения!$E$71/12+U34*Допущения!$E$74</f>
        <v>1100000</v>
      </c>
      <c r="V35" s="10" t="n">
        <f aca="false">V33*Допущения!$E$71/12+V34*Допущения!$E$74</f>
        <v>1100000</v>
      </c>
      <c r="W35" s="10" t="n">
        <f aca="false">W33*Допущения!$E$71/12+W34*Допущения!$E$74</f>
        <v>1100000</v>
      </c>
      <c r="X35" s="10" t="n">
        <f aca="false">X33*Допущения!$E$71/12+X34*Допущения!$E$74</f>
        <v>1100000</v>
      </c>
      <c r="Y35" s="10" t="n">
        <f aca="false">Y33*Допущения!$E$71/12+Y34*Допущения!$E$74</f>
        <v>1266666.66666667</v>
      </c>
      <c r="Z35" s="10" t="n">
        <f aca="false">Z33*Допущения!$E$71/12+Z34*Допущения!$E$74</f>
        <v>1266666.66666667</v>
      </c>
      <c r="AA35" s="10" t="n">
        <f aca="false">AA33*Допущения!$E$71/12+AA34*Допущения!$E$74</f>
        <v>1266666.66666667</v>
      </c>
      <c r="AB35" s="10" t="n">
        <f aca="false">AB33*Допущения!$E$71/12+AB34*Допущения!$E$74</f>
        <v>1266666.66666667</v>
      </c>
      <c r="AC35" s="10" t="n">
        <f aca="false">AC33*Допущения!$E$71/12+AC34*Допущения!$E$74</f>
        <v>1266666.66666667</v>
      </c>
      <c r="AD35" s="10" t="n">
        <f aca="false">AD33*Допущения!$E$71/12+AD34*Допущения!$E$74</f>
        <v>1633333.33333333</v>
      </c>
      <c r="AE35" s="10" t="n">
        <f aca="false">AE33*Допущения!$E$71/12+AE34*Допущения!$E$74</f>
        <v>1633333.33333333</v>
      </c>
      <c r="AF35" s="10" t="n">
        <f aca="false">AF33*Допущения!$E$71/12+AF34*Допущения!$E$74</f>
        <v>1633333.33333333</v>
      </c>
      <c r="AG35" s="10" t="n">
        <f aca="false">AG33*Допущения!$E$71/12+AG34*Допущения!$E$74</f>
        <v>1633333.33333333</v>
      </c>
      <c r="AH35" s="10" t="n">
        <f aca="false">AH33*Допущения!$E$71/12+AH34*Допущения!$E$74</f>
        <v>1633333.33333333</v>
      </c>
      <c r="AI35" s="10" t="n">
        <f aca="false">AI33*Допущения!$E$71/12+AI34*Допущения!$E$74</f>
        <v>1633333.33333333</v>
      </c>
      <c r="AJ35" s="10" t="n">
        <f aca="false">AJ33*Допущения!$E$71/12+AJ34*Допущения!$E$74</f>
        <v>1800000</v>
      </c>
      <c r="AK35" s="10" t="n">
        <f aca="false">AK33*Допущения!$E$71/12+AK34*Допущения!$E$74</f>
        <v>1800000</v>
      </c>
      <c r="AL35" s="10" t="n">
        <f aca="false">AL33*Допущения!$E$71/12+AL34*Допущения!$E$74</f>
        <v>1800000</v>
      </c>
      <c r="AM35" s="10" t="n">
        <f aca="false">SUM(C35:N35)</f>
        <v>3966666.66666667</v>
      </c>
      <c r="AN35" s="10" t="n">
        <f aca="false">SUM(O35:Z35)</f>
        <v>11500000</v>
      </c>
      <c r="AO35" s="10" t="n">
        <f aca="false">SUM(AA35:AL35)</f>
        <v>19000000</v>
      </c>
      <c r="AP35" s="10" t="n">
        <f aca="false">SUM(C35:AL35)</f>
        <v>34466666.6666667</v>
      </c>
    </row>
    <row r="36" customFormat="false" ht="15" hidden="false" customHeight="false" outlineLevel="0" collapsed="false">
      <c r="A36" s="0" t="s">
        <v>275</v>
      </c>
      <c r="B36" s="0" t="s">
        <v>333</v>
      </c>
      <c r="C36" s="10" t="n">
        <f aca="false">C33*Допущения!$E$71/12*(1-Допущения!$E$14)+C34*Допущения!$E$74*(Допущения!$E$75-Допущения!$E$14)</f>
        <v>0</v>
      </c>
      <c r="D36" s="10" t="n">
        <f aca="false">D33*Допущения!$E$71/12*(1-Допущения!$E$14)+D34*Допущения!$E$74*(Допущения!$E$75-Допущения!$E$14)</f>
        <v>78000</v>
      </c>
      <c r="E36" s="10" t="n">
        <f aca="false">E33*Допущения!$E$71/12*(1-Допущения!$E$14)+E34*Допущения!$E$74*(Допущения!$E$75-Допущения!$E$14)</f>
        <v>78000</v>
      </c>
      <c r="F36" s="10" t="n">
        <f aca="false">F33*Допущения!$E$71/12*(1-Допущения!$E$14)+F34*Допущения!$E$74*(Допущения!$E$75-Допущения!$E$14)</f>
        <v>78000</v>
      </c>
      <c r="G36" s="10" t="n">
        <f aca="false">G33*Допущения!$E$71/12*(1-Допущения!$E$14)+G34*Допущения!$E$74*(Допущения!$E$75-Допущения!$E$14)</f>
        <v>78000</v>
      </c>
      <c r="H36" s="10" t="n">
        <f aca="false">H33*Допущения!$E$71/12*(1-Допущения!$E$14)+H34*Допущения!$E$74*(Допущения!$E$75-Допущения!$E$14)</f>
        <v>78000</v>
      </c>
      <c r="I36" s="10" t="n">
        <f aca="false">I33*Допущения!$E$71/12*(1-Допущения!$E$14)+I34*Допущения!$E$74*(Допущения!$E$75-Допущения!$E$14)</f>
        <v>234666.666666667</v>
      </c>
      <c r="J36" s="10" t="n">
        <f aca="false">J33*Допущения!$E$71/12*(1-Допущения!$E$14)+J34*Допущения!$E$74*(Допущения!$E$75-Допущения!$E$14)</f>
        <v>234666.666666667</v>
      </c>
      <c r="K36" s="10" t="n">
        <f aca="false">K33*Допущения!$E$71/12*(1-Допущения!$E$14)+K34*Допущения!$E$74*(Допущения!$E$75-Допущения!$E$14)</f>
        <v>234666.666666667</v>
      </c>
      <c r="L36" s="10" t="n">
        <f aca="false">L33*Допущения!$E$71/12*(1-Допущения!$E$14)+L34*Допущения!$E$74*(Допущения!$E$75-Допущения!$E$14)</f>
        <v>312666.666666667</v>
      </c>
      <c r="M36" s="10" t="n">
        <f aca="false">M33*Допущения!$E$71/12*(1-Допущения!$E$14)+M34*Допущения!$E$74*(Допущения!$E$75-Допущения!$E$14)</f>
        <v>312666.666666667</v>
      </c>
      <c r="N36" s="10" t="n">
        <f aca="false">N33*Допущения!$E$71/12*(1-Допущения!$E$14)+N34*Допущения!$E$74*(Допущения!$E$75-Допущения!$E$14)</f>
        <v>469333.333333333</v>
      </c>
      <c r="O36" s="10" t="n">
        <f aca="false">O33*Допущения!$E$71/12*(1-Допущения!$E$14)+O34*Допущения!$E$74*(Допущения!$E$75-Допущения!$E$14)</f>
        <v>469333.333333333</v>
      </c>
      <c r="P36" s="10" t="n">
        <f aca="false">P33*Допущения!$E$71/12*(1-Допущения!$E$14)+P34*Допущения!$E$74*(Допущения!$E$75-Допущения!$E$14)</f>
        <v>469333.333333333</v>
      </c>
      <c r="Q36" s="10" t="n">
        <f aca="false">Q33*Допущения!$E$71/12*(1-Допущения!$E$14)+Q34*Допущения!$E$74*(Допущения!$E$75-Допущения!$E$14)</f>
        <v>469333.333333333</v>
      </c>
      <c r="R36" s="10" t="n">
        <f aca="false">R33*Допущения!$E$71/12*(1-Допущения!$E$14)+R34*Допущения!$E$74*(Допущения!$E$75-Допущения!$E$14)</f>
        <v>469333.333333333</v>
      </c>
      <c r="S36" s="10" t="n">
        <f aca="false">S33*Допущения!$E$71/12*(1-Допущения!$E$14)+S34*Допущения!$E$74*(Допущения!$E$75-Допущения!$E$14)</f>
        <v>469333.333333333</v>
      </c>
      <c r="T36" s="10" t="n">
        <f aca="false">T33*Допущения!$E$71/12*(1-Допущения!$E$14)+T34*Допущения!$E$74*(Допущения!$E$75-Допущения!$E$14)</f>
        <v>626000</v>
      </c>
      <c r="U36" s="10" t="n">
        <f aca="false">U33*Допущения!$E$71/12*(1-Допущения!$E$14)+U34*Допущения!$E$74*(Допущения!$E$75-Допущения!$E$14)</f>
        <v>704000</v>
      </c>
      <c r="V36" s="10" t="n">
        <f aca="false">V33*Допущения!$E$71/12*(1-Допущения!$E$14)+V34*Допущения!$E$74*(Допущения!$E$75-Допущения!$E$14)</f>
        <v>704000</v>
      </c>
      <c r="W36" s="10" t="n">
        <f aca="false">W33*Допущения!$E$71/12*(1-Допущения!$E$14)+W34*Допущения!$E$74*(Допущения!$E$75-Допущения!$E$14)</f>
        <v>704000</v>
      </c>
      <c r="X36" s="10" t="n">
        <f aca="false">X33*Допущения!$E$71/12*(1-Допущения!$E$14)+X34*Допущения!$E$74*(Допущения!$E$75-Допущения!$E$14)</f>
        <v>704000</v>
      </c>
      <c r="Y36" s="10" t="n">
        <f aca="false">Y33*Допущения!$E$71/12*(1-Допущения!$E$14)+Y34*Допущения!$E$74*(Допущения!$E$75-Допущения!$E$14)</f>
        <v>860666.666666667</v>
      </c>
      <c r="Z36" s="10" t="n">
        <f aca="false">Z33*Допущения!$E$71/12*(1-Допущения!$E$14)+Z34*Допущения!$E$74*(Допущения!$E$75-Допущения!$E$14)</f>
        <v>860666.666666667</v>
      </c>
      <c r="AA36" s="10" t="n">
        <f aca="false">AA33*Допущения!$E$71/12*(1-Допущения!$E$14)+AA34*Допущения!$E$74*(Допущения!$E$75-Допущения!$E$14)</f>
        <v>860666.666666667</v>
      </c>
      <c r="AB36" s="10" t="n">
        <f aca="false">AB33*Допущения!$E$71/12*(1-Допущения!$E$14)+AB34*Допущения!$E$74*(Допущения!$E$75-Допущения!$E$14)</f>
        <v>860666.666666667</v>
      </c>
      <c r="AC36" s="10" t="n">
        <f aca="false">AC33*Допущения!$E$71/12*(1-Допущения!$E$14)+AC34*Допущения!$E$74*(Допущения!$E$75-Допущения!$E$14)</f>
        <v>860666.666666667</v>
      </c>
      <c r="AD36" s="10" t="n">
        <f aca="false">AD33*Допущения!$E$71/12*(1-Допущения!$E$14)+AD34*Допущения!$E$74*(Допущения!$E$75-Допущения!$E$14)</f>
        <v>1095333.33333333</v>
      </c>
      <c r="AE36" s="10" t="n">
        <f aca="false">AE33*Допущения!$E$71/12*(1-Допущения!$E$14)+AE34*Допущения!$E$74*(Допущения!$E$75-Допущения!$E$14)</f>
        <v>1095333.33333333</v>
      </c>
      <c r="AF36" s="10" t="n">
        <f aca="false">AF33*Допущения!$E$71/12*(1-Допущения!$E$14)+AF34*Допущения!$E$74*(Допущения!$E$75-Допущения!$E$14)</f>
        <v>1095333.33333333</v>
      </c>
      <c r="AG36" s="10" t="n">
        <f aca="false">AG33*Допущения!$E$71/12*(1-Допущения!$E$14)+AG34*Допущения!$E$74*(Допущения!$E$75-Допущения!$E$14)</f>
        <v>1095333.33333333</v>
      </c>
      <c r="AH36" s="10" t="n">
        <f aca="false">AH33*Допущения!$E$71/12*(1-Допущения!$E$14)+AH34*Допущения!$E$74*(Допущения!$E$75-Допущения!$E$14)</f>
        <v>1095333.33333333</v>
      </c>
      <c r="AI36" s="10" t="n">
        <f aca="false">AI33*Допущения!$E$71/12*(1-Допущения!$E$14)+AI34*Допущения!$E$74*(Допущения!$E$75-Допущения!$E$14)</f>
        <v>1095333.33333333</v>
      </c>
      <c r="AJ36" s="10" t="n">
        <f aca="false">AJ33*Допущения!$E$71/12*(1-Допущения!$E$14)+AJ34*Допущения!$E$74*(Допущения!$E$75-Допущения!$E$14)</f>
        <v>1252000</v>
      </c>
      <c r="AK36" s="10" t="n">
        <f aca="false">AK33*Допущения!$E$71/12*(1-Допущения!$E$14)+AK34*Допущения!$E$74*(Допущения!$E$75-Допущения!$E$14)</f>
        <v>1252000</v>
      </c>
      <c r="AL36" s="10" t="n">
        <f aca="false">AL33*Допущения!$E$71/12*(1-Допущения!$E$14)+AL34*Допущения!$E$74*(Допущения!$E$75-Допущения!$E$14)</f>
        <v>1252000</v>
      </c>
      <c r="AM36" s="10" t="n">
        <f aca="false">SUM(C36:N36)</f>
        <v>2188666.66666667</v>
      </c>
      <c r="AN36" s="10" t="n">
        <f aca="false">SUM(O36:Z36)</f>
        <v>7510000</v>
      </c>
      <c r="AO36" s="10" t="n">
        <f aca="false">SUM(AA36:AL36)</f>
        <v>12910000</v>
      </c>
      <c r="AP36" s="10" t="n">
        <f aca="false">SUM(C36:AL36)</f>
        <v>22608666.6666667</v>
      </c>
    </row>
    <row r="37" customFormat="false" ht="15" hidden="false" customHeight="false" outlineLevel="0" collapsed="false">
      <c r="A37" s="0" t="s">
        <v>277</v>
      </c>
      <c r="B37" s="0" t="s">
        <v>334</v>
      </c>
      <c r="C37" s="10" t="n">
        <f aca="false">0</f>
        <v>0</v>
      </c>
      <c r="D37" s="10" t="n">
        <f aca="false">0</f>
        <v>0</v>
      </c>
      <c r="E37" s="10" t="n">
        <f aca="false">0</f>
        <v>0</v>
      </c>
      <c r="F37" s="10" t="n">
        <f aca="false">0</f>
        <v>0</v>
      </c>
      <c r="G37" s="10" t="n">
        <f aca="false">0</f>
        <v>0</v>
      </c>
      <c r="H37" s="10" t="n">
        <f aca="false">0</f>
        <v>0</v>
      </c>
      <c r="I37" s="10" t="n">
        <f aca="false">0</f>
        <v>0</v>
      </c>
      <c r="J37" s="10" t="n">
        <f aca="false">0</f>
        <v>0</v>
      </c>
      <c r="K37" s="10" t="n">
        <f aca="false">0</f>
        <v>0</v>
      </c>
      <c r="L37" s="10" t="n">
        <f aca="false">0</f>
        <v>0</v>
      </c>
      <c r="M37" s="10" t="n">
        <f aca="false">0</f>
        <v>0</v>
      </c>
      <c r="N37" s="10" t="n">
        <f aca="false">0</f>
        <v>0</v>
      </c>
      <c r="O37" s="10" t="n">
        <f aca="false">0</f>
        <v>0</v>
      </c>
      <c r="P37" s="10" t="n">
        <f aca="false">0</f>
        <v>0</v>
      </c>
      <c r="Q37" s="10" t="n">
        <f aca="false">0</f>
        <v>0</v>
      </c>
      <c r="R37" s="10" t="n">
        <f aca="false">0</f>
        <v>0</v>
      </c>
      <c r="S37" s="10" t="n">
        <f aca="false">0</f>
        <v>0</v>
      </c>
      <c r="T37" s="10" t="n">
        <f aca="false">0</f>
        <v>0</v>
      </c>
      <c r="U37" s="10" t="n">
        <f aca="false">0</f>
        <v>0</v>
      </c>
      <c r="V37" s="10" t="n">
        <f aca="false">0</f>
        <v>0</v>
      </c>
      <c r="W37" s="10" t="n">
        <f aca="false">0</f>
        <v>0</v>
      </c>
      <c r="X37" s="10" t="n">
        <f aca="false">0</f>
        <v>0</v>
      </c>
      <c r="Y37" s="10" t="n">
        <f aca="false">0</f>
        <v>0</v>
      </c>
      <c r="Z37" s="10" t="n">
        <f aca="false">0</f>
        <v>0</v>
      </c>
      <c r="AA37" s="10" t="n">
        <f aca="false">0</f>
        <v>0</v>
      </c>
      <c r="AB37" s="10" t="n">
        <f aca="false">0</f>
        <v>0</v>
      </c>
      <c r="AC37" s="10" t="n">
        <f aca="false">0</f>
        <v>0</v>
      </c>
      <c r="AD37" s="10" t="n">
        <f aca="false">0</f>
        <v>0</v>
      </c>
      <c r="AE37" s="10" t="n">
        <f aca="false">0</f>
        <v>0</v>
      </c>
      <c r="AF37" s="10" t="n">
        <f aca="false">0</f>
        <v>0</v>
      </c>
      <c r="AG37" s="10" t="n">
        <f aca="false">0</f>
        <v>0</v>
      </c>
      <c r="AH37" s="10" t="n">
        <f aca="false">0</f>
        <v>0</v>
      </c>
      <c r="AI37" s="10" t="n">
        <f aca="false">0</f>
        <v>0</v>
      </c>
      <c r="AJ37" s="10" t="n">
        <f aca="false">0</f>
        <v>0</v>
      </c>
      <c r="AK37" s="10" t="n">
        <f aca="false">0</f>
        <v>0</v>
      </c>
      <c r="AL37" s="10" t="n">
        <f aca="false">0</f>
        <v>0</v>
      </c>
      <c r="AM37" s="10" t="n">
        <f aca="false">SUM(C37:N37)</f>
        <v>0</v>
      </c>
      <c r="AN37" s="10" t="n">
        <f aca="false">SUM(O37:Z37)</f>
        <v>0</v>
      </c>
      <c r="AO37" s="10" t="n">
        <f aca="false">SUM(AA37:AL37)</f>
        <v>0</v>
      </c>
      <c r="AP37" s="10" t="n">
        <f aca="false">SUM(C37:AL37)</f>
        <v>0</v>
      </c>
    </row>
    <row r="38" customFormat="false" ht="15" hidden="false" customHeight="false" outlineLevel="0" collapsed="false">
      <c r="A38" s="0" t="s">
        <v>279</v>
      </c>
      <c r="B38" s="0" t="s">
        <v>280</v>
      </c>
      <c r="C38" s="10" t="n">
        <f aca="false">Допущения!$E$17+IF(C$32&gt;=2,Допущения!$E$76,0)</f>
        <v>150000</v>
      </c>
      <c r="D38" s="10" t="n">
        <f aca="false">Допущения!$E$17+IF(D$32&gt;=2,Допущения!$E$76,0)</f>
        <v>240000</v>
      </c>
      <c r="E38" s="10" t="n">
        <f aca="false">Допущения!$E$17+IF(E$32&gt;=2,Допущения!$E$76,0)</f>
        <v>240000</v>
      </c>
      <c r="F38" s="10" t="n">
        <f aca="false">Допущения!$E$17+IF(F$32&gt;=2,Допущения!$E$76,0)</f>
        <v>240000</v>
      </c>
      <c r="G38" s="10" t="n">
        <f aca="false">Допущения!$E$17+IF(G$32&gt;=2,Допущения!$E$76,0)</f>
        <v>240000</v>
      </c>
      <c r="H38" s="10" t="n">
        <f aca="false">Допущения!$E$17+IF(H$32&gt;=2,Допущения!$E$76,0)</f>
        <v>240000</v>
      </c>
      <c r="I38" s="10" t="n">
        <f aca="false">Допущения!$E$17+IF(I$32&gt;=2,Допущения!$E$76,0)</f>
        <v>240000</v>
      </c>
      <c r="J38" s="10" t="n">
        <f aca="false">Допущения!$E$17+IF(J$32&gt;=2,Допущения!$E$76,0)</f>
        <v>240000</v>
      </c>
      <c r="K38" s="10" t="n">
        <f aca="false">Допущения!$E$17+IF(K$32&gt;=2,Допущения!$E$76,0)</f>
        <v>240000</v>
      </c>
      <c r="L38" s="10" t="n">
        <f aca="false">Допущения!$E$17+IF(L$32&gt;=2,Допущения!$E$76,0)</f>
        <v>240000</v>
      </c>
      <c r="M38" s="10" t="n">
        <f aca="false">Допущения!$E$17+IF(M$32&gt;=2,Допущения!$E$76,0)</f>
        <v>240000</v>
      </c>
      <c r="N38" s="10" t="n">
        <f aca="false">Допущения!$E$17+IF(N$32&gt;=2,Допущения!$E$76,0)</f>
        <v>240000</v>
      </c>
      <c r="O38" s="10" t="n">
        <f aca="false">Допущения!$E$17+IF(O$32&gt;=2,Допущения!$E$76,0)</f>
        <v>240000</v>
      </c>
      <c r="P38" s="10" t="n">
        <f aca="false">Допущения!$E$17+IF(P$32&gt;=2,Допущения!$E$76,0)</f>
        <v>240000</v>
      </c>
      <c r="Q38" s="10" t="n">
        <f aca="false">Допущения!$E$17+IF(Q$32&gt;=2,Допущения!$E$76,0)</f>
        <v>240000</v>
      </c>
      <c r="R38" s="10" t="n">
        <f aca="false">Допущения!$E$17+IF(R$32&gt;=2,Допущения!$E$76,0)</f>
        <v>240000</v>
      </c>
      <c r="S38" s="10" t="n">
        <f aca="false">Допущения!$E$17+IF(S$32&gt;=2,Допущения!$E$76,0)</f>
        <v>240000</v>
      </c>
      <c r="T38" s="10" t="n">
        <f aca="false">Допущения!$E$17+IF(T$32&gt;=2,Допущения!$E$76,0)</f>
        <v>240000</v>
      </c>
      <c r="U38" s="10" t="n">
        <f aca="false">Допущения!$E$17+IF(U$32&gt;=2,Допущения!$E$76,0)</f>
        <v>240000</v>
      </c>
      <c r="V38" s="10" t="n">
        <f aca="false">Допущения!$E$17+IF(V$32&gt;=2,Допущения!$E$76,0)</f>
        <v>240000</v>
      </c>
      <c r="W38" s="10" t="n">
        <f aca="false">Допущения!$E$17+IF(W$32&gt;=2,Допущения!$E$76,0)</f>
        <v>240000</v>
      </c>
      <c r="X38" s="10" t="n">
        <f aca="false">Допущения!$E$17+IF(X$32&gt;=2,Допущения!$E$76,0)</f>
        <v>240000</v>
      </c>
      <c r="Y38" s="10" t="n">
        <f aca="false">Допущения!$E$17+IF(Y$32&gt;=2,Допущения!$E$76,0)</f>
        <v>240000</v>
      </c>
      <c r="Z38" s="10" t="n">
        <f aca="false">Допущения!$E$17+IF(Z$32&gt;=2,Допущения!$E$76,0)</f>
        <v>240000</v>
      </c>
      <c r="AA38" s="10" t="n">
        <f aca="false">Допущения!$E$17+IF(AA$32&gt;=2,Допущения!$E$76,0)</f>
        <v>240000</v>
      </c>
      <c r="AB38" s="10" t="n">
        <f aca="false">Допущения!$E$17+IF(AB$32&gt;=2,Допущения!$E$76,0)</f>
        <v>240000</v>
      </c>
      <c r="AC38" s="10" t="n">
        <f aca="false">Допущения!$E$17+IF(AC$32&gt;=2,Допущения!$E$76,0)</f>
        <v>240000</v>
      </c>
      <c r="AD38" s="10" t="n">
        <f aca="false">Допущения!$E$17+IF(AD$32&gt;=2,Допущения!$E$76,0)</f>
        <v>240000</v>
      </c>
      <c r="AE38" s="10" t="n">
        <f aca="false">Допущения!$E$17+IF(AE$32&gt;=2,Допущения!$E$76,0)</f>
        <v>240000</v>
      </c>
      <c r="AF38" s="10" t="n">
        <f aca="false">Допущения!$E$17+IF(AF$32&gt;=2,Допущения!$E$76,0)</f>
        <v>240000</v>
      </c>
      <c r="AG38" s="10" t="n">
        <f aca="false">Допущения!$E$17+IF(AG$32&gt;=2,Допущения!$E$76,0)</f>
        <v>240000</v>
      </c>
      <c r="AH38" s="10" t="n">
        <f aca="false">Допущения!$E$17+IF(AH$32&gt;=2,Допущения!$E$76,0)</f>
        <v>240000</v>
      </c>
      <c r="AI38" s="10" t="n">
        <f aca="false">Допущения!$E$17+IF(AI$32&gt;=2,Допущения!$E$76,0)</f>
        <v>240000</v>
      </c>
      <c r="AJ38" s="10" t="n">
        <f aca="false">Допущения!$E$17+IF(AJ$32&gt;=2,Допущения!$E$76,0)</f>
        <v>240000</v>
      </c>
      <c r="AK38" s="10" t="n">
        <f aca="false">Допущения!$E$17+IF(AK$32&gt;=2,Допущения!$E$76,0)</f>
        <v>240000</v>
      </c>
      <c r="AL38" s="10" t="n">
        <f aca="false">Допущения!$E$17+IF(AL$32&gt;=2,Допущения!$E$76,0)</f>
        <v>240000</v>
      </c>
      <c r="AM38" s="10" t="n">
        <f aca="false">SUM(C38:N38)</f>
        <v>2790000</v>
      </c>
      <c r="AN38" s="10" t="n">
        <f aca="false">SUM(O38:Z38)</f>
        <v>2880000</v>
      </c>
      <c r="AO38" s="10" t="n">
        <f aca="false">SUM(AA38:AL38)</f>
        <v>2880000</v>
      </c>
      <c r="AP38" s="10" t="n">
        <f aca="false">SUM(C38:AL38)</f>
        <v>8550000</v>
      </c>
    </row>
    <row r="39" customFormat="false" ht="15" hidden="false" customHeight="false" outlineLevel="0" collapsed="false">
      <c r="A39" s="1" t="s">
        <v>281</v>
      </c>
      <c r="B39" s="1" t="s">
        <v>282</v>
      </c>
      <c r="C39" s="11" t="n">
        <f aca="false">C36-C38-C37</f>
        <v>-150000</v>
      </c>
      <c r="D39" s="11" t="n">
        <f aca="false">D36-D38-D37</f>
        <v>-162000</v>
      </c>
      <c r="E39" s="11" t="n">
        <f aca="false">E36-E38-E37</f>
        <v>-162000</v>
      </c>
      <c r="F39" s="11" t="n">
        <f aca="false">F36-F38-F37</f>
        <v>-162000</v>
      </c>
      <c r="G39" s="11" t="n">
        <f aca="false">G36-G38-G37</f>
        <v>-162000</v>
      </c>
      <c r="H39" s="11" t="n">
        <f aca="false">H36-H38-H37</f>
        <v>-162000</v>
      </c>
      <c r="I39" s="11" t="n">
        <f aca="false">I36-I38-I37</f>
        <v>-5333.33333333334</v>
      </c>
      <c r="J39" s="11" t="n">
        <f aca="false">J36-J38-J37</f>
        <v>-5333.33333333334</v>
      </c>
      <c r="K39" s="11" t="n">
        <f aca="false">K36-K38-K37</f>
        <v>-5333.33333333334</v>
      </c>
      <c r="L39" s="11" t="n">
        <f aca="false">L36-L38-L37</f>
        <v>72666.6666666666</v>
      </c>
      <c r="M39" s="11" t="n">
        <f aca="false">M36-M38-M37</f>
        <v>72666.6666666666</v>
      </c>
      <c r="N39" s="11" t="n">
        <f aca="false">N36-N38-N37</f>
        <v>229333.333333333</v>
      </c>
      <c r="O39" s="11" t="n">
        <f aca="false">O36-O38-O37</f>
        <v>229333.333333333</v>
      </c>
      <c r="P39" s="11" t="n">
        <f aca="false">P36-P38-P37</f>
        <v>229333.333333333</v>
      </c>
      <c r="Q39" s="11" t="n">
        <f aca="false">Q36-Q38-Q37</f>
        <v>229333.333333333</v>
      </c>
      <c r="R39" s="11" t="n">
        <f aca="false">R36-R38-R37</f>
        <v>229333.333333333</v>
      </c>
      <c r="S39" s="11" t="n">
        <f aca="false">S36-S38-S37</f>
        <v>229333.333333333</v>
      </c>
      <c r="T39" s="11" t="n">
        <f aca="false">T36-T38-T37</f>
        <v>386000</v>
      </c>
      <c r="U39" s="11" t="n">
        <f aca="false">U36-U38-U37</f>
        <v>464000</v>
      </c>
      <c r="V39" s="11" t="n">
        <f aca="false">V36-V38-V37</f>
        <v>464000</v>
      </c>
      <c r="W39" s="11" t="n">
        <f aca="false">W36-W38-W37</f>
        <v>464000</v>
      </c>
      <c r="X39" s="11" t="n">
        <f aca="false">X36-X38-X37</f>
        <v>464000</v>
      </c>
      <c r="Y39" s="11" t="n">
        <f aca="false">Y36-Y38-Y37</f>
        <v>620666.666666667</v>
      </c>
      <c r="Z39" s="11" t="n">
        <f aca="false">Z36-Z38-Z37</f>
        <v>620666.666666667</v>
      </c>
      <c r="AA39" s="11" t="n">
        <f aca="false">AA36-AA38-AA37</f>
        <v>620666.666666667</v>
      </c>
      <c r="AB39" s="11" t="n">
        <f aca="false">AB36-AB38-AB37</f>
        <v>620666.666666667</v>
      </c>
      <c r="AC39" s="11" t="n">
        <f aca="false">AC36-AC38-AC37</f>
        <v>620666.666666667</v>
      </c>
      <c r="AD39" s="11" t="n">
        <f aca="false">AD36-AD38-AD37</f>
        <v>855333.333333334</v>
      </c>
      <c r="AE39" s="11" t="n">
        <f aca="false">AE36-AE38-AE37</f>
        <v>855333.333333334</v>
      </c>
      <c r="AF39" s="11" t="n">
        <f aca="false">AF36-AF38-AF37</f>
        <v>855333.333333334</v>
      </c>
      <c r="AG39" s="11" t="n">
        <f aca="false">AG36-AG38-AG37</f>
        <v>855333.333333334</v>
      </c>
      <c r="AH39" s="11" t="n">
        <f aca="false">AH36-AH38-AH37</f>
        <v>855333.333333334</v>
      </c>
      <c r="AI39" s="11" t="n">
        <f aca="false">AI36-AI38-AI37</f>
        <v>855333.333333334</v>
      </c>
      <c r="AJ39" s="11" t="n">
        <f aca="false">AJ36-AJ38-AJ37</f>
        <v>1012000</v>
      </c>
      <c r="AK39" s="11" t="n">
        <f aca="false">AK36-AK38-AK37</f>
        <v>1012000</v>
      </c>
      <c r="AL39" s="11" t="n">
        <f aca="false">AL36-AL38-AL37</f>
        <v>1012000</v>
      </c>
      <c r="AM39" s="11" t="n">
        <f aca="false">SUM(C39:N39)</f>
        <v>-601333.333333334</v>
      </c>
      <c r="AN39" s="11" t="n">
        <f aca="false">SUM(O39:Z39)</f>
        <v>4630000</v>
      </c>
      <c r="AO39" s="11" t="n">
        <f aca="false">SUM(AA39:AL39)</f>
        <v>10030000</v>
      </c>
      <c r="AP39" s="11" t="n">
        <f aca="false">SUM(C39:AL39)</f>
        <v>14058666.6666667</v>
      </c>
    </row>
    <row r="40" customFormat="false" ht="15" hidden="false" customHeight="false" outlineLevel="0" collapsed="false">
      <c r="A40" s="0" t="s">
        <v>283</v>
      </c>
      <c r="B40" s="0" t="s">
        <v>284</v>
      </c>
      <c r="C40" s="10" t="n">
        <f aca="false">IF(C$32=1,Допущения!$E$19+Допущения!$E$77,0)</f>
        <v>200000</v>
      </c>
      <c r="D40" s="10" t="n">
        <f aca="false">IF(D$32=1,Допущения!$E$19+Допущения!$E$77,0)</f>
        <v>0</v>
      </c>
      <c r="E40" s="10" t="n">
        <f aca="false">IF(E$32=1,Допущения!$E$19+Допущения!$E$77,0)</f>
        <v>0</v>
      </c>
      <c r="F40" s="10" t="n">
        <f aca="false">IF(F$32=1,Допущения!$E$19+Допущения!$E$77,0)</f>
        <v>0</v>
      </c>
      <c r="G40" s="10" t="n">
        <f aca="false">IF(G$32=1,Допущения!$E$19+Допущения!$E$77,0)</f>
        <v>0</v>
      </c>
      <c r="H40" s="10" t="n">
        <f aca="false">IF(H$32=1,Допущения!$E$19+Допущения!$E$77,0)</f>
        <v>0</v>
      </c>
      <c r="I40" s="10" t="n">
        <f aca="false">IF(I$32=1,Допущения!$E$19+Допущения!$E$77,0)</f>
        <v>0</v>
      </c>
      <c r="J40" s="10" t="n">
        <f aca="false">IF(J$32=1,Допущения!$E$19+Допущения!$E$77,0)</f>
        <v>0</v>
      </c>
      <c r="K40" s="10" t="n">
        <f aca="false">IF(K$32=1,Допущения!$E$19+Допущения!$E$77,0)</f>
        <v>0</v>
      </c>
      <c r="L40" s="10" t="n">
        <f aca="false">IF(L$32=1,Допущения!$E$19+Допущения!$E$77,0)</f>
        <v>0</v>
      </c>
      <c r="M40" s="10" t="n">
        <f aca="false">IF(M$32=1,Допущения!$E$19+Допущения!$E$77,0)</f>
        <v>0</v>
      </c>
      <c r="N40" s="10" t="n">
        <f aca="false">IF(N$32=1,Допущения!$E$19+Допущения!$E$77,0)</f>
        <v>0</v>
      </c>
      <c r="O40" s="10" t="n">
        <f aca="false">IF(O$32=1,Допущения!$E$19+Допущения!$E$77,0)</f>
        <v>0</v>
      </c>
      <c r="P40" s="10" t="n">
        <f aca="false">IF(P$32=1,Допущения!$E$19+Допущения!$E$77,0)</f>
        <v>0</v>
      </c>
      <c r="Q40" s="10" t="n">
        <f aca="false">IF(Q$32=1,Допущения!$E$19+Допущения!$E$77,0)</f>
        <v>0</v>
      </c>
      <c r="R40" s="10" t="n">
        <f aca="false">IF(R$32=1,Допущения!$E$19+Допущения!$E$77,0)</f>
        <v>0</v>
      </c>
      <c r="S40" s="10" t="n">
        <f aca="false">IF(S$32=1,Допущения!$E$19+Допущения!$E$77,0)</f>
        <v>0</v>
      </c>
      <c r="T40" s="10" t="n">
        <f aca="false">IF(T$32=1,Допущения!$E$19+Допущения!$E$77,0)</f>
        <v>0</v>
      </c>
      <c r="U40" s="10" t="n">
        <f aca="false">IF(U$32=1,Допущения!$E$19+Допущения!$E$77,0)</f>
        <v>0</v>
      </c>
      <c r="V40" s="10" t="n">
        <f aca="false">IF(V$32=1,Допущения!$E$19+Допущения!$E$77,0)</f>
        <v>0</v>
      </c>
      <c r="W40" s="10" t="n">
        <f aca="false">IF(W$32=1,Допущения!$E$19+Допущения!$E$77,0)</f>
        <v>0</v>
      </c>
      <c r="X40" s="10" t="n">
        <f aca="false">IF(X$32=1,Допущения!$E$19+Допущения!$E$77,0)</f>
        <v>0</v>
      </c>
      <c r="Y40" s="10" t="n">
        <f aca="false">IF(Y$32=1,Допущения!$E$19+Допущения!$E$77,0)</f>
        <v>0</v>
      </c>
      <c r="Z40" s="10" t="n">
        <f aca="false">IF(Z$32=1,Допущения!$E$19+Допущения!$E$77,0)</f>
        <v>0</v>
      </c>
      <c r="AA40" s="10" t="n">
        <f aca="false">IF(AA$32=1,Допущения!$E$19+Допущения!$E$77,0)</f>
        <v>0</v>
      </c>
      <c r="AB40" s="10" t="n">
        <f aca="false">IF(AB$32=1,Допущения!$E$19+Допущения!$E$77,0)</f>
        <v>0</v>
      </c>
      <c r="AC40" s="10" t="n">
        <f aca="false">IF(AC$32=1,Допущения!$E$19+Допущения!$E$77,0)</f>
        <v>0</v>
      </c>
      <c r="AD40" s="10" t="n">
        <f aca="false">IF(AD$32=1,Допущения!$E$19+Допущения!$E$77,0)</f>
        <v>0</v>
      </c>
      <c r="AE40" s="10" t="n">
        <f aca="false">IF(AE$32=1,Допущения!$E$19+Допущения!$E$77,0)</f>
        <v>0</v>
      </c>
      <c r="AF40" s="10" t="n">
        <f aca="false">IF(AF$32=1,Допущения!$E$19+Допущения!$E$77,0)</f>
        <v>0</v>
      </c>
      <c r="AG40" s="10" t="n">
        <f aca="false">IF(AG$32=1,Допущения!$E$19+Допущения!$E$77,0)</f>
        <v>0</v>
      </c>
      <c r="AH40" s="10" t="n">
        <f aca="false">IF(AH$32=1,Допущения!$E$19+Допущения!$E$77,0)</f>
        <v>0</v>
      </c>
      <c r="AI40" s="10" t="n">
        <f aca="false">IF(AI$32=1,Допущения!$E$19+Допущения!$E$77,0)</f>
        <v>0</v>
      </c>
      <c r="AJ40" s="10" t="n">
        <f aca="false">IF(AJ$32=1,Допущения!$E$19+Допущения!$E$77,0)</f>
        <v>0</v>
      </c>
      <c r="AK40" s="10" t="n">
        <f aca="false">IF(AK$32=1,Допущения!$E$19+Допущения!$E$77,0)</f>
        <v>0</v>
      </c>
      <c r="AL40" s="10" t="n">
        <f aca="false">IF(AL$32=1,Допущения!$E$19+Допущения!$E$77,0)</f>
        <v>0</v>
      </c>
      <c r="AM40" s="10" t="n">
        <f aca="false">SUM(C40:N40)</f>
        <v>200000</v>
      </c>
      <c r="AN40" s="10" t="n">
        <f aca="false">SUM(O40:Z40)</f>
        <v>0</v>
      </c>
      <c r="AO40" s="10" t="n">
        <f aca="false">SUM(AA40:AL40)</f>
        <v>0</v>
      </c>
      <c r="AP40" s="10" t="n">
        <f aca="false">SUM(C40:AL40)</f>
        <v>200000</v>
      </c>
    </row>
    <row r="41" customFormat="false" ht="15" hidden="false" customHeight="false" outlineLevel="0" collapsed="false">
      <c r="A41" s="1" t="s">
        <v>285</v>
      </c>
      <c r="B41" s="1" t="s">
        <v>286</v>
      </c>
      <c r="C41" s="11" t="n">
        <f aca="false">C39-C40</f>
        <v>-350000</v>
      </c>
      <c r="D41" s="11" t="n">
        <f aca="false">D39-D40</f>
        <v>-162000</v>
      </c>
      <c r="E41" s="11" t="n">
        <f aca="false">E39-E40</f>
        <v>-162000</v>
      </c>
      <c r="F41" s="11" t="n">
        <f aca="false">F39-F40</f>
        <v>-162000</v>
      </c>
      <c r="G41" s="11" t="n">
        <f aca="false">G39-G40</f>
        <v>-162000</v>
      </c>
      <c r="H41" s="11" t="n">
        <f aca="false">H39-H40</f>
        <v>-162000</v>
      </c>
      <c r="I41" s="11" t="n">
        <f aca="false">I39-I40</f>
        <v>-5333.33333333334</v>
      </c>
      <c r="J41" s="11" t="n">
        <f aca="false">J39-J40</f>
        <v>-5333.33333333334</v>
      </c>
      <c r="K41" s="11" t="n">
        <f aca="false">K39-K40</f>
        <v>-5333.33333333334</v>
      </c>
      <c r="L41" s="11" t="n">
        <f aca="false">L39-L40</f>
        <v>72666.6666666666</v>
      </c>
      <c r="M41" s="11" t="n">
        <f aca="false">M39-M40</f>
        <v>72666.6666666666</v>
      </c>
      <c r="N41" s="11" t="n">
        <f aca="false">N39-N40</f>
        <v>229333.333333333</v>
      </c>
      <c r="O41" s="11" t="n">
        <f aca="false">O39-O40</f>
        <v>229333.333333333</v>
      </c>
      <c r="P41" s="11" t="n">
        <f aca="false">P39-P40</f>
        <v>229333.333333333</v>
      </c>
      <c r="Q41" s="11" t="n">
        <f aca="false">Q39-Q40</f>
        <v>229333.333333333</v>
      </c>
      <c r="R41" s="11" t="n">
        <f aca="false">R39-R40</f>
        <v>229333.333333333</v>
      </c>
      <c r="S41" s="11" t="n">
        <f aca="false">S39-S40</f>
        <v>229333.333333333</v>
      </c>
      <c r="T41" s="11" t="n">
        <f aca="false">T39-T40</f>
        <v>386000</v>
      </c>
      <c r="U41" s="11" t="n">
        <f aca="false">U39-U40</f>
        <v>464000</v>
      </c>
      <c r="V41" s="11" t="n">
        <f aca="false">V39-V40</f>
        <v>464000</v>
      </c>
      <c r="W41" s="11" t="n">
        <f aca="false">W39-W40</f>
        <v>464000</v>
      </c>
      <c r="X41" s="11" t="n">
        <f aca="false">X39-X40</f>
        <v>464000</v>
      </c>
      <c r="Y41" s="11" t="n">
        <f aca="false">Y39-Y40</f>
        <v>620666.666666667</v>
      </c>
      <c r="Z41" s="11" t="n">
        <f aca="false">Z39-Z40</f>
        <v>620666.666666667</v>
      </c>
      <c r="AA41" s="11" t="n">
        <f aca="false">AA39-AA40</f>
        <v>620666.666666667</v>
      </c>
      <c r="AB41" s="11" t="n">
        <f aca="false">AB39-AB40</f>
        <v>620666.666666667</v>
      </c>
      <c r="AC41" s="11" t="n">
        <f aca="false">AC39-AC40</f>
        <v>620666.666666667</v>
      </c>
      <c r="AD41" s="11" t="n">
        <f aca="false">AD39-AD40</f>
        <v>855333.333333334</v>
      </c>
      <c r="AE41" s="11" t="n">
        <f aca="false">AE39-AE40</f>
        <v>855333.333333334</v>
      </c>
      <c r="AF41" s="11" t="n">
        <f aca="false">AF39-AF40</f>
        <v>855333.333333334</v>
      </c>
      <c r="AG41" s="11" t="n">
        <f aca="false">AG39-AG40</f>
        <v>855333.333333334</v>
      </c>
      <c r="AH41" s="11" t="n">
        <f aca="false">AH39-AH40</f>
        <v>855333.333333334</v>
      </c>
      <c r="AI41" s="11" t="n">
        <f aca="false">AI39-AI40</f>
        <v>855333.333333334</v>
      </c>
      <c r="AJ41" s="11" t="n">
        <f aca="false">AJ39-AJ40</f>
        <v>1012000</v>
      </c>
      <c r="AK41" s="11" t="n">
        <f aca="false">AK39-AK40</f>
        <v>1012000</v>
      </c>
      <c r="AL41" s="11" t="n">
        <f aca="false">AL39-AL40</f>
        <v>1012000</v>
      </c>
      <c r="AM41" s="11" t="n">
        <f aca="false">SUM(C41:N41)</f>
        <v>-801333.333333334</v>
      </c>
      <c r="AN41" s="11" t="n">
        <f aca="false">SUM(O41:Z41)</f>
        <v>4630000</v>
      </c>
      <c r="AO41" s="11" t="n">
        <f aca="false">SUM(AA41:AL41)</f>
        <v>10030000</v>
      </c>
      <c r="AP41" s="11" t="n">
        <f aca="false">SUM(C41:AL41)</f>
        <v>13858666.6666667</v>
      </c>
    </row>
    <row r="42" customFormat="false" ht="15" hidden="false" customHeight="false" outlineLevel="0" collapsed="false">
      <c r="A42" s="1" t="s">
        <v>287</v>
      </c>
      <c r="B42" s="1" t="s">
        <v>288</v>
      </c>
      <c r="C42" s="11" t="n">
        <f aca="false">0+C41</f>
        <v>-350000</v>
      </c>
      <c r="D42" s="11" t="n">
        <f aca="false">C42+D41</f>
        <v>-512000</v>
      </c>
      <c r="E42" s="11" t="n">
        <f aca="false">D42+E41</f>
        <v>-674000</v>
      </c>
      <c r="F42" s="11" t="n">
        <f aca="false">E42+F41</f>
        <v>-836000</v>
      </c>
      <c r="G42" s="11" t="n">
        <f aca="false">F42+G41</f>
        <v>-998000</v>
      </c>
      <c r="H42" s="11" t="n">
        <f aca="false">G42+H41</f>
        <v>-1160000</v>
      </c>
      <c r="I42" s="11" t="n">
        <f aca="false">H42+I41</f>
        <v>-1165333.33333333</v>
      </c>
      <c r="J42" s="11" t="n">
        <f aca="false">I42+J41</f>
        <v>-1170666.66666667</v>
      </c>
      <c r="K42" s="11" t="n">
        <f aca="false">J42+K41</f>
        <v>-1176000</v>
      </c>
      <c r="L42" s="11" t="n">
        <f aca="false">K42+L41</f>
        <v>-1103333.33333333</v>
      </c>
      <c r="M42" s="11" t="n">
        <f aca="false">L42+M41</f>
        <v>-1030666.66666667</v>
      </c>
      <c r="N42" s="11" t="n">
        <f aca="false">M42+N41</f>
        <v>-801333.333333333</v>
      </c>
      <c r="O42" s="11" t="n">
        <f aca="false">N42+O41</f>
        <v>-572000</v>
      </c>
      <c r="P42" s="11" t="n">
        <f aca="false">O42+P41</f>
        <v>-342666.666666666</v>
      </c>
      <c r="Q42" s="11" t="n">
        <f aca="false">P42+Q41</f>
        <v>-113333.333333333</v>
      </c>
      <c r="R42" s="11" t="n">
        <f aca="false">Q42+R41</f>
        <v>116000</v>
      </c>
      <c r="S42" s="11" t="n">
        <f aca="false">R42+S41</f>
        <v>345333.333333334</v>
      </c>
      <c r="T42" s="11" t="n">
        <f aca="false">S42+T41</f>
        <v>731333.333333334</v>
      </c>
      <c r="U42" s="11" t="n">
        <f aca="false">T42+U41</f>
        <v>1195333.33333333</v>
      </c>
      <c r="V42" s="11" t="n">
        <f aca="false">U42+V41</f>
        <v>1659333.33333333</v>
      </c>
      <c r="W42" s="11" t="n">
        <f aca="false">V42+W41</f>
        <v>2123333.33333333</v>
      </c>
      <c r="X42" s="11" t="n">
        <f aca="false">W42+X41</f>
        <v>2587333.33333333</v>
      </c>
      <c r="Y42" s="11" t="n">
        <f aca="false">X42+Y41</f>
        <v>3208000</v>
      </c>
      <c r="Z42" s="11" t="n">
        <f aca="false">Y42+Z41</f>
        <v>3828666.66666667</v>
      </c>
      <c r="AA42" s="11" t="n">
        <f aca="false">Z42+AA41</f>
        <v>4449333.33333333</v>
      </c>
      <c r="AB42" s="11" t="n">
        <f aca="false">AA42+AB41</f>
        <v>5070000</v>
      </c>
      <c r="AC42" s="11" t="n">
        <f aca="false">AB42+AC41</f>
        <v>5690666.66666667</v>
      </c>
      <c r="AD42" s="11" t="n">
        <f aca="false">AC42+AD41</f>
        <v>6546000</v>
      </c>
      <c r="AE42" s="11" t="n">
        <f aca="false">AD42+AE41</f>
        <v>7401333.33333333</v>
      </c>
      <c r="AF42" s="11" t="n">
        <f aca="false">AE42+AF41</f>
        <v>8256666.66666667</v>
      </c>
      <c r="AG42" s="11" t="n">
        <f aca="false">AF42+AG41</f>
        <v>9112000</v>
      </c>
      <c r="AH42" s="11" t="n">
        <f aca="false">AG42+AH41</f>
        <v>9967333.33333334</v>
      </c>
      <c r="AI42" s="11" t="n">
        <f aca="false">AH42+AI41</f>
        <v>10822666.6666667</v>
      </c>
      <c r="AJ42" s="11" t="n">
        <f aca="false">AI42+AJ41</f>
        <v>11834666.6666667</v>
      </c>
      <c r="AK42" s="11" t="n">
        <f aca="false">AJ42+AK41</f>
        <v>12846666.6666667</v>
      </c>
      <c r="AL42" s="11" t="n">
        <f aca="false">AK42+AL41</f>
        <v>13858666.6666667</v>
      </c>
      <c r="AM42" s="11" t="n">
        <f aca="false">N42</f>
        <v>-801333.333333333</v>
      </c>
      <c r="AN42" s="11" t="n">
        <f aca="false">Z42</f>
        <v>3828666.66666667</v>
      </c>
      <c r="AO42" s="11" t="n">
        <f aca="false">AL42</f>
        <v>13858666.6666667</v>
      </c>
      <c r="AP42" s="1"/>
    </row>
    <row r="43" customFormat="false" ht="15" hidden="false" customHeight="false" outlineLevel="0" collapsed="false">
      <c r="A43" s="0" t="s">
        <v>289</v>
      </c>
      <c r="B43" s="0" t="s">
        <v>290</v>
      </c>
      <c r="C43" s="0" t="n">
        <f aca="false">IF(AND(C39&gt;0,COUNTIF(C39:AL39,"&lt;=0")=0),C$32,99)</f>
        <v>99</v>
      </c>
      <c r="D43" s="0" t="n">
        <f aca="false">IF(AND(D39&gt;0,COUNTIF(D39:AL39,"&lt;=0")=0),D$32,99)</f>
        <v>99</v>
      </c>
      <c r="E43" s="0" t="n">
        <f aca="false">IF(AND(E39&gt;0,COUNTIF(E39:AL39,"&lt;=0")=0),E$32,99)</f>
        <v>99</v>
      </c>
      <c r="F43" s="0" t="n">
        <f aca="false">IF(AND(F39&gt;0,COUNTIF(F39:AL39,"&lt;=0")=0),F$32,99)</f>
        <v>99</v>
      </c>
      <c r="G43" s="0" t="n">
        <f aca="false">IF(AND(G39&gt;0,COUNTIF(G39:AL39,"&lt;=0")=0),G$32,99)</f>
        <v>99</v>
      </c>
      <c r="H43" s="0" t="n">
        <f aca="false">IF(AND(H39&gt;0,COUNTIF(H39:AL39,"&lt;=0")=0),H$32,99)</f>
        <v>99</v>
      </c>
      <c r="I43" s="0" t="n">
        <f aca="false">IF(AND(I39&gt;0,COUNTIF(I39:AL39,"&lt;=0")=0),I$32,99)</f>
        <v>99</v>
      </c>
      <c r="J43" s="0" t="n">
        <f aca="false">IF(AND(J39&gt;0,COUNTIF(J39:AL39,"&lt;=0")=0),J$32,99)</f>
        <v>99</v>
      </c>
      <c r="K43" s="0" t="n">
        <f aca="false">IF(AND(K39&gt;0,COUNTIF(K39:AL39,"&lt;=0")=0),K$32,99)</f>
        <v>99</v>
      </c>
      <c r="L43" s="0" t="n">
        <f aca="false">IF(AND(L39&gt;0,COUNTIF(L39:AL39,"&lt;=0")=0),L$32,99)</f>
        <v>10</v>
      </c>
      <c r="M43" s="0" t="n">
        <f aca="false">IF(AND(M39&gt;0,COUNTIF(M39:AL39,"&lt;=0")=0),M$32,99)</f>
        <v>11</v>
      </c>
      <c r="N43" s="0" t="n">
        <f aca="false">IF(AND(N39&gt;0,COUNTIF(N39:AL39,"&lt;=0")=0),N$32,99)</f>
        <v>12</v>
      </c>
      <c r="O43" s="0" t="n">
        <f aca="false">IF(AND(O39&gt;0,COUNTIF(O39:AL39,"&lt;=0")=0),O$32,99)</f>
        <v>13</v>
      </c>
      <c r="P43" s="0" t="n">
        <f aca="false">IF(AND(P39&gt;0,COUNTIF(P39:AL39,"&lt;=0")=0),P$32,99)</f>
        <v>14</v>
      </c>
      <c r="Q43" s="0" t="n">
        <f aca="false">IF(AND(Q39&gt;0,COUNTIF(Q39:AL39,"&lt;=0")=0),Q$32,99)</f>
        <v>15</v>
      </c>
      <c r="R43" s="0" t="n">
        <f aca="false">IF(AND(R39&gt;0,COUNTIF(R39:AL39,"&lt;=0")=0),R$32,99)</f>
        <v>16</v>
      </c>
      <c r="S43" s="0" t="n">
        <f aca="false">IF(AND(S39&gt;0,COUNTIF(S39:AL39,"&lt;=0")=0),S$32,99)</f>
        <v>17</v>
      </c>
      <c r="T43" s="0" t="n">
        <f aca="false">IF(AND(T39&gt;0,COUNTIF(T39:AL39,"&lt;=0")=0),T$32,99)</f>
        <v>18</v>
      </c>
      <c r="U43" s="0" t="n">
        <f aca="false">IF(AND(U39&gt;0,COUNTIF(U39:AL39,"&lt;=0")=0),U$32,99)</f>
        <v>19</v>
      </c>
      <c r="V43" s="0" t="n">
        <f aca="false">IF(AND(V39&gt;0,COUNTIF(V39:AL39,"&lt;=0")=0),V$32,99)</f>
        <v>20</v>
      </c>
      <c r="W43" s="0" t="n">
        <f aca="false">IF(AND(W39&gt;0,COUNTIF(W39:AL39,"&lt;=0")=0),W$32,99)</f>
        <v>21</v>
      </c>
      <c r="X43" s="0" t="n">
        <f aca="false">IF(AND(X39&gt;0,COUNTIF(X39:AL39,"&lt;=0")=0),X$32,99)</f>
        <v>22</v>
      </c>
      <c r="Y43" s="0" t="n">
        <f aca="false">IF(AND(Y39&gt;0,COUNTIF(Y39:AL39,"&lt;=0")=0),Y$32,99)</f>
        <v>23</v>
      </c>
      <c r="Z43" s="0" t="n">
        <f aca="false">IF(AND(Z39&gt;0,COUNTIF(Z39:AL39,"&lt;=0")=0),Z$32,99)</f>
        <v>24</v>
      </c>
      <c r="AA43" s="0" t="n">
        <f aca="false">IF(AND(AA39&gt;0,COUNTIF(AA39:AL39,"&lt;=0")=0),AA$32,99)</f>
        <v>25</v>
      </c>
      <c r="AB43" s="0" t="n">
        <f aca="false">IF(AND(AB39&gt;0,COUNTIF(AB39:AL39,"&lt;=0")=0),AB$32,99)</f>
        <v>26</v>
      </c>
      <c r="AC43" s="0" t="n">
        <f aca="false">IF(AND(AC39&gt;0,COUNTIF(AC39:AL39,"&lt;=0")=0),AC$32,99)</f>
        <v>27</v>
      </c>
      <c r="AD43" s="0" t="n">
        <f aca="false">IF(AND(AD39&gt;0,COUNTIF(AD39:AL39,"&lt;=0")=0),AD$32,99)</f>
        <v>28</v>
      </c>
      <c r="AE43" s="0" t="n">
        <f aca="false">IF(AND(AE39&gt;0,COUNTIF(AE39:AL39,"&lt;=0")=0),AE$32,99)</f>
        <v>29</v>
      </c>
      <c r="AF43" s="0" t="n">
        <f aca="false">IF(AND(AF39&gt;0,COUNTIF(AF39:AL39,"&lt;=0")=0),AF$32,99)</f>
        <v>30</v>
      </c>
      <c r="AG43" s="0" t="n">
        <f aca="false">IF(AND(AG39&gt;0,COUNTIF(AG39:AL39,"&lt;=0")=0),AG$32,99)</f>
        <v>31</v>
      </c>
      <c r="AH43" s="0" t="n">
        <f aca="false">IF(AND(AH39&gt;0,COUNTIF(AH39:AL39,"&lt;=0")=0),AH$32,99)</f>
        <v>32</v>
      </c>
      <c r="AI43" s="0" t="n">
        <f aca="false">IF(AND(AI39&gt;0,COUNTIF(AI39:AL39,"&lt;=0")=0),AI$32,99)</f>
        <v>33</v>
      </c>
      <c r="AJ43" s="0" t="n">
        <f aca="false">IF(AND(AJ39&gt;0,COUNTIF(AJ39:AL39,"&lt;=0")=0),AJ$32,99)</f>
        <v>34</v>
      </c>
      <c r="AK43" s="0" t="n">
        <f aca="false">IF(AND(AK39&gt;0,COUNTIF(AK39:AL39,"&lt;=0")=0),AK$32,99)</f>
        <v>35</v>
      </c>
      <c r="AL43" s="0" t="n">
        <f aca="false">IF(AND(AL39&gt;0,COUNTIF(AL39:AL39,"&lt;=0")=0),AL$32,99)</f>
        <v>36</v>
      </c>
    </row>
    <row r="44" customFormat="false" ht="15" hidden="false" customHeight="false" outlineLevel="0" collapsed="false">
      <c r="A44" s="0" t="s">
        <v>291</v>
      </c>
      <c r="B44" s="0" t="s">
        <v>292</v>
      </c>
      <c r="C44" s="0" t="n">
        <f aca="false">IF(AND(C42&gt;=0,COUNTIF(C42:AL42,"&lt;0")=0),C$32,99)</f>
        <v>99</v>
      </c>
      <c r="D44" s="0" t="n">
        <f aca="false">IF(AND(D42&gt;=0,COUNTIF(D42:AL42,"&lt;0")=0),D$32,99)</f>
        <v>99</v>
      </c>
      <c r="E44" s="0" t="n">
        <f aca="false">IF(AND(E42&gt;=0,COUNTIF(E42:AL42,"&lt;0")=0),E$32,99)</f>
        <v>99</v>
      </c>
      <c r="F44" s="0" t="n">
        <f aca="false">IF(AND(F42&gt;=0,COUNTIF(F42:AL42,"&lt;0")=0),F$32,99)</f>
        <v>99</v>
      </c>
      <c r="G44" s="0" t="n">
        <f aca="false">IF(AND(G42&gt;=0,COUNTIF(G42:AL42,"&lt;0")=0),G$32,99)</f>
        <v>99</v>
      </c>
      <c r="H44" s="0" t="n">
        <f aca="false">IF(AND(H42&gt;=0,COUNTIF(H42:AL42,"&lt;0")=0),H$32,99)</f>
        <v>99</v>
      </c>
      <c r="I44" s="0" t="n">
        <f aca="false">IF(AND(I42&gt;=0,COUNTIF(I42:AL42,"&lt;0")=0),I$32,99)</f>
        <v>99</v>
      </c>
      <c r="J44" s="0" t="n">
        <f aca="false">IF(AND(J42&gt;=0,COUNTIF(J42:AL42,"&lt;0")=0),J$32,99)</f>
        <v>99</v>
      </c>
      <c r="K44" s="0" t="n">
        <f aca="false">IF(AND(K42&gt;=0,COUNTIF(K42:AL42,"&lt;0")=0),K$32,99)</f>
        <v>99</v>
      </c>
      <c r="L44" s="0" t="n">
        <f aca="false">IF(AND(L42&gt;=0,COUNTIF(L42:AL42,"&lt;0")=0),L$32,99)</f>
        <v>99</v>
      </c>
      <c r="M44" s="0" t="n">
        <f aca="false">IF(AND(M42&gt;=0,COUNTIF(M42:AL42,"&lt;0")=0),M$32,99)</f>
        <v>99</v>
      </c>
      <c r="N44" s="0" t="n">
        <f aca="false">IF(AND(N42&gt;=0,COUNTIF(N42:AL42,"&lt;0")=0),N$32,99)</f>
        <v>99</v>
      </c>
      <c r="O44" s="0" t="n">
        <f aca="false">IF(AND(O42&gt;=0,COUNTIF(O42:AL42,"&lt;0")=0),O$32,99)</f>
        <v>99</v>
      </c>
      <c r="P44" s="0" t="n">
        <f aca="false">IF(AND(P42&gt;=0,COUNTIF(P42:AL42,"&lt;0")=0),P$32,99)</f>
        <v>99</v>
      </c>
      <c r="Q44" s="0" t="n">
        <f aca="false">IF(AND(Q42&gt;=0,COUNTIF(Q42:AL42,"&lt;0")=0),Q$32,99)</f>
        <v>99</v>
      </c>
      <c r="R44" s="0" t="n">
        <f aca="false">IF(AND(R42&gt;=0,COUNTIF(R42:AL42,"&lt;0")=0),R$32,99)</f>
        <v>16</v>
      </c>
      <c r="S44" s="0" t="n">
        <f aca="false">IF(AND(S42&gt;=0,COUNTIF(S42:AL42,"&lt;0")=0),S$32,99)</f>
        <v>17</v>
      </c>
      <c r="T44" s="0" t="n">
        <f aca="false">IF(AND(T42&gt;=0,COUNTIF(T42:AL42,"&lt;0")=0),T$32,99)</f>
        <v>18</v>
      </c>
      <c r="U44" s="0" t="n">
        <f aca="false">IF(AND(U42&gt;=0,COUNTIF(U42:AL42,"&lt;0")=0),U$32,99)</f>
        <v>19</v>
      </c>
      <c r="V44" s="0" t="n">
        <f aca="false">IF(AND(V42&gt;=0,COUNTIF(V42:AL42,"&lt;0")=0),V$32,99)</f>
        <v>20</v>
      </c>
      <c r="W44" s="0" t="n">
        <f aca="false">IF(AND(W42&gt;=0,COUNTIF(W42:AL42,"&lt;0")=0),W$32,99)</f>
        <v>21</v>
      </c>
      <c r="X44" s="0" t="n">
        <f aca="false">IF(AND(X42&gt;=0,COUNTIF(X42:AL42,"&lt;0")=0),X$32,99)</f>
        <v>22</v>
      </c>
      <c r="Y44" s="0" t="n">
        <f aca="false">IF(AND(Y42&gt;=0,COUNTIF(Y42:AL42,"&lt;0")=0),Y$32,99)</f>
        <v>23</v>
      </c>
      <c r="Z44" s="0" t="n">
        <f aca="false">IF(AND(Z42&gt;=0,COUNTIF(Z42:AL42,"&lt;0")=0),Z$32,99)</f>
        <v>24</v>
      </c>
      <c r="AA44" s="0" t="n">
        <f aca="false">IF(AND(AA42&gt;=0,COUNTIF(AA42:AL42,"&lt;0")=0),AA$32,99)</f>
        <v>25</v>
      </c>
      <c r="AB44" s="0" t="n">
        <f aca="false">IF(AND(AB42&gt;=0,COUNTIF(AB42:AL42,"&lt;0")=0),AB$32,99)</f>
        <v>26</v>
      </c>
      <c r="AC44" s="0" t="n">
        <f aca="false">IF(AND(AC42&gt;=0,COUNTIF(AC42:AL42,"&lt;0")=0),AC$32,99)</f>
        <v>27</v>
      </c>
      <c r="AD44" s="0" t="n">
        <f aca="false">IF(AND(AD42&gt;=0,COUNTIF(AD42:AL42,"&lt;0")=0),AD$32,99)</f>
        <v>28</v>
      </c>
      <c r="AE44" s="0" t="n">
        <f aca="false">IF(AND(AE42&gt;=0,COUNTIF(AE42:AL42,"&lt;0")=0),AE$32,99)</f>
        <v>29</v>
      </c>
      <c r="AF44" s="0" t="n">
        <f aca="false">IF(AND(AF42&gt;=0,COUNTIF(AF42:AL42,"&lt;0")=0),AF$32,99)</f>
        <v>30</v>
      </c>
      <c r="AG44" s="0" t="n">
        <f aca="false">IF(AND(AG42&gt;=0,COUNTIF(AG42:AL42,"&lt;0")=0),AG$32,99)</f>
        <v>31</v>
      </c>
      <c r="AH44" s="0" t="n">
        <f aca="false">IF(AND(AH42&gt;=0,COUNTIF(AH42:AL42,"&lt;0")=0),AH$32,99)</f>
        <v>32</v>
      </c>
      <c r="AI44" s="0" t="n">
        <f aca="false">IF(AND(AI42&gt;=0,COUNTIF(AI42:AL42,"&lt;0")=0),AI$32,99)</f>
        <v>33</v>
      </c>
      <c r="AJ44" s="0" t="n">
        <f aca="false">IF(AND(AJ42&gt;=0,COUNTIF(AJ42:AL42,"&lt;0")=0),AJ$32,99)</f>
        <v>34</v>
      </c>
      <c r="AK44" s="0" t="n">
        <f aca="false">IF(AND(AK42&gt;=0,COUNTIF(AK42:AL42,"&lt;0")=0),AK$32,99)</f>
        <v>35</v>
      </c>
      <c r="AL44" s="0" t="n">
        <f aca="false">IF(AND(AL42&gt;=0,COUNTIF(AL42:AL42,"&lt;0")=0),AL$32,99)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42" min="3" style="0" width="11"/>
  </cols>
  <sheetData>
    <row r="1" customFormat="false" ht="16.15" hidden="false" customHeight="false" outlineLevel="0" collapsed="false">
      <c r="A1" s="8" t="s">
        <v>335</v>
      </c>
    </row>
    <row r="4" customFormat="false" ht="15" hidden="false" customHeight="false" outlineLevel="0" collapsed="false">
      <c r="A4" s="1" t="s">
        <v>251</v>
      </c>
      <c r="B4" s="1" t="s">
        <v>252</v>
      </c>
      <c r="C4" s="1" t="n">
        <v>1</v>
      </c>
      <c r="D4" s="1" t="n">
        <v>2</v>
      </c>
      <c r="E4" s="1" t="n">
        <v>3</v>
      </c>
      <c r="F4" s="1" t="n">
        <v>4</v>
      </c>
      <c r="G4" s="1" t="n">
        <v>5</v>
      </c>
      <c r="H4" s="1" t="n">
        <v>6</v>
      </c>
      <c r="I4" s="1" t="n">
        <v>7</v>
      </c>
      <c r="J4" s="1" t="n">
        <v>8</v>
      </c>
      <c r="K4" s="1" t="n">
        <v>9</v>
      </c>
      <c r="L4" s="1" t="n">
        <v>10</v>
      </c>
      <c r="M4" s="1" t="n">
        <v>11</v>
      </c>
      <c r="N4" s="1" t="n">
        <v>12</v>
      </c>
      <c r="O4" s="1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  <c r="AG4" s="1" t="n">
        <v>31</v>
      </c>
      <c r="AH4" s="1" t="n">
        <v>32</v>
      </c>
      <c r="AI4" s="1" t="n">
        <v>33</v>
      </c>
      <c r="AJ4" s="1" t="n">
        <v>34</v>
      </c>
      <c r="AK4" s="1" t="n">
        <v>35</v>
      </c>
      <c r="AL4" s="1" t="n">
        <v>36</v>
      </c>
      <c r="AM4" s="1" t="s">
        <v>253</v>
      </c>
      <c r="AN4" s="1" t="s">
        <v>254</v>
      </c>
      <c r="AO4" s="1" t="s">
        <v>255</v>
      </c>
      <c r="AP4" s="1" t="s">
        <v>256</v>
      </c>
    </row>
    <row r="5" customFormat="false" ht="15" hidden="false" customHeight="false" outlineLevel="0" collapsed="false">
      <c r="A5" s="0" t="s">
        <v>257</v>
      </c>
      <c r="B5" s="0" t="s">
        <v>336</v>
      </c>
      <c r="C5" s="10" t="n">
        <f aca="false">Допущения!$C$79*IF(C$4&lt;2,0,((C$4-1)/35)^Допущения!$C$87)</f>
        <v>0</v>
      </c>
      <c r="D5" s="10" t="n">
        <f aca="false">Допущения!$C$79*IF(D$4&lt;2,0,((D$4-1)/35)^Допущения!$C$87)</f>
        <v>245.839436066272</v>
      </c>
      <c r="E5" s="10" t="n">
        <f aca="false">Допущения!$C$79*IF(E$4&lt;2,0,((E$4-1)/35)^Допущения!$C$87)</f>
        <v>605.327696585712</v>
      </c>
      <c r="F5" s="10" t="n">
        <f aca="false">Допущения!$C$79*IF(F$4&lt;2,0,((F$4-1)/35)^Допущения!$C$87)</f>
        <v>1025.43746862935</v>
      </c>
      <c r="G5" s="10" t="n">
        <f aca="false">Допущения!$C$79*IF(G$4&lt;2,0,((G$4-1)/35)^Допущения!$C$87)</f>
        <v>1490.49162378889</v>
      </c>
      <c r="H5" s="10" t="n">
        <f aca="false">Допущения!$C$79*IF(H$4&lt;2,0,((H$4-1)/35)^Допущения!$C$87)</f>
        <v>1992.10651894016</v>
      </c>
      <c r="I5" s="10" t="n">
        <f aca="false">Допущения!$C$79*IF(I$4&lt;2,0,((I$4-1)/35)^Допущения!$C$87)</f>
        <v>2524.92322147515</v>
      </c>
      <c r="J5" s="10" t="n">
        <f aca="false">Допущения!$C$79*IF(J$4&lt;2,0,((J$4-1)/35)^Допущения!$C$87)</f>
        <v>3085.16931360005</v>
      </c>
      <c r="K5" s="10" t="n">
        <f aca="false">Допущения!$C$79*IF(K$4&lt;2,0,((K$4-1)/35)^Допущения!$C$87)</f>
        <v>3670.02087153017</v>
      </c>
      <c r="L5" s="10" t="n">
        <f aca="false">Допущения!$C$79*IF(L$4&lt;2,0,((L$4-1)/35)^Допущения!$C$87)</f>
        <v>4277.27145365521</v>
      </c>
      <c r="M5" s="10" t="n">
        <f aca="false">Допущения!$C$79*IF(M$4&lt;2,0,((M$4-1)/35)^Допущения!$C$87)</f>
        <v>4905.14162316234</v>
      </c>
      <c r="N5" s="10" t="n">
        <f aca="false">Допущения!$C$79*IF(N$4&lt;2,0,((N$4-1)/35)^Допущения!$C$87)</f>
        <v>5552.16087911121</v>
      </c>
      <c r="O5" s="10" t="n">
        <f aca="false">Допущения!$C$79*IF(O$4&lt;2,0,((O$4-1)/35)^Допущения!$C$87)</f>
        <v>6217.09023648795</v>
      </c>
      <c r="P5" s="10" t="n">
        <f aca="false">Допущения!$C$79*IF(P$4&lt;2,0,((P$4-1)/35)^Допущения!$C$87)</f>
        <v>6898.86916907359</v>
      </c>
      <c r="Q5" s="10" t="n">
        <f aca="false">Допущения!$C$79*IF(Q$4&lt;2,0,((Q$4-1)/35)^Допущения!$C$87)</f>
        <v>7596.57792932374</v>
      </c>
      <c r="R5" s="10" t="n">
        <f aca="false">Допущения!$C$79*IF(R$4&lt;2,0,((R$4-1)/35)^Допущения!$C$87)</f>
        <v>8309.40999015039</v>
      </c>
      <c r="S5" s="10" t="n">
        <f aca="false">Допущения!$C$79*IF(S$4&lt;2,0,((S$4-1)/35)^Допущения!$C$87)</f>
        <v>9036.65138568722</v>
      </c>
      <c r="T5" s="10" t="n">
        <f aca="false">Допущения!$C$79*IF(T$4&lt;2,0,((T$4-1)/35)^Допущения!$C$87)</f>
        <v>9777.6648946015</v>
      </c>
      <c r="U5" s="10" t="n">
        <f aca="false">Допущения!$C$79*IF(U$4&lt;2,0,((U$4-1)/35)^Допущения!$C$87)</f>
        <v>10531.8777090546</v>
      </c>
      <c r="V5" s="10" t="n">
        <f aca="false">Допущения!$C$79*IF(V$4&lt;2,0,((V$4-1)/35)^Допущения!$C$87)</f>
        <v>11298.7716678354</v>
      </c>
      <c r="W5" s="10" t="n">
        <f aca="false">Допущения!$C$79*IF(W$4&lt;2,0,((W$4-1)/35)^Допущения!$C$87)</f>
        <v>12077.8754120439</v>
      </c>
      <c r="X5" s="10" t="n">
        <f aca="false">Допущения!$C$79*IF(X$4&lt;2,0,((X$4-1)/35)^Допущения!$C$87)</f>
        <v>12868.7580066614</v>
      </c>
      <c r="Y5" s="10" t="n">
        <f aca="false">Допущения!$C$79*IF(Y$4&lt;2,0,((Y$4-1)/35)^Допущения!$C$87)</f>
        <v>13671.0236966199</v>
      </c>
      <c r="Z5" s="10" t="n">
        <f aca="false">Допущения!$C$79*IF(Z$4&lt;2,0,((Z$4-1)/35)^Допущения!$C$87)</f>
        <v>14484.3075527042</v>
      </c>
      <c r="AA5" s="10" t="n">
        <f aca="false">Допущения!$C$79*IF(AA$4&lt;2,0,((AA$4-1)/35)^Допущения!$C$87)</f>
        <v>15308.2718238267</v>
      </c>
      <c r="AB5" s="10" t="n">
        <f aca="false">Допущения!$C$79*IF(AB$4&lt;2,0,((AB$4-1)/35)^Допущения!$C$87)</f>
        <v>16142.6028561752</v>
      </c>
      <c r="AC5" s="10" t="n">
        <f aca="false">Допущения!$C$79*IF(AC$4&lt;2,0,((AC$4-1)/35)^Допущения!$C$87)</f>
        <v>16987.0084718049</v>
      </c>
      <c r="AD5" s="10" t="n">
        <f aca="false">Допущения!$C$79*IF(AD$4&lt;2,0,((AD$4-1)/35)^Допущения!$C$87)</f>
        <v>17841.2157229908</v>
      </c>
      <c r="AE5" s="10" t="n">
        <f aca="false">Допущения!$C$79*IF(AE$4&lt;2,0,((AE$4-1)/35)^Допущения!$C$87)</f>
        <v>18704.9689564524</v>
      </c>
      <c r="AF5" s="10" t="n">
        <f aca="false">Допущения!$C$79*IF(AF$4&lt;2,0,((AF$4-1)/35)^Допущения!$C$87)</f>
        <v>19578.0281350773</v>
      </c>
      <c r="AG5" s="10" t="n">
        <f aca="false">Допущения!$C$79*IF(AG$4&lt;2,0,((AG$4-1)/35)^Допущения!$C$87)</f>
        <v>20460.1673751322</v>
      </c>
      <c r="AH5" s="10" t="n">
        <f aca="false">Допущения!$C$79*IF(AH$4&lt;2,0,((AH$4-1)/35)^Допущения!$C$87)</f>
        <v>21351.1736649877</v>
      </c>
      <c r="AI5" s="10" t="n">
        <f aca="false">Допущения!$C$79*IF(AI$4&lt;2,0,((AI$4-1)/35)^Допущения!$C$87)</f>
        <v>22250.8457376688</v>
      </c>
      <c r="AJ5" s="10" t="n">
        <f aca="false">Допущения!$C$79*IF(AJ$4&lt;2,0,((AJ$4-1)/35)^Допущения!$C$87)</f>
        <v>23158.9930745037</v>
      </c>
      <c r="AK5" s="10" t="n">
        <f aca="false">Допущения!$C$79*IF(AK$4&lt;2,0,((AK$4-1)/35)^Допущения!$C$87)</f>
        <v>24075.4350210947</v>
      </c>
      <c r="AL5" s="10" t="n">
        <f aca="false">Допущения!$C$79*IF(AL$4&lt;2,0,((AL$4-1)/35)^Допущения!$C$87)</f>
        <v>25000</v>
      </c>
      <c r="AM5" s="10" t="n">
        <f aca="false">SUM(C5:N5)</f>
        <v>29373.8901065445</v>
      </c>
      <c r="AN5" s="10" t="n">
        <f aca="false">SUM(O5:Z5)</f>
        <v>122768.877650244</v>
      </c>
      <c r="AO5" s="10" t="n">
        <f aca="false">SUM(AA5:AL5)</f>
        <v>240858.710839714</v>
      </c>
      <c r="AP5" s="10" t="n">
        <f aca="false">SUM(C5:AL5)</f>
        <v>393001.478596503</v>
      </c>
    </row>
    <row r="6" customFormat="false" ht="15" hidden="false" customHeight="false" outlineLevel="0" collapsed="false">
      <c r="A6" s="0" t="s">
        <v>259</v>
      </c>
      <c r="B6" s="0" t="s">
        <v>337</v>
      </c>
      <c r="C6" s="10" t="n">
        <f aca="false">Допущения!$C$81*IF(C$4&lt;2,0,((C$4-1)/35)^Допущения!$C$87)</f>
        <v>0</v>
      </c>
      <c r="D6" s="10" t="n">
        <f aca="false">Допущения!$C$81*IF(D$4&lt;2,0,((D$4-1)/35)^Допущения!$C$87)</f>
        <v>39.3343097706036</v>
      </c>
      <c r="E6" s="10" t="n">
        <f aca="false">Допущения!$C$81*IF(E$4&lt;2,0,((E$4-1)/35)^Допущения!$C$87)</f>
        <v>96.8524314537139</v>
      </c>
      <c r="F6" s="10" t="n">
        <f aca="false">Допущения!$C$81*IF(F$4&lt;2,0,((F$4-1)/35)^Допущения!$C$87)</f>
        <v>164.069994980695</v>
      </c>
      <c r="G6" s="10" t="n">
        <f aca="false">Допущения!$C$81*IF(G$4&lt;2,0,((G$4-1)/35)^Допущения!$C$87)</f>
        <v>238.478659806223</v>
      </c>
      <c r="H6" s="10" t="n">
        <f aca="false">Допущения!$C$81*IF(H$4&lt;2,0,((H$4-1)/35)^Допущения!$C$87)</f>
        <v>318.737043030426</v>
      </c>
      <c r="I6" s="10" t="n">
        <f aca="false">Допущения!$C$81*IF(I$4&lt;2,0,((I$4-1)/35)^Допущения!$C$87)</f>
        <v>403.987715436023</v>
      </c>
      <c r="J6" s="10" t="n">
        <f aca="false">Допущения!$C$81*IF(J$4&lt;2,0,((J$4-1)/35)^Допущения!$C$87)</f>
        <v>493.627090176008</v>
      </c>
      <c r="K6" s="10" t="n">
        <f aca="false">Допущения!$C$81*IF(K$4&lt;2,0,((K$4-1)/35)^Допущения!$C$87)</f>
        <v>587.203339444828</v>
      </c>
      <c r="L6" s="10" t="n">
        <f aca="false">Допущения!$C$81*IF(L$4&lt;2,0,((L$4-1)/35)^Допущения!$C$87)</f>
        <v>684.363432584833</v>
      </c>
      <c r="M6" s="10" t="n">
        <f aca="false">Допущения!$C$81*IF(M$4&lt;2,0,((M$4-1)/35)^Допущения!$C$87)</f>
        <v>784.822659705975</v>
      </c>
      <c r="N6" s="10" t="n">
        <f aca="false">Допущения!$C$81*IF(N$4&lt;2,0,((N$4-1)/35)^Допущения!$C$87)</f>
        <v>888.345740657794</v>
      </c>
      <c r="O6" s="10" t="n">
        <f aca="false">Допущения!$C$81*IF(O$4&lt;2,0,((O$4-1)/35)^Допущения!$C$87)</f>
        <v>994.734437838072</v>
      </c>
      <c r="P6" s="10" t="n">
        <f aca="false">Допущения!$C$81*IF(P$4&lt;2,0,((P$4-1)/35)^Допущения!$C$87)</f>
        <v>1103.81906705178</v>
      </c>
      <c r="Q6" s="10" t="n">
        <f aca="false">Допущения!$C$81*IF(Q$4&lt;2,0,((Q$4-1)/35)^Допущения!$C$87)</f>
        <v>1215.4524686918</v>
      </c>
      <c r="R6" s="10" t="n">
        <f aca="false">Допущения!$C$81*IF(R$4&lt;2,0,((R$4-1)/35)^Допущения!$C$87)</f>
        <v>1329.50559842406</v>
      </c>
      <c r="S6" s="10" t="n">
        <f aca="false">Допущения!$C$81*IF(S$4&lt;2,0,((S$4-1)/35)^Допущения!$C$87)</f>
        <v>1445.86422170996</v>
      </c>
      <c r="T6" s="10" t="n">
        <f aca="false">Допущения!$C$81*IF(T$4&lt;2,0,((T$4-1)/35)^Допущения!$C$87)</f>
        <v>1564.42638313624</v>
      </c>
      <c r="U6" s="10" t="n">
        <f aca="false">Допущения!$C$81*IF(U$4&lt;2,0,((U$4-1)/35)^Допущения!$C$87)</f>
        <v>1685.10043344874</v>
      </c>
      <c r="V6" s="10" t="n">
        <f aca="false">Допущения!$C$81*IF(V$4&lt;2,0,((V$4-1)/35)^Допущения!$C$87)</f>
        <v>1807.80346685366</v>
      </c>
      <c r="W6" s="10" t="n">
        <f aca="false">Допущения!$C$81*IF(W$4&lt;2,0,((W$4-1)/35)^Допущения!$C$87)</f>
        <v>1932.46006592702</v>
      </c>
      <c r="X6" s="10" t="n">
        <f aca="false">Допущения!$C$81*IF(X$4&lt;2,0,((X$4-1)/35)^Допущения!$C$87)</f>
        <v>2059.00128106583</v>
      </c>
      <c r="Y6" s="10" t="n">
        <f aca="false">Допущения!$C$81*IF(Y$4&lt;2,0,((Y$4-1)/35)^Допущения!$C$87)</f>
        <v>2187.36379145919</v>
      </c>
      <c r="Z6" s="10" t="n">
        <f aca="false">Допущения!$C$81*IF(Z$4&lt;2,0,((Z$4-1)/35)^Допущения!$C$87)</f>
        <v>2317.48920843267</v>
      </c>
      <c r="AA6" s="10" t="n">
        <f aca="false">Допущения!$C$81*IF(AA$4&lt;2,0,((AA$4-1)/35)^Допущения!$C$87)</f>
        <v>2449.32349181228</v>
      </c>
      <c r="AB6" s="10" t="n">
        <f aca="false">Допущения!$C$81*IF(AB$4&lt;2,0,((AB$4-1)/35)^Допущения!$C$87)</f>
        <v>2582.81645698803</v>
      </c>
      <c r="AC6" s="10" t="n">
        <f aca="false">Допущения!$C$81*IF(AC$4&lt;2,0,((AC$4-1)/35)^Допущения!$C$87)</f>
        <v>2717.92135548878</v>
      </c>
      <c r="AD6" s="10" t="n">
        <f aca="false">Допущения!$C$81*IF(AD$4&lt;2,0,((AD$4-1)/35)^Допущения!$C$87)</f>
        <v>2854.59451567852</v>
      </c>
      <c r="AE6" s="10" t="n">
        <f aca="false">Допущения!$C$81*IF(AE$4&lt;2,0,((AE$4-1)/35)^Допущения!$C$87)</f>
        <v>2992.79503303239</v>
      </c>
      <c r="AF6" s="10" t="n">
        <f aca="false">Допущения!$C$81*IF(AF$4&lt;2,0,((AF$4-1)/35)^Допущения!$C$87)</f>
        <v>3132.48450161237</v>
      </c>
      <c r="AG6" s="10" t="n">
        <f aca="false">Допущения!$C$81*IF(AG$4&lt;2,0,((AG$4-1)/35)^Допущения!$C$87)</f>
        <v>3273.62678002115</v>
      </c>
      <c r="AH6" s="10" t="n">
        <f aca="false">Допущения!$C$81*IF(AH$4&lt;2,0,((AH$4-1)/35)^Допущения!$C$87)</f>
        <v>3416.18778639804</v>
      </c>
      <c r="AI6" s="10" t="n">
        <f aca="false">Допущения!$C$81*IF(AI$4&lt;2,0,((AI$4-1)/35)^Допущения!$C$87)</f>
        <v>3560.13531802702</v>
      </c>
      <c r="AJ6" s="10" t="n">
        <f aca="false">Допущения!$C$81*IF(AJ$4&lt;2,0,((AJ$4-1)/35)^Допущения!$C$87)</f>
        <v>3705.43889192058</v>
      </c>
      <c r="AK6" s="10" t="n">
        <f aca="false">Допущения!$C$81*IF(AK$4&lt;2,0,((AK$4-1)/35)^Допущения!$C$87)</f>
        <v>3852.06960337515</v>
      </c>
      <c r="AL6" s="10" t="n">
        <f aca="false">Допущения!$C$81*IF(AL$4&lt;2,0,((AL$4-1)/35)^Допущения!$C$87)</f>
        <v>4000</v>
      </c>
      <c r="AM6" s="10" t="n">
        <f aca="false">N6</f>
        <v>888.345740657794</v>
      </c>
      <c r="AN6" s="10" t="n">
        <f aca="false">Z6</f>
        <v>2317.48920843267</v>
      </c>
      <c r="AO6" s="10" t="n">
        <f aca="false">AL6</f>
        <v>4000</v>
      </c>
    </row>
    <row r="7" customFormat="false" ht="15" hidden="false" customHeight="false" outlineLevel="0" collapsed="false">
      <c r="A7" s="0" t="s">
        <v>263</v>
      </c>
      <c r="B7" s="0" t="s">
        <v>264</v>
      </c>
      <c r="C7" s="10" t="n">
        <f aca="false">C5*Допущения!$C$80+C6*Допущения!$C$82</f>
        <v>0</v>
      </c>
      <c r="D7" s="10" t="n">
        <f aca="false">D5*Допущения!$C$80+D6*Допущения!$C$82</f>
        <v>51.1346027017846</v>
      </c>
      <c r="E7" s="10" t="n">
        <f aca="false">E5*Допущения!$C$80+E6*Допущения!$C$82</f>
        <v>125.908160889828</v>
      </c>
      <c r="F7" s="10" t="n">
        <f aca="false">F5*Допущения!$C$80+F6*Допущения!$C$82</f>
        <v>213.290993474904</v>
      </c>
      <c r="G7" s="10" t="n">
        <f aca="false">G5*Допущения!$C$80+G6*Допущения!$C$82</f>
        <v>310.022257748089</v>
      </c>
      <c r="H7" s="10" t="n">
        <f aca="false">H5*Допущения!$C$80+H6*Допущения!$C$82</f>
        <v>414.358155939554</v>
      </c>
      <c r="I7" s="10" t="n">
        <f aca="false">I5*Допущения!$C$80+I6*Допущения!$C$82</f>
        <v>525.18403006683</v>
      </c>
      <c r="J7" s="10" t="n">
        <f aca="false">J5*Допущения!$C$80+J6*Допущения!$C$82</f>
        <v>641.71521722881</v>
      </c>
      <c r="K7" s="10" t="n">
        <f aca="false">K5*Допущения!$C$80+K6*Допущения!$C$82</f>
        <v>763.364341278276</v>
      </c>
      <c r="L7" s="10" t="n">
        <f aca="false">L5*Допущения!$C$80+L6*Допущения!$C$82</f>
        <v>889.672462360284</v>
      </c>
      <c r="M7" s="10" t="n">
        <f aca="false">M5*Допущения!$C$80+M6*Допущения!$C$82</f>
        <v>1020.26945761777</v>
      </c>
      <c r="N7" s="10" t="n">
        <f aca="false">N5*Допущения!$C$80+N6*Допущения!$C$82</f>
        <v>1154.84946285513</v>
      </c>
      <c r="O7" s="10" t="n">
        <f aca="false">O5*Допущения!$C$80+O6*Допущения!$C$82</f>
        <v>1293.15476918949</v>
      </c>
      <c r="P7" s="10" t="n">
        <f aca="false">P5*Допущения!$C$80+P6*Допущения!$C$82</f>
        <v>1434.96478716731</v>
      </c>
      <c r="Q7" s="10" t="n">
        <f aca="false">Q5*Допущения!$C$80+Q6*Допущения!$C$82</f>
        <v>1580.08820929934</v>
      </c>
      <c r="R7" s="10" t="n">
        <f aca="false">R5*Допущения!$C$80+R6*Допущения!$C$82</f>
        <v>1728.35727795128</v>
      </c>
      <c r="S7" s="10" t="n">
        <f aca="false">S5*Допущения!$C$80+S6*Допущения!$C$82</f>
        <v>1879.62348822294</v>
      </c>
      <c r="T7" s="10" t="n">
        <f aca="false">T5*Допущения!$C$80+T6*Допущения!$C$82</f>
        <v>2033.75429807711</v>
      </c>
      <c r="U7" s="10" t="n">
        <f aca="false">U5*Допущения!$C$80+U6*Допущения!$C$82</f>
        <v>2190.63056348336</v>
      </c>
      <c r="V7" s="10" t="n">
        <f aca="false">V5*Допущения!$C$80+V6*Допущения!$C$82</f>
        <v>2350.14450690975</v>
      </c>
      <c r="W7" s="10" t="n">
        <f aca="false">W5*Допущения!$C$80+W6*Допущения!$C$82</f>
        <v>2512.19808570512</v>
      </c>
      <c r="X7" s="10" t="n">
        <f aca="false">X5*Допущения!$C$80+X6*Допущения!$C$82</f>
        <v>2676.70166538558</v>
      </c>
      <c r="Y7" s="10" t="n">
        <f aca="false">Y5*Допущения!$C$80+Y6*Допущения!$C$82</f>
        <v>2843.57292889695</v>
      </c>
      <c r="Z7" s="10" t="n">
        <f aca="false">Z5*Допущения!$C$80+Z6*Допущения!$C$82</f>
        <v>3012.73597096247</v>
      </c>
      <c r="AA7" s="10" t="n">
        <f aca="false">AA5*Допущения!$C$80+AA6*Допущения!$C$82</f>
        <v>3184.12053935596</v>
      </c>
      <c r="AB7" s="10" t="n">
        <f aca="false">AB5*Допущения!$C$80+AB6*Допущения!$C$82</f>
        <v>3357.66139408443</v>
      </c>
      <c r="AC7" s="10" t="n">
        <f aca="false">AC5*Допущения!$C$80+AC6*Допущения!$C$82</f>
        <v>3533.29776213542</v>
      </c>
      <c r="AD7" s="10" t="n">
        <f aca="false">AD5*Допущения!$C$80+AD6*Допущения!$C$82</f>
        <v>3710.97287038208</v>
      </c>
      <c r="AE7" s="10" t="n">
        <f aca="false">AE5*Допущения!$C$80+AE6*Допущения!$C$82</f>
        <v>3890.63354294211</v>
      </c>
      <c r="AF7" s="10" t="n">
        <f aca="false">AF5*Допущения!$C$80+AF6*Допущения!$C$82</f>
        <v>4072.22985209608</v>
      </c>
      <c r="AG7" s="10" t="n">
        <f aca="false">AG5*Допущения!$C$80+AG6*Допущения!$C$82</f>
        <v>4255.71481402749</v>
      </c>
      <c r="AH7" s="10" t="n">
        <f aca="false">AH5*Допущения!$C$80+AH6*Допущения!$C$82</f>
        <v>4441.04412231745</v>
      </c>
      <c r="AI7" s="10" t="n">
        <f aca="false">AI5*Допущения!$C$80+AI6*Допущения!$C$82</f>
        <v>4628.17591343512</v>
      </c>
      <c r="AJ7" s="10" t="n">
        <f aca="false">AJ5*Допущения!$C$80+AJ6*Допущения!$C$82</f>
        <v>4817.07055949676</v>
      </c>
      <c r="AK7" s="10" t="n">
        <f aca="false">AK5*Допущения!$C$80+AK6*Допущения!$C$82</f>
        <v>5007.6904843877</v>
      </c>
      <c r="AL7" s="10" t="n">
        <f aca="false">AL5*Допущения!$C$80+AL6*Допущения!$C$82</f>
        <v>5200</v>
      </c>
      <c r="AM7" s="10" t="n">
        <f aca="false">SUM(C7:N7)</f>
        <v>6109.76914216126</v>
      </c>
      <c r="AN7" s="10" t="n">
        <f aca="false">SUM(O7:Z7)</f>
        <v>25535.9265512507</v>
      </c>
      <c r="AO7" s="10" t="n">
        <f aca="false">SUM(AA7:AL7)</f>
        <v>50098.6118546606</v>
      </c>
      <c r="AP7" s="10" t="n">
        <f aca="false">SUM(C7:AL7)</f>
        <v>81744.3075480726</v>
      </c>
    </row>
    <row r="8" customFormat="false" ht="15" hidden="false" customHeight="false" outlineLevel="0" collapsed="false">
      <c r="A8" s="0" t="s">
        <v>265</v>
      </c>
      <c r="B8" s="0" t="s">
        <v>338</v>
      </c>
      <c r="C8" s="10" t="n">
        <f aca="false">C7*Допущения!$C$6*Допущения!$C$7</f>
        <v>0</v>
      </c>
      <c r="D8" s="10" t="n">
        <f aca="false">D7*Допущения!$C$6*Допущения!$C$7</f>
        <v>1.02269205403569</v>
      </c>
      <c r="E8" s="10" t="n">
        <f aca="false">E7*Допущения!$C$6*Допущения!$C$7</f>
        <v>2.51816321779656</v>
      </c>
      <c r="F8" s="10" t="n">
        <f aca="false">F7*Допущения!$C$6*Допущения!$C$7</f>
        <v>4.26581986949808</v>
      </c>
      <c r="G8" s="10" t="n">
        <f aca="false">G7*Допущения!$C$6*Допущения!$C$7</f>
        <v>6.20044515496179</v>
      </c>
      <c r="H8" s="10" t="n">
        <f aca="false">H7*Допущения!$C$6*Допущения!$C$7</f>
        <v>8.28716311879108</v>
      </c>
      <c r="I8" s="10" t="n">
        <f aca="false">I7*Допущения!$C$6*Допущения!$C$7</f>
        <v>10.5036806013366</v>
      </c>
      <c r="J8" s="10" t="n">
        <f aca="false">J7*Допущения!$C$6*Допущения!$C$7</f>
        <v>12.8343043445762</v>
      </c>
      <c r="K8" s="10" t="n">
        <f aca="false">K7*Допущения!$C$6*Допущения!$C$7</f>
        <v>15.2672868255655</v>
      </c>
      <c r="L8" s="10" t="n">
        <f aca="false">L7*Допущения!$C$6*Допущения!$C$7</f>
        <v>17.7934492472057</v>
      </c>
      <c r="M8" s="10" t="n">
        <f aca="false">M7*Допущения!$C$6*Допущения!$C$7</f>
        <v>20.4053891523554</v>
      </c>
      <c r="N8" s="10" t="n">
        <f aca="false">N7*Допущения!$C$6*Допущения!$C$7</f>
        <v>23.0969892571026</v>
      </c>
      <c r="O8" s="10" t="n">
        <f aca="false">O7*Допущения!$C$6*Допущения!$C$7</f>
        <v>25.8630953837899</v>
      </c>
      <c r="P8" s="10" t="n">
        <f aca="false">P7*Допущения!$C$6*Допущения!$C$7</f>
        <v>28.6992957433462</v>
      </c>
      <c r="Q8" s="10" t="n">
        <f aca="false">Q7*Допущения!$C$6*Допущения!$C$7</f>
        <v>31.6017641859868</v>
      </c>
      <c r="R8" s="10" t="n">
        <f aca="false">R7*Допущения!$C$6*Допущения!$C$7</f>
        <v>34.5671455590256</v>
      </c>
      <c r="S8" s="10" t="n">
        <f aca="false">S7*Допущения!$C$6*Допущения!$C$7</f>
        <v>37.5924697644589</v>
      </c>
      <c r="T8" s="10" t="n">
        <f aca="false">T7*Допущения!$C$6*Допущения!$C$7</f>
        <v>40.6750859615423</v>
      </c>
      <c r="U8" s="10" t="n">
        <f aca="false">U7*Допущения!$C$6*Допущения!$C$7</f>
        <v>43.8126112696671</v>
      </c>
      <c r="V8" s="10" t="n">
        <f aca="false">V7*Допущения!$C$6*Допущения!$C$7</f>
        <v>47.0028901381951</v>
      </c>
      <c r="W8" s="10" t="n">
        <f aca="false">W7*Допущения!$C$6*Допущения!$C$7</f>
        <v>50.2439617141025</v>
      </c>
      <c r="X8" s="10" t="n">
        <f aca="false">X7*Допущения!$C$6*Допущения!$C$7</f>
        <v>53.5340333077115</v>
      </c>
      <c r="Y8" s="10" t="n">
        <f aca="false">Y7*Допущения!$C$6*Допущения!$C$7</f>
        <v>56.8714585779389</v>
      </c>
      <c r="Z8" s="10" t="n">
        <f aca="false">Z7*Допущения!$C$6*Допущения!$C$7</f>
        <v>60.2547194192493</v>
      </c>
      <c r="AA8" s="10" t="n">
        <f aca="false">AA7*Допущения!$C$6*Допущения!$C$7</f>
        <v>63.6824107871192</v>
      </c>
      <c r="AB8" s="10" t="n">
        <f aca="false">AB7*Допущения!$C$6*Допущения!$C$7</f>
        <v>67.1532278816887</v>
      </c>
      <c r="AC8" s="10" t="n">
        <f aca="false">AC7*Допущения!$C$6*Допущения!$C$7</f>
        <v>70.6659552427083</v>
      </c>
      <c r="AD8" s="10" t="n">
        <f aca="false">AD7*Допущения!$C$6*Допущения!$C$7</f>
        <v>74.2194574076416</v>
      </c>
      <c r="AE8" s="10" t="n">
        <f aca="false">AE7*Допущения!$C$6*Допущения!$C$7</f>
        <v>77.8126708588421</v>
      </c>
      <c r="AF8" s="10" t="n">
        <f aca="false">AF7*Допущения!$C$6*Допущения!$C$7</f>
        <v>81.4445970419217</v>
      </c>
      <c r="AG8" s="10" t="n">
        <f aca="false">AG7*Допущения!$C$6*Допущения!$C$7</f>
        <v>85.1142962805499</v>
      </c>
      <c r="AH8" s="10" t="n">
        <f aca="false">AH7*Допущения!$C$6*Допущения!$C$7</f>
        <v>88.820882446349</v>
      </c>
      <c r="AI8" s="10" t="n">
        <f aca="false">AI7*Допущения!$C$6*Допущения!$C$7</f>
        <v>92.5635182687024</v>
      </c>
      <c r="AJ8" s="10" t="n">
        <f aca="false">AJ7*Допущения!$C$6*Допущения!$C$7</f>
        <v>96.3414111899352</v>
      </c>
      <c r="AK8" s="10" t="n">
        <f aca="false">AK7*Допущения!$C$6*Допущения!$C$7</f>
        <v>100.153809687754</v>
      </c>
      <c r="AL8" s="10" t="n">
        <f aca="false">AL7*Допущения!$C$6*Допущения!$C$7</f>
        <v>104</v>
      </c>
      <c r="AM8" s="10" t="n">
        <f aca="false">SUM(C8:N8)</f>
        <v>122.195382843225</v>
      </c>
      <c r="AN8" s="10" t="n">
        <f aca="false">SUM(O8:Z8)</f>
        <v>510.718531025014</v>
      </c>
      <c r="AO8" s="10" t="n">
        <f aca="false">SUM(AA8:AL8)</f>
        <v>1001.97223709321</v>
      </c>
      <c r="AP8" s="10" t="n">
        <f aca="false">SUM(C8:AL8)</f>
        <v>1634.88615096145</v>
      </c>
    </row>
    <row r="9" customFormat="false" ht="15" hidden="false" customHeight="false" outlineLevel="0" collapsed="false">
      <c r="A9" s="0" t="s">
        <v>267</v>
      </c>
      <c r="B9" s="0" t="s">
        <v>268</v>
      </c>
      <c r="C9" s="10" t="n">
        <f aca="false">C8*Допущения!$C$4</f>
        <v>0</v>
      </c>
      <c r="D9" s="10" t="n">
        <f aca="false">D8*Допущения!$C$4</f>
        <v>1329.4996702464</v>
      </c>
      <c r="E9" s="10" t="n">
        <f aca="false">E8*Допущения!$C$4</f>
        <v>3273.61218313553</v>
      </c>
      <c r="F9" s="10" t="n">
        <f aca="false">F8*Допущения!$C$4</f>
        <v>5545.5658303475</v>
      </c>
      <c r="G9" s="10" t="n">
        <f aca="false">G8*Допущения!$C$4</f>
        <v>8060.57870145032</v>
      </c>
      <c r="H9" s="10" t="n">
        <f aca="false">H8*Допущения!$C$4</f>
        <v>10773.3120544284</v>
      </c>
      <c r="I9" s="10" t="n">
        <f aca="false">I8*Допущения!$C$4</f>
        <v>13654.7847817376</v>
      </c>
      <c r="J9" s="10" t="n">
        <f aca="false">J8*Допущения!$C$4</f>
        <v>16684.5956479491</v>
      </c>
      <c r="K9" s="10" t="n">
        <f aca="false">K8*Допущения!$C$4</f>
        <v>19847.4728732352</v>
      </c>
      <c r="L9" s="10" t="n">
        <f aca="false">L8*Допущения!$C$4</f>
        <v>23131.4840213674</v>
      </c>
      <c r="M9" s="10" t="n">
        <f aca="false">M8*Допущения!$C$4</f>
        <v>26527.005898062</v>
      </c>
      <c r="N9" s="10" t="n">
        <f aca="false">N8*Допущения!$C$4</f>
        <v>30026.0860342334</v>
      </c>
      <c r="O9" s="10" t="n">
        <f aca="false">O8*Допущения!$C$4</f>
        <v>33622.0239989268</v>
      </c>
      <c r="P9" s="10" t="n">
        <f aca="false">P8*Допущения!$C$4</f>
        <v>37309.08446635</v>
      </c>
      <c r="Q9" s="10" t="n">
        <f aca="false">Q8*Допущения!$C$4</f>
        <v>41082.2934417828</v>
      </c>
      <c r="R9" s="10" t="n">
        <f aca="false">R8*Допущения!$C$4</f>
        <v>44937.2892267333</v>
      </c>
      <c r="S9" s="10" t="n">
        <f aca="false">S8*Допущения!$C$4</f>
        <v>48870.2106937965</v>
      </c>
      <c r="T9" s="10" t="n">
        <f aca="false">T8*Допущения!$C$4</f>
        <v>52877.6117500049</v>
      </c>
      <c r="U9" s="10" t="n">
        <f aca="false">U8*Допущения!$C$4</f>
        <v>56956.3946505673</v>
      </c>
      <c r="V9" s="10" t="n">
        <f aca="false">V8*Допущения!$C$4</f>
        <v>61103.7571796536</v>
      </c>
      <c r="W9" s="10" t="n">
        <f aca="false">W8*Допущения!$C$4</f>
        <v>65317.1502283332</v>
      </c>
      <c r="X9" s="10" t="n">
        <f aca="false">X8*Допущения!$C$4</f>
        <v>69594.243300025</v>
      </c>
      <c r="Y9" s="10" t="n">
        <f aca="false">Y8*Допущения!$C$4</f>
        <v>73932.8961513206</v>
      </c>
      <c r="Z9" s="10" t="n">
        <f aca="false">Z8*Допущения!$C$4</f>
        <v>78331.1352450241</v>
      </c>
      <c r="AA9" s="10" t="n">
        <f aca="false">AA8*Допущения!$C$4</f>
        <v>82787.1340232549</v>
      </c>
      <c r="AB9" s="10" t="n">
        <f aca="false">AB8*Допущения!$C$4</f>
        <v>87299.1962461953</v>
      </c>
      <c r="AC9" s="10" t="n">
        <f aca="false">AC8*Допущения!$C$4</f>
        <v>91865.7418155208</v>
      </c>
      <c r="AD9" s="10" t="n">
        <f aca="false">AD8*Допущения!$C$4</f>
        <v>96485.2946299341</v>
      </c>
      <c r="AE9" s="10" t="n">
        <f aca="false">AE8*Допущения!$C$4</f>
        <v>101156.472116495</v>
      </c>
      <c r="AF9" s="10" t="n">
        <f aca="false">AF8*Допущения!$C$4</f>
        <v>105877.976154498</v>
      </c>
      <c r="AG9" s="10" t="n">
        <f aca="false">AG8*Допущения!$C$4</f>
        <v>110648.585164715</v>
      </c>
      <c r="AH9" s="10" t="n">
        <f aca="false">AH8*Допущения!$C$4</f>
        <v>115467.147180254</v>
      </c>
      <c r="AI9" s="10" t="n">
        <f aca="false">AI8*Допущения!$C$4</f>
        <v>120332.573749313</v>
      </c>
      <c r="AJ9" s="10" t="n">
        <f aca="false">AJ8*Допущения!$C$4</f>
        <v>125243.834546916</v>
      </c>
      <c r="AK9" s="10" t="n">
        <f aca="false">AK8*Допущения!$C$4</f>
        <v>130199.95259408</v>
      </c>
      <c r="AL9" s="10" t="n">
        <f aca="false">AL8*Допущения!$C$4</f>
        <v>135200</v>
      </c>
      <c r="AM9" s="10" t="n">
        <f aca="false">SUM(C9:N9)</f>
        <v>158853.997696193</v>
      </c>
      <c r="AN9" s="10" t="n">
        <f aca="false">SUM(O9:Z9)</f>
        <v>663934.090332518</v>
      </c>
      <c r="AO9" s="10" t="n">
        <f aca="false">SUM(AA9:AL9)</f>
        <v>1302563.90822118</v>
      </c>
      <c r="AP9" s="10" t="n">
        <f aca="false">SUM(C9:AL9)</f>
        <v>2125351.99624989</v>
      </c>
    </row>
    <row r="10" customFormat="false" ht="15" hidden="false" customHeight="false" outlineLevel="0" collapsed="false">
      <c r="A10" s="0" t="s">
        <v>275</v>
      </c>
      <c r="B10" s="0" t="s">
        <v>339</v>
      </c>
      <c r="C10" s="10" t="n">
        <f aca="false">C9*Допущения!$C$5+C5/1000*Допущения!$C$8</f>
        <v>0</v>
      </c>
      <c r="D10" s="10" t="n">
        <f aca="false">D9*Допущения!$C$5+D5/1000*Допущения!$C$8</f>
        <v>116.193551062363</v>
      </c>
      <c r="E10" s="10" t="n">
        <f aca="false">E9*Допущения!$C$5+E5/1000*Допущения!$C$8</f>
        <v>286.102082514271</v>
      </c>
      <c r="F10" s="10" t="n">
        <f aca="false">F9*Допущения!$C$5+F5/1000*Допущения!$C$8</f>
        <v>484.662765172974</v>
      </c>
      <c r="G10" s="10" t="n">
        <f aca="false">G9*Допущения!$C$5+G5/1000*Допущения!$C$8</f>
        <v>704.465961067582</v>
      </c>
      <c r="H10" s="10" t="n">
        <f aca="false">H9*Допущения!$C$5+H5/1000*Допущения!$C$8</f>
        <v>941.549225111879</v>
      </c>
      <c r="I10" s="10" t="n">
        <f aca="false">I9*Допущения!$C$5+I5/1000*Допущения!$C$8</f>
        <v>1193.37971139801</v>
      </c>
      <c r="J10" s="10" t="n">
        <f aca="false">J9*Допущения!$C$5+J5/1000*Допущения!$C$8</f>
        <v>1458.17442437993</v>
      </c>
      <c r="K10" s="10" t="n">
        <f aca="false">K9*Допущения!$C$5+K5/1000*Допущения!$C$8</f>
        <v>1734.59866472002</v>
      </c>
      <c r="L10" s="10" t="n">
        <f aca="false">L9*Допущения!$C$5+L5/1000*Допущения!$C$8</f>
        <v>2021.6095798556</v>
      </c>
      <c r="M10" s="10" t="n">
        <f aca="false">M9*Допущения!$C$5+M5/1000*Допущения!$C$8</f>
        <v>2318.36613677145</v>
      </c>
      <c r="N10" s="10" t="n">
        <f aca="false">N9*Допущения!$C$5+N5/1000*Допущения!$C$8</f>
        <v>2624.17331790312</v>
      </c>
      <c r="O10" s="10" t="n">
        <f aca="false">O9*Допущения!$C$5+O5/1000*Допущения!$C$8</f>
        <v>2938.44552937366</v>
      </c>
      <c r="P10" s="10" t="n">
        <f aca="false">P9*Допущения!$C$5+P5/1000*Допущения!$C$8</f>
        <v>3260.68152407094</v>
      </c>
      <c r="Q10" s="10" t="n">
        <f aca="false">Q9*Допущения!$C$5+Q5/1000*Допущения!$C$8</f>
        <v>3590.44659251557</v>
      </c>
      <c r="R10" s="10" t="n">
        <f aca="false">R9*Допущения!$C$5+R5/1000*Допущения!$C$8</f>
        <v>3927.35953774468</v>
      </c>
      <c r="S10" s="10" t="n">
        <f aca="false">S9*Допущения!$C$5+S5/1000*Допущения!$C$8</f>
        <v>4271.08291093121</v>
      </c>
      <c r="T10" s="10" t="n">
        <f aca="false">T9*Допущения!$C$5+T5/1000*Допущения!$C$8</f>
        <v>4621.31553578446</v>
      </c>
      <c r="U10" s="10" t="n">
        <f aca="false">U9*Допущения!$C$5+U5/1000*Допущения!$C$8</f>
        <v>4977.78668040757</v>
      </c>
      <c r="V10" s="10" t="n">
        <f aca="false">V9*Допущения!$C$5+V5/1000*Допущения!$C$8</f>
        <v>5340.2514410857</v>
      </c>
      <c r="W10" s="10" t="n">
        <f aca="false">W9*Допущения!$C$5+W5/1000*Допущения!$C$8</f>
        <v>5708.48703474841</v>
      </c>
      <c r="X10" s="10" t="n">
        <f aca="false">X9*Допущения!$C$5+X5/1000*Допущения!$C$8</f>
        <v>6082.28978426846</v>
      </c>
      <c r="Y10" s="10" t="n">
        <f aca="false">Y9*Допущения!$C$5+Y5/1000*Допущения!$C$8</f>
        <v>6461.47263997044</v>
      </c>
      <c r="Z10" s="10" t="n">
        <f aca="false">Z9*Допущения!$C$5+Z5/1000*Допущения!$C$8</f>
        <v>6845.8631217101</v>
      </c>
      <c r="AA10" s="10" t="n">
        <f aca="false">AA9*Допущения!$C$5+AA5/1000*Допущения!$C$8</f>
        <v>7235.30159481346</v>
      </c>
      <c r="AB10" s="10" t="n">
        <f aca="false">AB9*Допущения!$C$5+AB5/1000*Допущения!$C$8</f>
        <v>7629.63981394263</v>
      </c>
      <c r="AC10" s="10" t="n">
        <f aca="false">AC9*Допущения!$C$5+AC5/1000*Допущения!$C$8</f>
        <v>8028.73968411386</v>
      </c>
      <c r="AD10" s="10" t="n">
        <f aca="false">AD9*Допущения!$C$5+AD5/1000*Допущения!$C$8</f>
        <v>8432.47219931436</v>
      </c>
      <c r="AE10" s="10" t="n">
        <f aca="false">AE9*Допущения!$C$5+AE5/1000*Допущения!$C$8</f>
        <v>8840.71652757768</v>
      </c>
      <c r="AF10" s="10" t="n">
        <f aca="false">AF9*Допущения!$C$5+AF5/1000*Допущения!$C$8</f>
        <v>9253.35921776295</v>
      </c>
      <c r="AG10" s="10" t="n">
        <f aca="false">AG9*Допущения!$C$5+AG5/1000*Допущения!$C$8</f>
        <v>9670.29350818247</v>
      </c>
      <c r="AH10" s="10" t="n">
        <f aca="false">AH9*Допущения!$C$5+AH5/1000*Допущения!$C$8</f>
        <v>10091.4187210198</v>
      </c>
      <c r="AI10" s="10" t="n">
        <f aca="false">AI9*Допущения!$C$5+AI5/1000*Допущения!$C$8</f>
        <v>10516.6397294518</v>
      </c>
      <c r="AJ10" s="10" t="n">
        <f aca="false">AJ9*Допущения!$C$5+AJ5/1000*Допущения!$C$8</f>
        <v>10945.8664867334</v>
      </c>
      <c r="AK10" s="10" t="n">
        <f aca="false">AK9*Допущения!$C$5+AK5/1000*Допущения!$C$8</f>
        <v>11379.0136083702</v>
      </c>
      <c r="AL10" s="10" t="n">
        <f aca="false">AL9*Допущения!$C$5+AL5/1000*Допущения!$C$8</f>
        <v>11816</v>
      </c>
      <c r="AM10" s="10" t="n">
        <f aca="false">SUM(C10:N10)</f>
        <v>13883.2754199572</v>
      </c>
      <c r="AN10" s="10" t="n">
        <f aca="false">SUM(O10:Z10)</f>
        <v>58025.4823326112</v>
      </c>
      <c r="AO10" s="10" t="n">
        <f aca="false">SUM(AA10:AL10)</f>
        <v>113839.461091283</v>
      </c>
      <c r="AP10" s="10" t="n">
        <f aca="false">SUM(C10:AL10)</f>
        <v>185748.218843851</v>
      </c>
    </row>
    <row r="11" customFormat="false" ht="15" hidden="false" customHeight="false" outlineLevel="0" collapsed="false">
      <c r="A11" s="0" t="s">
        <v>277</v>
      </c>
      <c r="B11" s="0" t="s">
        <v>340</v>
      </c>
      <c r="C11" s="10" t="n">
        <f aca="false">MAX(0,C6-0)*(1-Допущения!$C$83)*Допущения!$C$9</f>
        <v>0</v>
      </c>
      <c r="D11" s="10" t="n">
        <f aca="false">MAX(0,D6-C6)*(1-Допущения!$C$83)*Допущения!$C$9</f>
        <v>9440.23434494486</v>
      </c>
      <c r="E11" s="10" t="n">
        <f aca="false">MAX(0,E6-D6)*(1-Допущения!$C$83)*Допущения!$C$9</f>
        <v>13804.3492039465</v>
      </c>
      <c r="F11" s="10" t="n">
        <f aca="false">MAX(0,F6-E6)*(1-Допущения!$C$83)*Допущения!$C$9</f>
        <v>16132.2152464756</v>
      </c>
      <c r="G11" s="10" t="n">
        <f aca="false">MAX(0,G6-F6)*(1-Допущения!$C$83)*Допущения!$C$9</f>
        <v>17858.0795581265</v>
      </c>
      <c r="H11" s="10" t="n">
        <f aca="false">MAX(0,H6-G6)*(1-Допущения!$C$83)*Допущения!$C$9</f>
        <v>19262.0119738089</v>
      </c>
      <c r="I11" s="10" t="n">
        <f aca="false">MAX(0,I6-H6)*(1-Допущения!$C$83)*Допущения!$C$9</f>
        <v>20460.1613773433</v>
      </c>
      <c r="J11" s="10" t="n">
        <f aca="false">MAX(0,J6-I6)*(1-Допущения!$C$83)*Допущения!$C$9</f>
        <v>21513.4499375963</v>
      </c>
      <c r="K11" s="10" t="n">
        <f aca="false">MAX(0,K6-J6)*(1-Допущения!$C$83)*Допущения!$C$9</f>
        <v>22458.2998245168</v>
      </c>
      <c r="L11" s="10" t="n">
        <f aca="false">MAX(0,L6-K6)*(1-Допущения!$C$83)*Допущения!$C$9</f>
        <v>23318.4223536014</v>
      </c>
      <c r="M11" s="10" t="n">
        <f aca="false">MAX(0,M6-L6)*(1-Допущения!$C$83)*Допущения!$C$9</f>
        <v>24110.214509074</v>
      </c>
      <c r="N11" s="10" t="n">
        <f aca="false">MAX(0,N6-M6)*(1-Допущения!$C$83)*Допущения!$C$9</f>
        <v>24845.5394284365</v>
      </c>
      <c r="O11" s="10" t="n">
        <f aca="false">MAX(0,O6-N6)*(1-Допущения!$C$83)*Допущения!$C$9</f>
        <v>25533.2873232667</v>
      </c>
      <c r="P11" s="10" t="n">
        <f aca="false">MAX(0,P6-O6)*(1-Допущения!$C$83)*Допущения!$C$9</f>
        <v>26180.3110112889</v>
      </c>
      <c r="Q11" s="10" t="n">
        <f aca="false">MAX(0,Q6-P6)*(1-Допущения!$C$83)*Допущения!$C$9</f>
        <v>26792.0163936055</v>
      </c>
      <c r="R11" s="10" t="n">
        <f aca="false">MAX(0,R6-Q6)*(1-Допущения!$C$83)*Допущения!$C$9</f>
        <v>27372.7511357433</v>
      </c>
      <c r="S11" s="10" t="n">
        <f aca="false">MAX(0,S6-R6)*(1-Допущения!$C$83)*Допущения!$C$9</f>
        <v>27926.0695886145</v>
      </c>
      <c r="T11" s="10" t="n">
        <f aca="false">MAX(0,T6-S6)*(1-Допущения!$C$83)*Допущения!$C$9</f>
        <v>28454.9187423084</v>
      </c>
      <c r="U11" s="10" t="n">
        <f aca="false">MAX(0,U6-T6)*(1-Допущения!$C$83)*Допущения!$C$9</f>
        <v>28961.7720749988</v>
      </c>
      <c r="V11" s="10" t="n">
        <f aca="false">MAX(0,V6-U6)*(1-Допущения!$C$83)*Допущения!$C$9</f>
        <v>29448.728017181</v>
      </c>
      <c r="W11" s="10" t="n">
        <f aca="false">MAX(0,W6-V6)*(1-Допущения!$C$83)*Допущения!$C$9</f>
        <v>29917.5837776069</v>
      </c>
      <c r="X11" s="10" t="n">
        <f aca="false">MAX(0,X6-W6)*(1-Допущения!$C$83)*Допущения!$C$9</f>
        <v>30369.8916333141</v>
      </c>
      <c r="Y11" s="10" t="n">
        <f aca="false">MAX(0,Y6-X6)*(1-Допущения!$C$83)*Допущения!$C$9</f>
        <v>30807.0024944066</v>
      </c>
      <c r="Z11" s="10" t="n">
        <f aca="false">MAX(0,Z6-Y6)*(1-Допущения!$C$83)*Допущения!$C$9</f>
        <v>31230.1000736346</v>
      </c>
      <c r="AA11" s="10" t="n">
        <f aca="false">MAX(0,AA6-Z6)*(1-Допущения!$C$83)*Допущения!$C$9</f>
        <v>31640.2280111062</v>
      </c>
      <c r="AB11" s="10" t="n">
        <f aca="false">MAX(0,AB6-AA6)*(1-Допущения!$C$83)*Допущения!$C$9</f>
        <v>32038.3116421803</v>
      </c>
      <c r="AC11" s="10" t="n">
        <f aca="false">MAX(0,AC6-AB6)*(1-Допущения!$C$83)*Допущения!$C$9</f>
        <v>32425.1756401811</v>
      </c>
      <c r="AD11" s="10" t="n">
        <f aca="false">MAX(0,AD6-AC6)*(1-Допущения!$C$83)*Допущения!$C$9</f>
        <v>32801.5584455381</v>
      </c>
      <c r="AE11" s="10" t="n">
        <f aca="false">MAX(0,AE6-AD6)*(1-Допущения!$C$83)*Допущения!$C$9</f>
        <v>33168.1241649276</v>
      </c>
      <c r="AF11" s="10" t="n">
        <f aca="false">MAX(0,AF6-AE6)*(1-Допущения!$C$83)*Допущения!$C$9</f>
        <v>33525.4724591959</v>
      </c>
      <c r="AG11" s="10" t="n">
        <f aca="false">MAX(0,AG6-AF6)*(1-Допущения!$C$83)*Допущения!$C$9</f>
        <v>33874.1468181062</v>
      </c>
      <c r="AH11" s="10" t="n">
        <f aca="false">MAX(0,AH6-AG6)*(1-Допущения!$C$83)*Допущения!$C$9</f>
        <v>34214.6415304539</v>
      </c>
      <c r="AI11" s="10" t="n">
        <f aca="false">MAX(0,AI6-AH6)*(1-Допущения!$C$83)*Допущения!$C$9</f>
        <v>34547.4075909544</v>
      </c>
      <c r="AJ11" s="10" t="n">
        <f aca="false">MAX(0,AJ6-AI6)*(1-Допущения!$C$83)*Допущения!$C$9</f>
        <v>34872.8577344566</v>
      </c>
      <c r="AK11" s="10" t="n">
        <f aca="false">MAX(0,AK6-AJ6)*(1-Допущения!$C$83)*Допущения!$C$9</f>
        <v>35191.3707490964</v>
      </c>
      <c r="AL11" s="10" t="n">
        <f aca="false">MAX(0,AL6-AK6)*(1-Допущения!$C$83)*Допущения!$C$9</f>
        <v>35503.2951899633</v>
      </c>
      <c r="AM11" s="10" t="n">
        <f aca="false">SUM(C11:N11)</f>
        <v>213202.97775787</v>
      </c>
      <c r="AN11" s="10" t="n">
        <f aca="false">SUM(O11:Z11)</f>
        <v>342994.432265969</v>
      </c>
      <c r="AO11" s="10" t="n">
        <f aca="false">SUM(AA11:AL11)</f>
        <v>403802.58997616</v>
      </c>
      <c r="AP11" s="10" t="n">
        <f aca="false">SUM(C11:AL11)</f>
        <v>960000</v>
      </c>
    </row>
    <row r="12" customFormat="false" ht="15" hidden="false" customHeight="false" outlineLevel="0" collapsed="false">
      <c r="A12" s="0" t="s">
        <v>279</v>
      </c>
      <c r="B12" s="0" t="s">
        <v>280</v>
      </c>
      <c r="C12" s="10" t="n">
        <f aca="false">Допущения!$C$84</f>
        <v>130000</v>
      </c>
      <c r="D12" s="10" t="n">
        <f aca="false">Допущения!$C$84</f>
        <v>130000</v>
      </c>
      <c r="E12" s="10" t="n">
        <f aca="false">Допущения!$C$84</f>
        <v>130000</v>
      </c>
      <c r="F12" s="10" t="n">
        <f aca="false">Допущения!$C$84</f>
        <v>130000</v>
      </c>
      <c r="G12" s="10" t="n">
        <f aca="false">Допущения!$C$84</f>
        <v>130000</v>
      </c>
      <c r="H12" s="10" t="n">
        <f aca="false">Допущения!$C$84</f>
        <v>130000</v>
      </c>
      <c r="I12" s="10" t="n">
        <f aca="false">Допущения!$C$84</f>
        <v>130000</v>
      </c>
      <c r="J12" s="10" t="n">
        <f aca="false">Допущения!$C$84</f>
        <v>130000</v>
      </c>
      <c r="K12" s="10" t="n">
        <f aca="false">Допущения!$C$84</f>
        <v>130000</v>
      </c>
      <c r="L12" s="10" t="n">
        <f aca="false">Допущения!$C$84</f>
        <v>130000</v>
      </c>
      <c r="M12" s="10" t="n">
        <f aca="false">Допущения!$C$84</f>
        <v>130000</v>
      </c>
      <c r="N12" s="10" t="n">
        <f aca="false">Допущения!$C$84</f>
        <v>130000</v>
      </c>
      <c r="O12" s="10" t="n">
        <f aca="false">Допущения!$C$84</f>
        <v>130000</v>
      </c>
      <c r="P12" s="10" t="n">
        <f aca="false">Допущения!$C$84</f>
        <v>130000</v>
      </c>
      <c r="Q12" s="10" t="n">
        <f aca="false">Допущения!$C$84</f>
        <v>130000</v>
      </c>
      <c r="R12" s="10" t="n">
        <f aca="false">Допущения!$C$84</f>
        <v>130000</v>
      </c>
      <c r="S12" s="10" t="n">
        <f aca="false">Допущения!$C$84</f>
        <v>130000</v>
      </c>
      <c r="T12" s="10" t="n">
        <f aca="false">Допущения!$C$84</f>
        <v>130000</v>
      </c>
      <c r="U12" s="10" t="n">
        <f aca="false">Допущения!$C$84</f>
        <v>130000</v>
      </c>
      <c r="V12" s="10" t="n">
        <f aca="false">Допущения!$C$84</f>
        <v>130000</v>
      </c>
      <c r="W12" s="10" t="n">
        <f aca="false">Допущения!$C$84</f>
        <v>130000</v>
      </c>
      <c r="X12" s="10" t="n">
        <f aca="false">Допущения!$C$84</f>
        <v>130000</v>
      </c>
      <c r="Y12" s="10" t="n">
        <f aca="false">Допущения!$C$84</f>
        <v>130000</v>
      </c>
      <c r="Z12" s="10" t="n">
        <f aca="false">Допущения!$C$84</f>
        <v>130000</v>
      </c>
      <c r="AA12" s="10" t="n">
        <f aca="false">Допущения!$C$84</f>
        <v>130000</v>
      </c>
      <c r="AB12" s="10" t="n">
        <f aca="false">Допущения!$C$84</f>
        <v>130000</v>
      </c>
      <c r="AC12" s="10" t="n">
        <f aca="false">Допущения!$C$84</f>
        <v>130000</v>
      </c>
      <c r="AD12" s="10" t="n">
        <f aca="false">Допущения!$C$84</f>
        <v>130000</v>
      </c>
      <c r="AE12" s="10" t="n">
        <f aca="false">Допущения!$C$84</f>
        <v>130000</v>
      </c>
      <c r="AF12" s="10" t="n">
        <f aca="false">Допущения!$C$84</f>
        <v>130000</v>
      </c>
      <c r="AG12" s="10" t="n">
        <f aca="false">Допущения!$C$84</f>
        <v>130000</v>
      </c>
      <c r="AH12" s="10" t="n">
        <f aca="false">Допущения!$C$84</f>
        <v>130000</v>
      </c>
      <c r="AI12" s="10" t="n">
        <f aca="false">Допущения!$C$84</f>
        <v>130000</v>
      </c>
      <c r="AJ12" s="10" t="n">
        <f aca="false">Допущения!$C$84</f>
        <v>130000</v>
      </c>
      <c r="AK12" s="10" t="n">
        <f aca="false">Допущения!$C$84</f>
        <v>130000</v>
      </c>
      <c r="AL12" s="10" t="n">
        <f aca="false">Допущения!$C$84</f>
        <v>130000</v>
      </c>
      <c r="AM12" s="10" t="n">
        <f aca="false">SUM(C12:N12)</f>
        <v>1560000</v>
      </c>
      <c r="AN12" s="10" t="n">
        <f aca="false">SUM(O12:Z12)</f>
        <v>1560000</v>
      </c>
      <c r="AO12" s="10" t="n">
        <f aca="false">SUM(AA12:AL12)</f>
        <v>1560000</v>
      </c>
      <c r="AP12" s="10" t="n">
        <f aca="false">SUM(C12:AL12)</f>
        <v>4680000</v>
      </c>
    </row>
    <row r="13" customFormat="false" ht="15" hidden="false" customHeight="false" outlineLevel="0" collapsed="false">
      <c r="A13" s="1" t="s">
        <v>281</v>
      </c>
      <c r="B13" s="1" t="s">
        <v>282</v>
      </c>
      <c r="C13" s="11" t="n">
        <f aca="false">C10-C12-C11</f>
        <v>-130000</v>
      </c>
      <c r="D13" s="11" t="n">
        <f aca="false">D10-D12-D11</f>
        <v>-139324.040793883</v>
      </c>
      <c r="E13" s="11" t="n">
        <f aca="false">E10-E12-E11</f>
        <v>-143518.247121432</v>
      </c>
      <c r="F13" s="11" t="n">
        <f aca="false">F10-F12-F11</f>
        <v>-145647.552481303</v>
      </c>
      <c r="G13" s="11" t="n">
        <f aca="false">G10-G12-G11</f>
        <v>-147153.613597059</v>
      </c>
      <c r="H13" s="11" t="n">
        <f aca="false">H10-H12-H11</f>
        <v>-148320.462748697</v>
      </c>
      <c r="I13" s="11" t="n">
        <f aca="false">I10-I12-I11</f>
        <v>-149266.781665945</v>
      </c>
      <c r="J13" s="11" t="n">
        <f aca="false">J10-J12-J11</f>
        <v>-150055.275513216</v>
      </c>
      <c r="K13" s="11" t="n">
        <f aca="false">K10-K12-K11</f>
        <v>-150723.701159797</v>
      </c>
      <c r="L13" s="11" t="n">
        <f aca="false">L10-L12-L11</f>
        <v>-151296.812773746</v>
      </c>
      <c r="M13" s="11" t="n">
        <f aca="false">M10-M12-M11</f>
        <v>-151791.848372303</v>
      </c>
      <c r="N13" s="11" t="n">
        <f aca="false">N10-N12-N11</f>
        <v>-152221.366110533</v>
      </c>
      <c r="O13" s="11" t="n">
        <f aca="false">O10-O12-O11</f>
        <v>-152594.841793893</v>
      </c>
      <c r="P13" s="11" t="n">
        <f aca="false">P10-P12-P11</f>
        <v>-152919.629487218</v>
      </c>
      <c r="Q13" s="11" t="n">
        <f aca="false">Q10-Q12-Q11</f>
        <v>-153201.56980109</v>
      </c>
      <c r="R13" s="11" t="n">
        <f aca="false">R10-R12-R11</f>
        <v>-153445.391597999</v>
      </c>
      <c r="S13" s="11" t="n">
        <f aca="false">S10-S12-S11</f>
        <v>-153654.986677683</v>
      </c>
      <c r="T13" s="11" t="n">
        <f aca="false">T10-T12-T11</f>
        <v>-153833.603206524</v>
      </c>
      <c r="U13" s="11" t="n">
        <f aca="false">U10-U12-U11</f>
        <v>-153983.985394591</v>
      </c>
      <c r="V13" s="11" t="n">
        <f aca="false">V10-V12-V11</f>
        <v>-154108.476576095</v>
      </c>
      <c r="W13" s="11" t="n">
        <f aca="false">W10-W12-W11</f>
        <v>-154209.096742859</v>
      </c>
      <c r="X13" s="11" t="n">
        <f aca="false">X10-X12-X11</f>
        <v>-154287.601849046</v>
      </c>
      <c r="Y13" s="11" t="n">
        <f aca="false">Y10-Y12-Y11</f>
        <v>-154345.529854436</v>
      </c>
      <c r="Z13" s="11" t="n">
        <f aca="false">Z10-Z12-Z11</f>
        <v>-154384.236951925</v>
      </c>
      <c r="AA13" s="11" t="n">
        <f aca="false">AA10-AA12-AA11</f>
        <v>-154404.926416293</v>
      </c>
      <c r="AB13" s="11" t="n">
        <f aca="false">AB10-AB12-AB11</f>
        <v>-154408.671828238</v>
      </c>
      <c r="AC13" s="11" t="n">
        <f aca="false">AC10-AC12-AC11</f>
        <v>-154396.435956067</v>
      </c>
      <c r="AD13" s="11" t="n">
        <f aca="false">AD10-AD12-AD11</f>
        <v>-154369.086246224</v>
      </c>
      <c r="AE13" s="11" t="n">
        <f aca="false">AE10-AE12-AE11</f>
        <v>-154327.40763735</v>
      </c>
      <c r="AF13" s="11" t="n">
        <f aca="false">AF10-AF12-AF11</f>
        <v>-154272.113241433</v>
      </c>
      <c r="AG13" s="11" t="n">
        <f aca="false">AG10-AG12-AG11</f>
        <v>-154203.853309924</v>
      </c>
      <c r="AH13" s="11" t="n">
        <f aca="false">AH10-AH12-AH11</f>
        <v>-154123.222809434</v>
      </c>
      <c r="AI13" s="11" t="n">
        <f aca="false">AI10-AI12-AI11</f>
        <v>-154030.767861503</v>
      </c>
      <c r="AJ13" s="11" t="n">
        <f aca="false">AJ10-AJ12-AJ11</f>
        <v>-153926.991247723</v>
      </c>
      <c r="AK13" s="11" t="n">
        <f aca="false">AK10-AK12-AK11</f>
        <v>-153812.357140726</v>
      </c>
      <c r="AL13" s="11" t="n">
        <f aca="false">AL10-AL12-AL11</f>
        <v>-153687.295189963</v>
      </c>
      <c r="AM13" s="11" t="n">
        <f aca="false">SUM(C13:N13)</f>
        <v>-1759319.70233791</v>
      </c>
      <c r="AN13" s="11" t="n">
        <f aca="false">SUM(O13:Z13)</f>
        <v>-1844968.94993336</v>
      </c>
      <c r="AO13" s="11" t="n">
        <f aca="false">SUM(AA13:AL13)</f>
        <v>-1849963.12888488</v>
      </c>
      <c r="AP13" s="11" t="n">
        <f aca="false">SUM(C13:AL13)</f>
        <v>-5454251.78115615</v>
      </c>
    </row>
    <row r="14" customFormat="false" ht="15" hidden="false" customHeight="false" outlineLevel="0" collapsed="false">
      <c r="A14" s="0" t="s">
        <v>283</v>
      </c>
      <c r="B14" s="0" t="s">
        <v>284</v>
      </c>
      <c r="C14" s="10" t="n">
        <f aca="false">IF(C$4=1,Допущения!$C$86,0)</f>
        <v>150000</v>
      </c>
      <c r="D14" s="10" t="n">
        <f aca="false">IF(D$4=1,Допущения!$C$86,0)</f>
        <v>0</v>
      </c>
      <c r="E14" s="10" t="n">
        <f aca="false">IF(E$4=1,Допущения!$C$86,0)</f>
        <v>0</v>
      </c>
      <c r="F14" s="10" t="n">
        <f aca="false">IF(F$4=1,Допущения!$C$86,0)</f>
        <v>0</v>
      </c>
      <c r="G14" s="10" t="n">
        <f aca="false">IF(G$4=1,Допущения!$C$86,0)</f>
        <v>0</v>
      </c>
      <c r="H14" s="10" t="n">
        <f aca="false">IF(H$4=1,Допущения!$C$86,0)</f>
        <v>0</v>
      </c>
      <c r="I14" s="10" t="n">
        <f aca="false">IF(I$4=1,Допущения!$C$86,0)</f>
        <v>0</v>
      </c>
      <c r="J14" s="10" t="n">
        <f aca="false">IF(J$4=1,Допущения!$C$86,0)</f>
        <v>0</v>
      </c>
      <c r="K14" s="10" t="n">
        <f aca="false">IF(K$4=1,Допущения!$C$86,0)</f>
        <v>0</v>
      </c>
      <c r="L14" s="10" t="n">
        <f aca="false">IF(L$4=1,Допущения!$C$86,0)</f>
        <v>0</v>
      </c>
      <c r="M14" s="10" t="n">
        <f aca="false">IF(M$4=1,Допущения!$C$86,0)</f>
        <v>0</v>
      </c>
      <c r="N14" s="10" t="n">
        <f aca="false">IF(N$4=1,Допущения!$C$86,0)</f>
        <v>0</v>
      </c>
      <c r="O14" s="10" t="n">
        <f aca="false">IF(O$4=1,Допущения!$C$86,0)</f>
        <v>0</v>
      </c>
      <c r="P14" s="10" t="n">
        <f aca="false">IF(P$4=1,Допущения!$C$86,0)</f>
        <v>0</v>
      </c>
      <c r="Q14" s="10" t="n">
        <f aca="false">IF(Q$4=1,Допущения!$C$86,0)</f>
        <v>0</v>
      </c>
      <c r="R14" s="10" t="n">
        <f aca="false">IF(R$4=1,Допущения!$C$86,0)</f>
        <v>0</v>
      </c>
      <c r="S14" s="10" t="n">
        <f aca="false">IF(S$4=1,Допущения!$C$86,0)</f>
        <v>0</v>
      </c>
      <c r="T14" s="10" t="n">
        <f aca="false">IF(T$4=1,Допущения!$C$86,0)</f>
        <v>0</v>
      </c>
      <c r="U14" s="10" t="n">
        <f aca="false">IF(U$4=1,Допущения!$C$86,0)</f>
        <v>0</v>
      </c>
      <c r="V14" s="10" t="n">
        <f aca="false">IF(V$4=1,Допущения!$C$86,0)</f>
        <v>0</v>
      </c>
      <c r="W14" s="10" t="n">
        <f aca="false">IF(W$4=1,Допущения!$C$86,0)</f>
        <v>0</v>
      </c>
      <c r="X14" s="10" t="n">
        <f aca="false">IF(X$4=1,Допущения!$C$86,0)</f>
        <v>0</v>
      </c>
      <c r="Y14" s="10" t="n">
        <f aca="false">IF(Y$4=1,Допущения!$C$86,0)</f>
        <v>0</v>
      </c>
      <c r="Z14" s="10" t="n">
        <f aca="false">IF(Z$4=1,Допущения!$C$86,0)</f>
        <v>0</v>
      </c>
      <c r="AA14" s="10" t="n">
        <f aca="false">IF(AA$4=1,Допущения!$C$86,0)</f>
        <v>0</v>
      </c>
      <c r="AB14" s="10" t="n">
        <f aca="false">IF(AB$4=1,Допущения!$C$86,0)</f>
        <v>0</v>
      </c>
      <c r="AC14" s="10" t="n">
        <f aca="false">IF(AC$4=1,Допущения!$C$86,0)</f>
        <v>0</v>
      </c>
      <c r="AD14" s="10" t="n">
        <f aca="false">IF(AD$4=1,Допущения!$C$86,0)</f>
        <v>0</v>
      </c>
      <c r="AE14" s="10" t="n">
        <f aca="false">IF(AE$4=1,Допущения!$C$86,0)</f>
        <v>0</v>
      </c>
      <c r="AF14" s="10" t="n">
        <f aca="false">IF(AF$4=1,Допущения!$C$86,0)</f>
        <v>0</v>
      </c>
      <c r="AG14" s="10" t="n">
        <f aca="false">IF(AG$4=1,Допущения!$C$86,0)</f>
        <v>0</v>
      </c>
      <c r="AH14" s="10" t="n">
        <f aca="false">IF(AH$4=1,Допущения!$C$86,0)</f>
        <v>0</v>
      </c>
      <c r="AI14" s="10" t="n">
        <f aca="false">IF(AI$4=1,Допущения!$C$86,0)</f>
        <v>0</v>
      </c>
      <c r="AJ14" s="10" t="n">
        <f aca="false">IF(AJ$4=1,Допущения!$C$86,0)</f>
        <v>0</v>
      </c>
      <c r="AK14" s="10" t="n">
        <f aca="false">IF(AK$4=1,Допущения!$C$86,0)</f>
        <v>0</v>
      </c>
      <c r="AL14" s="10" t="n">
        <f aca="false">IF(AL$4=1,Допущения!$C$86,0)</f>
        <v>0</v>
      </c>
      <c r="AM14" s="10" t="n">
        <f aca="false">SUM(C14:N14)</f>
        <v>150000</v>
      </c>
      <c r="AN14" s="10" t="n">
        <f aca="false">SUM(O14:Z14)</f>
        <v>0</v>
      </c>
      <c r="AO14" s="10" t="n">
        <f aca="false">SUM(AA14:AL14)</f>
        <v>0</v>
      </c>
      <c r="AP14" s="10" t="n">
        <f aca="false">SUM(C14:AL14)</f>
        <v>150000</v>
      </c>
    </row>
    <row r="15" customFormat="false" ht="15" hidden="false" customHeight="false" outlineLevel="0" collapsed="false">
      <c r="A15" s="1" t="s">
        <v>285</v>
      </c>
      <c r="B15" s="1" t="s">
        <v>286</v>
      </c>
      <c r="C15" s="11" t="n">
        <f aca="false">C13-C14</f>
        <v>-280000</v>
      </c>
      <c r="D15" s="11" t="n">
        <f aca="false">D13-D14</f>
        <v>-139324.040793883</v>
      </c>
      <c r="E15" s="11" t="n">
        <f aca="false">E13-E14</f>
        <v>-143518.247121432</v>
      </c>
      <c r="F15" s="11" t="n">
        <f aca="false">F13-F14</f>
        <v>-145647.552481303</v>
      </c>
      <c r="G15" s="11" t="n">
        <f aca="false">G13-G14</f>
        <v>-147153.613597059</v>
      </c>
      <c r="H15" s="11" t="n">
        <f aca="false">H13-H14</f>
        <v>-148320.462748697</v>
      </c>
      <c r="I15" s="11" t="n">
        <f aca="false">I13-I14</f>
        <v>-149266.781665945</v>
      </c>
      <c r="J15" s="11" t="n">
        <f aca="false">J13-J14</f>
        <v>-150055.275513216</v>
      </c>
      <c r="K15" s="11" t="n">
        <f aca="false">K13-K14</f>
        <v>-150723.701159797</v>
      </c>
      <c r="L15" s="11" t="n">
        <f aca="false">L13-L14</f>
        <v>-151296.812773746</v>
      </c>
      <c r="M15" s="11" t="n">
        <f aca="false">M13-M14</f>
        <v>-151791.848372303</v>
      </c>
      <c r="N15" s="11" t="n">
        <f aca="false">N13-N14</f>
        <v>-152221.366110533</v>
      </c>
      <c r="O15" s="11" t="n">
        <f aca="false">O13-O14</f>
        <v>-152594.841793893</v>
      </c>
      <c r="P15" s="11" t="n">
        <f aca="false">P13-P14</f>
        <v>-152919.629487218</v>
      </c>
      <c r="Q15" s="11" t="n">
        <f aca="false">Q13-Q14</f>
        <v>-153201.56980109</v>
      </c>
      <c r="R15" s="11" t="n">
        <f aca="false">R13-R14</f>
        <v>-153445.391597999</v>
      </c>
      <c r="S15" s="11" t="n">
        <f aca="false">S13-S14</f>
        <v>-153654.986677683</v>
      </c>
      <c r="T15" s="11" t="n">
        <f aca="false">T13-T14</f>
        <v>-153833.603206524</v>
      </c>
      <c r="U15" s="11" t="n">
        <f aca="false">U13-U14</f>
        <v>-153983.985394591</v>
      </c>
      <c r="V15" s="11" t="n">
        <f aca="false">V13-V14</f>
        <v>-154108.476576095</v>
      </c>
      <c r="W15" s="11" t="n">
        <f aca="false">W13-W14</f>
        <v>-154209.096742859</v>
      </c>
      <c r="X15" s="11" t="n">
        <f aca="false">X13-X14</f>
        <v>-154287.601849046</v>
      </c>
      <c r="Y15" s="11" t="n">
        <f aca="false">Y13-Y14</f>
        <v>-154345.529854436</v>
      </c>
      <c r="Z15" s="11" t="n">
        <f aca="false">Z13-Z14</f>
        <v>-154384.236951925</v>
      </c>
      <c r="AA15" s="11" t="n">
        <f aca="false">AA13-AA14</f>
        <v>-154404.926416293</v>
      </c>
      <c r="AB15" s="11" t="n">
        <f aca="false">AB13-AB14</f>
        <v>-154408.671828238</v>
      </c>
      <c r="AC15" s="11" t="n">
        <f aca="false">AC13-AC14</f>
        <v>-154396.435956067</v>
      </c>
      <c r="AD15" s="11" t="n">
        <f aca="false">AD13-AD14</f>
        <v>-154369.086246224</v>
      </c>
      <c r="AE15" s="11" t="n">
        <f aca="false">AE13-AE14</f>
        <v>-154327.40763735</v>
      </c>
      <c r="AF15" s="11" t="n">
        <f aca="false">AF13-AF14</f>
        <v>-154272.113241433</v>
      </c>
      <c r="AG15" s="11" t="n">
        <f aca="false">AG13-AG14</f>
        <v>-154203.853309924</v>
      </c>
      <c r="AH15" s="11" t="n">
        <f aca="false">AH13-AH14</f>
        <v>-154123.222809434</v>
      </c>
      <c r="AI15" s="11" t="n">
        <f aca="false">AI13-AI14</f>
        <v>-154030.767861503</v>
      </c>
      <c r="AJ15" s="11" t="n">
        <f aca="false">AJ13-AJ14</f>
        <v>-153926.991247723</v>
      </c>
      <c r="AK15" s="11" t="n">
        <f aca="false">AK13-AK14</f>
        <v>-153812.357140726</v>
      </c>
      <c r="AL15" s="11" t="n">
        <f aca="false">AL13-AL14</f>
        <v>-153687.295189963</v>
      </c>
      <c r="AM15" s="11" t="n">
        <f aca="false">SUM(C15:N15)</f>
        <v>-1909319.70233791</v>
      </c>
      <c r="AN15" s="11" t="n">
        <f aca="false">SUM(O15:Z15)</f>
        <v>-1844968.94993336</v>
      </c>
      <c r="AO15" s="11" t="n">
        <f aca="false">SUM(AA15:AL15)</f>
        <v>-1849963.12888488</v>
      </c>
      <c r="AP15" s="11" t="n">
        <f aca="false">SUM(C15:AL15)</f>
        <v>-5604251.78115615</v>
      </c>
    </row>
    <row r="16" customFormat="false" ht="15" hidden="false" customHeight="false" outlineLevel="0" collapsed="false">
      <c r="A16" s="1" t="s">
        <v>287</v>
      </c>
      <c r="B16" s="1" t="s">
        <v>288</v>
      </c>
      <c r="C16" s="11" t="n">
        <f aca="false">0+C15</f>
        <v>-280000</v>
      </c>
      <c r="D16" s="11" t="n">
        <f aca="false">C16+D15</f>
        <v>-419324.040793883</v>
      </c>
      <c r="E16" s="11" t="n">
        <f aca="false">D16+E15</f>
        <v>-562842.287915315</v>
      </c>
      <c r="F16" s="11" t="n">
        <f aca="false">E16+F15</f>
        <v>-708489.840396617</v>
      </c>
      <c r="G16" s="11" t="n">
        <f aca="false">F16+G15</f>
        <v>-855643.453993676</v>
      </c>
      <c r="H16" s="11" t="n">
        <f aca="false">G16+H15</f>
        <v>-1003963.91674237</v>
      </c>
      <c r="I16" s="11" t="n">
        <f aca="false">H16+I15</f>
        <v>-1153230.69840832</v>
      </c>
      <c r="J16" s="11" t="n">
        <f aca="false">I16+J15</f>
        <v>-1303285.97392153</v>
      </c>
      <c r="K16" s="11" t="n">
        <f aca="false">J16+K15</f>
        <v>-1454009.67508133</v>
      </c>
      <c r="L16" s="11" t="n">
        <f aca="false">K16+L15</f>
        <v>-1605306.48785508</v>
      </c>
      <c r="M16" s="11" t="n">
        <f aca="false">L16+M15</f>
        <v>-1757098.33622738</v>
      </c>
      <c r="N16" s="11" t="n">
        <f aca="false">M16+N15</f>
        <v>-1909319.70233791</v>
      </c>
      <c r="O16" s="11" t="n">
        <f aca="false">N16+O15</f>
        <v>-2061914.54413181</v>
      </c>
      <c r="P16" s="11" t="n">
        <f aca="false">O16+P15</f>
        <v>-2214834.17361902</v>
      </c>
      <c r="Q16" s="11" t="n">
        <f aca="false">P16+Q15</f>
        <v>-2368035.74342011</v>
      </c>
      <c r="R16" s="11" t="n">
        <f aca="false">Q16+R15</f>
        <v>-2521481.13501811</v>
      </c>
      <c r="S16" s="11" t="n">
        <f aca="false">R16+S15</f>
        <v>-2675136.1216958</v>
      </c>
      <c r="T16" s="11" t="n">
        <f aca="false">S16+T15</f>
        <v>-2828969.72490232</v>
      </c>
      <c r="U16" s="11" t="n">
        <f aca="false">T16+U15</f>
        <v>-2982953.71029691</v>
      </c>
      <c r="V16" s="11" t="n">
        <f aca="false">U16+V15</f>
        <v>-3137062.18687301</v>
      </c>
      <c r="W16" s="11" t="n">
        <f aca="false">V16+W15</f>
        <v>-3291271.28361587</v>
      </c>
      <c r="X16" s="11" t="n">
        <f aca="false">W16+X15</f>
        <v>-3445558.88546491</v>
      </c>
      <c r="Y16" s="11" t="n">
        <f aca="false">X16+Y15</f>
        <v>-3599904.41531935</v>
      </c>
      <c r="Z16" s="11" t="n">
        <f aca="false">Y16+Z15</f>
        <v>-3754288.65227127</v>
      </c>
      <c r="AA16" s="11" t="n">
        <f aca="false">Z16+AA15</f>
        <v>-3908693.57868756</v>
      </c>
      <c r="AB16" s="11" t="n">
        <f aca="false">AA16+AB15</f>
        <v>-4063102.2505158</v>
      </c>
      <c r="AC16" s="11" t="n">
        <f aca="false">AB16+AC15</f>
        <v>-4217498.68647187</v>
      </c>
      <c r="AD16" s="11" t="n">
        <f aca="false">AC16+AD15</f>
        <v>-4371867.77271809</v>
      </c>
      <c r="AE16" s="11" t="n">
        <f aca="false">AD16+AE15</f>
        <v>-4526195.18035544</v>
      </c>
      <c r="AF16" s="11" t="n">
        <f aca="false">AE16+AF15</f>
        <v>-4680467.29359688</v>
      </c>
      <c r="AG16" s="11" t="n">
        <f aca="false">AF16+AG15</f>
        <v>-4834671.1469068</v>
      </c>
      <c r="AH16" s="11" t="n">
        <f aca="false">AG16+AH15</f>
        <v>-4988794.36971623</v>
      </c>
      <c r="AI16" s="11" t="n">
        <f aca="false">AH16+AI15</f>
        <v>-5142825.13757774</v>
      </c>
      <c r="AJ16" s="11" t="n">
        <f aca="false">AI16+AJ15</f>
        <v>-5296752.12882546</v>
      </c>
      <c r="AK16" s="11" t="n">
        <f aca="false">AJ16+AK15</f>
        <v>-5450564.48596619</v>
      </c>
      <c r="AL16" s="11" t="n">
        <f aca="false">AK16+AL15</f>
        <v>-5604251.78115615</v>
      </c>
      <c r="AM16" s="11" t="n">
        <f aca="false">N16</f>
        <v>-1909319.70233791</v>
      </c>
      <c r="AN16" s="11" t="n">
        <f aca="false">Z16</f>
        <v>-3754288.65227127</v>
      </c>
      <c r="AO16" s="11" t="n">
        <f aca="false">AL16</f>
        <v>-5604251.78115615</v>
      </c>
      <c r="AP16" s="1"/>
    </row>
    <row r="17" customFormat="false" ht="15" hidden="false" customHeight="false" outlineLevel="0" collapsed="false">
      <c r="A17" s="0" t="s">
        <v>289</v>
      </c>
      <c r="B17" s="0" t="s">
        <v>290</v>
      </c>
      <c r="C17" s="0" t="n">
        <f aca="false">IF(AND(C13&gt;0,COUNTIF(C13:AL13,"&lt;=0")=0),C$4,99)</f>
        <v>99</v>
      </c>
      <c r="D17" s="0" t="n">
        <f aca="false">IF(AND(D13&gt;0,COUNTIF(D13:AL13,"&lt;=0")=0),D$4,99)</f>
        <v>99</v>
      </c>
      <c r="E17" s="0" t="n">
        <f aca="false">IF(AND(E13&gt;0,COUNTIF(E13:AL13,"&lt;=0")=0),E$4,99)</f>
        <v>99</v>
      </c>
      <c r="F17" s="0" t="n">
        <f aca="false">IF(AND(F13&gt;0,COUNTIF(F13:AL13,"&lt;=0")=0),F$4,99)</f>
        <v>99</v>
      </c>
      <c r="G17" s="0" t="n">
        <f aca="false">IF(AND(G13&gt;0,COUNTIF(G13:AL13,"&lt;=0")=0),G$4,99)</f>
        <v>99</v>
      </c>
      <c r="H17" s="0" t="n">
        <f aca="false">IF(AND(H13&gt;0,COUNTIF(H13:AL13,"&lt;=0")=0),H$4,99)</f>
        <v>99</v>
      </c>
      <c r="I17" s="0" t="n">
        <f aca="false">IF(AND(I13&gt;0,COUNTIF(I13:AL13,"&lt;=0")=0),I$4,99)</f>
        <v>99</v>
      </c>
      <c r="J17" s="0" t="n">
        <f aca="false">IF(AND(J13&gt;0,COUNTIF(J13:AL13,"&lt;=0")=0),J$4,99)</f>
        <v>99</v>
      </c>
      <c r="K17" s="0" t="n">
        <f aca="false">IF(AND(K13&gt;0,COUNTIF(K13:AL13,"&lt;=0")=0),K$4,99)</f>
        <v>99</v>
      </c>
      <c r="L17" s="0" t="n">
        <f aca="false">IF(AND(L13&gt;0,COUNTIF(L13:AL13,"&lt;=0")=0),L$4,99)</f>
        <v>99</v>
      </c>
      <c r="M17" s="0" t="n">
        <f aca="false">IF(AND(M13&gt;0,COUNTIF(M13:AL13,"&lt;=0")=0),M$4,99)</f>
        <v>99</v>
      </c>
      <c r="N17" s="0" t="n">
        <f aca="false">IF(AND(N13&gt;0,COUNTIF(N13:AL13,"&lt;=0")=0),N$4,99)</f>
        <v>99</v>
      </c>
      <c r="O17" s="0" t="n">
        <f aca="false">IF(AND(O13&gt;0,COUNTIF(O13:AL13,"&lt;=0")=0),O$4,99)</f>
        <v>99</v>
      </c>
      <c r="P17" s="0" t="n">
        <f aca="false">IF(AND(P13&gt;0,COUNTIF(P13:AL13,"&lt;=0")=0),P$4,99)</f>
        <v>99</v>
      </c>
      <c r="Q17" s="0" t="n">
        <f aca="false">IF(AND(Q13&gt;0,COUNTIF(Q13:AL13,"&lt;=0")=0),Q$4,99)</f>
        <v>99</v>
      </c>
      <c r="R17" s="0" t="n">
        <f aca="false">IF(AND(R13&gt;0,COUNTIF(R13:AL13,"&lt;=0")=0),R$4,99)</f>
        <v>99</v>
      </c>
      <c r="S17" s="0" t="n">
        <f aca="false">IF(AND(S13&gt;0,COUNTIF(S13:AL13,"&lt;=0")=0),S$4,99)</f>
        <v>99</v>
      </c>
      <c r="T17" s="0" t="n">
        <f aca="false">IF(AND(T13&gt;0,COUNTIF(T13:AL13,"&lt;=0")=0),T$4,99)</f>
        <v>99</v>
      </c>
      <c r="U17" s="0" t="n">
        <f aca="false">IF(AND(U13&gt;0,COUNTIF(U13:AL13,"&lt;=0")=0),U$4,99)</f>
        <v>99</v>
      </c>
      <c r="V17" s="0" t="n">
        <f aca="false">IF(AND(V13&gt;0,COUNTIF(V13:AL13,"&lt;=0")=0),V$4,99)</f>
        <v>99</v>
      </c>
      <c r="W17" s="0" t="n">
        <f aca="false">IF(AND(W13&gt;0,COUNTIF(W13:AL13,"&lt;=0")=0),W$4,99)</f>
        <v>99</v>
      </c>
      <c r="X17" s="0" t="n">
        <f aca="false">IF(AND(X13&gt;0,COUNTIF(X13:AL13,"&lt;=0")=0),X$4,99)</f>
        <v>99</v>
      </c>
      <c r="Y17" s="0" t="n">
        <f aca="false">IF(AND(Y13&gt;0,COUNTIF(Y13:AL13,"&lt;=0")=0),Y$4,99)</f>
        <v>99</v>
      </c>
      <c r="Z17" s="0" t="n">
        <f aca="false">IF(AND(Z13&gt;0,COUNTIF(Z13:AL13,"&lt;=0")=0),Z$4,99)</f>
        <v>99</v>
      </c>
      <c r="AA17" s="0" t="n">
        <f aca="false">IF(AND(AA13&gt;0,COUNTIF(AA13:AL13,"&lt;=0")=0),AA$4,99)</f>
        <v>99</v>
      </c>
      <c r="AB17" s="0" t="n">
        <f aca="false">IF(AND(AB13&gt;0,COUNTIF(AB13:AL13,"&lt;=0")=0),AB$4,99)</f>
        <v>99</v>
      </c>
      <c r="AC17" s="0" t="n">
        <f aca="false">IF(AND(AC13&gt;0,COUNTIF(AC13:AL13,"&lt;=0")=0),AC$4,99)</f>
        <v>99</v>
      </c>
      <c r="AD17" s="0" t="n">
        <f aca="false">IF(AND(AD13&gt;0,COUNTIF(AD13:AL13,"&lt;=0")=0),AD$4,99)</f>
        <v>99</v>
      </c>
      <c r="AE17" s="0" t="n">
        <f aca="false">IF(AND(AE13&gt;0,COUNTIF(AE13:AL13,"&lt;=0")=0),AE$4,99)</f>
        <v>99</v>
      </c>
      <c r="AF17" s="0" t="n">
        <f aca="false">IF(AND(AF13&gt;0,COUNTIF(AF13:AL13,"&lt;=0")=0),AF$4,99)</f>
        <v>99</v>
      </c>
      <c r="AG17" s="0" t="n">
        <f aca="false">IF(AND(AG13&gt;0,COUNTIF(AG13:AL13,"&lt;=0")=0),AG$4,99)</f>
        <v>99</v>
      </c>
      <c r="AH17" s="0" t="n">
        <f aca="false">IF(AND(AH13&gt;0,COUNTIF(AH13:AL13,"&lt;=0")=0),AH$4,99)</f>
        <v>99</v>
      </c>
      <c r="AI17" s="0" t="n">
        <f aca="false">IF(AND(AI13&gt;0,COUNTIF(AI13:AL13,"&lt;=0")=0),AI$4,99)</f>
        <v>99</v>
      </c>
      <c r="AJ17" s="0" t="n">
        <f aca="false">IF(AND(AJ13&gt;0,COUNTIF(AJ13:AL13,"&lt;=0")=0),AJ$4,99)</f>
        <v>99</v>
      </c>
      <c r="AK17" s="0" t="n">
        <f aca="false">IF(AND(AK13&gt;0,COUNTIF(AK13:AL13,"&lt;=0")=0),AK$4,99)</f>
        <v>99</v>
      </c>
      <c r="AL17" s="0" t="n">
        <f aca="false">IF(AND(AL13&gt;0,COUNTIF(AL13:AL13,"&lt;=0")=0),AL$4,99)</f>
        <v>99</v>
      </c>
    </row>
    <row r="18" customFormat="false" ht="15" hidden="false" customHeight="false" outlineLevel="0" collapsed="false">
      <c r="A18" s="0" t="s">
        <v>291</v>
      </c>
      <c r="B18" s="0" t="s">
        <v>292</v>
      </c>
      <c r="C18" s="0" t="n">
        <f aca="false">IF(AND(C16&gt;=0,COUNTIF(C16:AL16,"&lt;0")=0),C$4,99)</f>
        <v>99</v>
      </c>
      <c r="D18" s="0" t="n">
        <f aca="false">IF(AND(D16&gt;=0,COUNTIF(D16:AL16,"&lt;0")=0),D$4,99)</f>
        <v>99</v>
      </c>
      <c r="E18" s="0" t="n">
        <f aca="false">IF(AND(E16&gt;=0,COUNTIF(E16:AL16,"&lt;0")=0),E$4,99)</f>
        <v>99</v>
      </c>
      <c r="F18" s="0" t="n">
        <f aca="false">IF(AND(F16&gt;=0,COUNTIF(F16:AL16,"&lt;0")=0),F$4,99)</f>
        <v>99</v>
      </c>
      <c r="G18" s="0" t="n">
        <f aca="false">IF(AND(G16&gt;=0,COUNTIF(G16:AL16,"&lt;0")=0),G$4,99)</f>
        <v>99</v>
      </c>
      <c r="H18" s="0" t="n">
        <f aca="false">IF(AND(H16&gt;=0,COUNTIF(H16:AL16,"&lt;0")=0),H$4,99)</f>
        <v>99</v>
      </c>
      <c r="I18" s="0" t="n">
        <f aca="false">IF(AND(I16&gt;=0,COUNTIF(I16:AL16,"&lt;0")=0),I$4,99)</f>
        <v>99</v>
      </c>
      <c r="J18" s="0" t="n">
        <f aca="false">IF(AND(J16&gt;=0,COUNTIF(J16:AL16,"&lt;0")=0),J$4,99)</f>
        <v>99</v>
      </c>
      <c r="K18" s="0" t="n">
        <f aca="false">IF(AND(K16&gt;=0,COUNTIF(K16:AL16,"&lt;0")=0),K$4,99)</f>
        <v>99</v>
      </c>
      <c r="L18" s="0" t="n">
        <f aca="false">IF(AND(L16&gt;=0,COUNTIF(L16:AL16,"&lt;0")=0),L$4,99)</f>
        <v>99</v>
      </c>
      <c r="M18" s="0" t="n">
        <f aca="false">IF(AND(M16&gt;=0,COUNTIF(M16:AL16,"&lt;0")=0),M$4,99)</f>
        <v>99</v>
      </c>
      <c r="N18" s="0" t="n">
        <f aca="false">IF(AND(N16&gt;=0,COUNTIF(N16:AL16,"&lt;0")=0),N$4,99)</f>
        <v>99</v>
      </c>
      <c r="O18" s="0" t="n">
        <f aca="false">IF(AND(O16&gt;=0,COUNTIF(O16:AL16,"&lt;0")=0),O$4,99)</f>
        <v>99</v>
      </c>
      <c r="P18" s="0" t="n">
        <f aca="false">IF(AND(P16&gt;=0,COUNTIF(P16:AL16,"&lt;0")=0),P$4,99)</f>
        <v>99</v>
      </c>
      <c r="Q18" s="0" t="n">
        <f aca="false">IF(AND(Q16&gt;=0,COUNTIF(Q16:AL16,"&lt;0")=0),Q$4,99)</f>
        <v>99</v>
      </c>
      <c r="R18" s="0" t="n">
        <f aca="false">IF(AND(R16&gt;=0,COUNTIF(R16:AL16,"&lt;0")=0),R$4,99)</f>
        <v>99</v>
      </c>
      <c r="S18" s="0" t="n">
        <f aca="false">IF(AND(S16&gt;=0,COUNTIF(S16:AL16,"&lt;0")=0),S$4,99)</f>
        <v>99</v>
      </c>
      <c r="T18" s="0" t="n">
        <f aca="false">IF(AND(T16&gt;=0,COUNTIF(T16:AL16,"&lt;0")=0),T$4,99)</f>
        <v>99</v>
      </c>
      <c r="U18" s="0" t="n">
        <f aca="false">IF(AND(U16&gt;=0,COUNTIF(U16:AL16,"&lt;0")=0),U$4,99)</f>
        <v>99</v>
      </c>
      <c r="V18" s="0" t="n">
        <f aca="false">IF(AND(V16&gt;=0,COUNTIF(V16:AL16,"&lt;0")=0),V$4,99)</f>
        <v>99</v>
      </c>
      <c r="W18" s="0" t="n">
        <f aca="false">IF(AND(W16&gt;=0,COUNTIF(W16:AL16,"&lt;0")=0),W$4,99)</f>
        <v>99</v>
      </c>
      <c r="X18" s="0" t="n">
        <f aca="false">IF(AND(X16&gt;=0,COUNTIF(X16:AL16,"&lt;0")=0),X$4,99)</f>
        <v>99</v>
      </c>
      <c r="Y18" s="0" t="n">
        <f aca="false">IF(AND(Y16&gt;=0,COUNTIF(Y16:AL16,"&lt;0")=0),Y$4,99)</f>
        <v>99</v>
      </c>
      <c r="Z18" s="0" t="n">
        <f aca="false">IF(AND(Z16&gt;=0,COUNTIF(Z16:AL16,"&lt;0")=0),Z$4,99)</f>
        <v>99</v>
      </c>
      <c r="AA18" s="0" t="n">
        <f aca="false">IF(AND(AA16&gt;=0,COUNTIF(AA16:AL16,"&lt;0")=0),AA$4,99)</f>
        <v>99</v>
      </c>
      <c r="AB18" s="0" t="n">
        <f aca="false">IF(AND(AB16&gt;=0,COUNTIF(AB16:AL16,"&lt;0")=0),AB$4,99)</f>
        <v>99</v>
      </c>
      <c r="AC18" s="0" t="n">
        <f aca="false">IF(AND(AC16&gt;=0,COUNTIF(AC16:AL16,"&lt;0")=0),AC$4,99)</f>
        <v>99</v>
      </c>
      <c r="AD18" s="0" t="n">
        <f aca="false">IF(AND(AD16&gt;=0,COUNTIF(AD16:AL16,"&lt;0")=0),AD$4,99)</f>
        <v>99</v>
      </c>
      <c r="AE18" s="0" t="n">
        <f aca="false">IF(AND(AE16&gt;=0,COUNTIF(AE16:AL16,"&lt;0")=0),AE$4,99)</f>
        <v>99</v>
      </c>
      <c r="AF18" s="0" t="n">
        <f aca="false">IF(AND(AF16&gt;=0,COUNTIF(AF16:AL16,"&lt;0")=0),AF$4,99)</f>
        <v>99</v>
      </c>
      <c r="AG18" s="0" t="n">
        <f aca="false">IF(AND(AG16&gt;=0,COUNTIF(AG16:AL16,"&lt;0")=0),AG$4,99)</f>
        <v>99</v>
      </c>
      <c r="AH18" s="0" t="n">
        <f aca="false">IF(AND(AH16&gt;=0,COUNTIF(AH16:AL16,"&lt;0")=0),AH$4,99)</f>
        <v>99</v>
      </c>
      <c r="AI18" s="0" t="n">
        <f aca="false">IF(AND(AI16&gt;=0,COUNTIF(AI16:AL16,"&lt;0")=0),AI$4,99)</f>
        <v>99</v>
      </c>
      <c r="AJ18" s="0" t="n">
        <f aca="false">IF(AND(AJ16&gt;=0,COUNTIF(AJ16:AL16,"&lt;0")=0),AJ$4,99)</f>
        <v>99</v>
      </c>
      <c r="AK18" s="0" t="n">
        <f aca="false">IF(AND(AK16&gt;=0,COUNTIF(AK16:AL16,"&lt;0")=0),AK$4,99)</f>
        <v>99</v>
      </c>
      <c r="AL18" s="0" t="n">
        <f aca="false">IF(AND(AL16&gt;=0,COUNTIF(AL16:AL16,"&lt;0")=0),AL$4,99)</f>
        <v>99</v>
      </c>
    </row>
    <row r="20" customFormat="false" ht="15" hidden="false" customHeight="false" outlineLevel="0" collapsed="false">
      <c r="A20" s="1" t="s">
        <v>293</v>
      </c>
      <c r="B20" s="1" t="s">
        <v>252</v>
      </c>
      <c r="C20" s="1" t="n">
        <v>1</v>
      </c>
      <c r="D20" s="1" t="n">
        <v>2</v>
      </c>
      <c r="E20" s="1" t="n">
        <v>3</v>
      </c>
      <c r="F20" s="1" t="n">
        <v>4</v>
      </c>
      <c r="G20" s="1" t="n">
        <v>5</v>
      </c>
      <c r="H20" s="1" t="n">
        <v>6</v>
      </c>
      <c r="I20" s="1" t="n">
        <v>7</v>
      </c>
      <c r="J20" s="1" t="n">
        <v>8</v>
      </c>
      <c r="K20" s="1" t="n">
        <v>9</v>
      </c>
      <c r="L20" s="1" t="n">
        <v>10</v>
      </c>
      <c r="M20" s="1" t="n">
        <v>11</v>
      </c>
      <c r="N20" s="1" t="n">
        <v>12</v>
      </c>
      <c r="O20" s="1" t="n">
        <v>13</v>
      </c>
      <c r="P20" s="1" t="n">
        <v>14</v>
      </c>
      <c r="Q20" s="1" t="n">
        <v>15</v>
      </c>
      <c r="R20" s="1" t="n">
        <v>16</v>
      </c>
      <c r="S20" s="1" t="n">
        <v>17</v>
      </c>
      <c r="T20" s="1" t="n">
        <v>18</v>
      </c>
      <c r="U20" s="1" t="n">
        <v>19</v>
      </c>
      <c r="V20" s="1" t="n">
        <v>20</v>
      </c>
      <c r="W20" s="1" t="n">
        <v>21</v>
      </c>
      <c r="X20" s="1" t="n">
        <v>22</v>
      </c>
      <c r="Y20" s="1" t="n">
        <v>23</v>
      </c>
      <c r="Z20" s="1" t="n">
        <v>24</v>
      </c>
      <c r="AA20" s="1" t="n">
        <v>25</v>
      </c>
      <c r="AB20" s="1" t="n">
        <v>26</v>
      </c>
      <c r="AC20" s="1" t="n">
        <v>27</v>
      </c>
      <c r="AD20" s="1" t="n">
        <v>28</v>
      </c>
      <c r="AE20" s="1" t="n">
        <v>29</v>
      </c>
      <c r="AF20" s="1" t="n">
        <v>30</v>
      </c>
      <c r="AG20" s="1" t="n">
        <v>31</v>
      </c>
      <c r="AH20" s="1" t="n">
        <v>32</v>
      </c>
      <c r="AI20" s="1" t="n">
        <v>33</v>
      </c>
      <c r="AJ20" s="1" t="n">
        <v>34</v>
      </c>
      <c r="AK20" s="1" t="n">
        <v>35</v>
      </c>
      <c r="AL20" s="1" t="n">
        <v>36</v>
      </c>
      <c r="AM20" s="1" t="s">
        <v>253</v>
      </c>
      <c r="AN20" s="1" t="s">
        <v>254</v>
      </c>
      <c r="AO20" s="1" t="s">
        <v>255</v>
      </c>
      <c r="AP20" s="1" t="s">
        <v>256</v>
      </c>
    </row>
    <row r="21" customFormat="false" ht="15" hidden="false" customHeight="false" outlineLevel="0" collapsed="false">
      <c r="A21" s="0" t="s">
        <v>257</v>
      </c>
      <c r="B21" s="0" t="s">
        <v>336</v>
      </c>
      <c r="C21" s="10" t="n">
        <f aca="false">Допущения!$D$79*IF(C$20&lt;2,0,((C$20-1)/35)^Допущения!$D$87)</f>
        <v>0</v>
      </c>
      <c r="D21" s="10" t="n">
        <f aca="false">Допущения!$D$79*IF(D$20&lt;2,0,((D$20-1)/35)^Допущения!$D$87)</f>
        <v>841.917617003549</v>
      </c>
      <c r="E21" s="10" t="n">
        <f aca="false">Допущения!$D$79*IF(E$20&lt;2,0,((E$20-1)/35)^Допущения!$D$87)</f>
        <v>1934.21876339</v>
      </c>
      <c r="F21" s="10" t="n">
        <f aca="false">Допущения!$D$79*IF(F$20&lt;2,0,((F$20-1)/35)^Допущения!$D$87)</f>
        <v>3146.40847232606</v>
      </c>
      <c r="G21" s="10" t="n">
        <f aca="false">Допущения!$D$79*IF(G$20&lt;2,0,((G$20-1)/35)^Допущения!$D$87)</f>
        <v>4443.66782342099</v>
      </c>
      <c r="H21" s="10" t="n">
        <f aca="false">Допущения!$D$79*IF(H$20&lt;2,0,((H$20-1)/35)^Допущения!$D$87)</f>
        <v>5808.09354343269</v>
      </c>
      <c r="I21" s="10" t="n">
        <f aca="false">Допущения!$D$79*IF(I$20&lt;2,0,((I$20-1)/35)^Допущения!$D$87)</f>
        <v>7228.54847261937</v>
      </c>
      <c r="J21" s="10" t="n">
        <f aca="false">Допущения!$D$79*IF(J$20&lt;2,0,((J$20-1)/35)^Допущения!$D$87)</f>
        <v>8697.35596413235</v>
      </c>
      <c r="K21" s="10" t="n">
        <f aca="false">Допущения!$D$79*IF(K$20&lt;2,0,((K$20-1)/35)^Допущения!$D$87)</f>
        <v>10208.8678378339</v>
      </c>
      <c r="L21" s="10" t="n">
        <f aca="false">Допущения!$D$79*IF(L$20&lt;2,0,((L$20-1)/35)^Допущения!$D$87)</f>
        <v>11758.7351479349</v>
      </c>
      <c r="M21" s="10" t="n">
        <f aca="false">Допущения!$D$79*IF(M$20&lt;2,0,((M$20-1)/35)^Допущения!$D$87)</f>
        <v>13343.4949980201</v>
      </c>
      <c r="N21" s="10" t="n">
        <f aca="false">Допущения!$D$79*IF(N$20&lt;2,0,((N$20-1)/35)^Допущения!$D$87)</f>
        <v>14960.3178023435</v>
      </c>
      <c r="O21" s="10" t="n">
        <f aca="false">Допущения!$D$79*IF(O$20&lt;2,0,((O$20-1)/35)^Допущения!$D$87)</f>
        <v>16606.8434790284</v>
      </c>
      <c r="P21" s="10" t="n">
        <f aca="false">Допущения!$D$79*IF(P$20&lt;2,0,((P$20-1)/35)^Допущения!$D$87)</f>
        <v>18281.0703502441</v>
      </c>
      <c r="Q21" s="10" t="n">
        <f aca="false">Допущения!$D$79*IF(Q$20&lt;2,0,((Q$20-1)/35)^Допущения!$D$87)</f>
        <v>19981.276977645</v>
      </c>
      <c r="R21" s="10" t="n">
        <f aca="false">Допущения!$D$79*IF(R$20&lt;2,0,((R$20-1)/35)^Допущения!$D$87)</f>
        <v>21705.9654817057</v>
      </c>
      <c r="S21" s="10" t="n">
        <f aca="false">Допущения!$D$79*IF(S$20&lt;2,0,((S$20-1)/35)^Допущения!$D$87)</f>
        <v>23453.8193834038</v>
      </c>
      <c r="T21" s="10" t="n">
        <f aca="false">Допущения!$D$79*IF(T$20&lt;2,0,((T$20-1)/35)^Допущения!$D$87)</f>
        <v>25223.6715619352</v>
      </c>
      <c r="U21" s="10" t="n">
        <f aca="false">Допущения!$D$79*IF(U$20&lt;2,0,((U$20-1)/35)^Допущения!$D$87)</f>
        <v>27014.4794425573</v>
      </c>
      <c r="V21" s="10" t="n">
        <f aca="false">Допущения!$D$79*IF(V$20&lt;2,0,((V$20-1)/35)^Допущения!$D$87)</f>
        <v>28825.3054681976</v>
      </c>
      <c r="W21" s="10" t="n">
        <f aca="false">Допущения!$D$79*IF(W$20&lt;2,0,((W$20-1)/35)^Допущения!$D$87)</f>
        <v>30655.3015082736</v>
      </c>
      <c r="X21" s="10" t="n">
        <f aca="false">Допущения!$D$79*IF(X$20&lt;2,0,((X$20-1)/35)^Допущения!$D$87)</f>
        <v>32503.6962521076</v>
      </c>
      <c r="Y21" s="10" t="n">
        <f aca="false">Допущения!$D$79*IF(Y$20&lt;2,0,((Y$20-1)/35)^Допущения!$D$87)</f>
        <v>34369.7848995696</v>
      </c>
      <c r="Z21" s="10" t="n">
        <f aca="false">Допущения!$D$79*IF(Z$20&lt;2,0,((Z$20-1)/35)^Допущения!$D$87)</f>
        <v>36252.920644181</v>
      </c>
      <c r="AA21" s="10" t="n">
        <f aca="false">Допущения!$D$79*IF(AA$20&lt;2,0,((AA$20-1)/35)^Допущения!$D$87)</f>
        <v>38152.5075721063</v>
      </c>
      <c r="AB21" s="10" t="n">
        <f aca="false">Допущения!$D$79*IF(AB$20&lt;2,0,((AB$20-1)/35)^Допущения!$D$87)</f>
        <v>40067.9946920773</v>
      </c>
      <c r="AC21" s="10" t="n">
        <f aca="false">Допущения!$D$79*IF(AC$20&lt;2,0,((AC$20-1)/35)^Допущения!$D$87)</f>
        <v>41998.8708778209</v>
      </c>
      <c r="AD21" s="10" t="n">
        <f aca="false">Допущения!$D$79*IF(AD$20&lt;2,0,((AD$20-1)/35)^Допущения!$D$87)</f>
        <v>43944.6605535809</v>
      </c>
      <c r="AE21" s="10" t="n">
        <f aca="false">Допущения!$D$79*IF(AE$20&lt;2,0,((AE$20-1)/35)^Допущения!$D$87)</f>
        <v>45904.9199899218</v>
      </c>
      <c r="AF21" s="10" t="n">
        <f aca="false">Допущения!$D$79*IF(AF$20&lt;2,0,((AF$20-1)/35)^Допущения!$D$87)</f>
        <v>47879.2341046607</v>
      </c>
      <c r="AG21" s="10" t="n">
        <f aca="false">Допущения!$D$79*IF(AG$20&lt;2,0,((AG$20-1)/35)^Допущения!$D$87)</f>
        <v>49867.2136849155</v>
      </c>
      <c r="AH21" s="10" t="n">
        <f aca="false">Допущения!$D$79*IF(AH$20&lt;2,0,((AH$20-1)/35)^Допущения!$D$87)</f>
        <v>51868.4929625752</v>
      </c>
      <c r="AI21" s="10" t="n">
        <f aca="false">Допущения!$D$79*IF(AI$20&lt;2,0,((AI$20-1)/35)^Допущения!$D$87)</f>
        <v>53882.7274882271</v>
      </c>
      <c r="AJ21" s="10" t="n">
        <f aca="false">Допущения!$D$79*IF(AJ$20&lt;2,0,((AJ$20-1)/35)^Допущения!$D$87)</f>
        <v>55909.5922585802</v>
      </c>
      <c r="AK21" s="10" t="n">
        <f aca="false">Допущения!$D$79*IF(AK$20&lt;2,0,((AK$20-1)/35)^Допущения!$D$87)</f>
        <v>57948.780060361</v>
      </c>
      <c r="AL21" s="10" t="n">
        <f aca="false">Допущения!$D$79*IF(AL$20&lt;2,0,((AL$20-1)/35)^Допущения!$D$87)</f>
        <v>60000</v>
      </c>
      <c r="AM21" s="10" t="n">
        <f aca="false">SUM(C21:N21)</f>
        <v>82371.6264424574</v>
      </c>
      <c r="AN21" s="10" t="n">
        <f aca="false">SUM(O21:Z21)</f>
        <v>314874.135448849</v>
      </c>
      <c r="AO21" s="10" t="n">
        <f aca="false">SUM(AA21:AL21)</f>
        <v>587424.994244827</v>
      </c>
      <c r="AP21" s="10" t="n">
        <f aca="false">SUM(C21:AL21)</f>
        <v>984670.756136133</v>
      </c>
    </row>
    <row r="22" customFormat="false" ht="15" hidden="false" customHeight="false" outlineLevel="0" collapsed="false">
      <c r="A22" s="0" t="s">
        <v>259</v>
      </c>
      <c r="B22" s="0" t="s">
        <v>337</v>
      </c>
      <c r="C22" s="10" t="n">
        <f aca="false">Допущения!$D$81*IF(C$20&lt;2,0,((C$20-1)/35)^Допущения!$D$87)</f>
        <v>0</v>
      </c>
      <c r="D22" s="10" t="n">
        <f aca="false">Допущения!$D$81*IF(D$20&lt;2,0,((D$20-1)/35)^Допущения!$D$87)</f>
        <v>168.38352340071</v>
      </c>
      <c r="E22" s="10" t="n">
        <f aca="false">Допущения!$D$81*IF(E$20&lt;2,0,((E$20-1)/35)^Допущения!$D$87)</f>
        <v>386.843752678</v>
      </c>
      <c r="F22" s="10" t="n">
        <f aca="false">Допущения!$D$81*IF(F$20&lt;2,0,((F$20-1)/35)^Допущения!$D$87)</f>
        <v>629.281694465213</v>
      </c>
      <c r="G22" s="10" t="n">
        <f aca="false">Допущения!$D$81*IF(G$20&lt;2,0,((G$20-1)/35)^Допущения!$D$87)</f>
        <v>888.733564684197</v>
      </c>
      <c r="H22" s="10" t="n">
        <f aca="false">Допущения!$D$81*IF(H$20&lt;2,0,((H$20-1)/35)^Допущения!$D$87)</f>
        <v>1161.61870868654</v>
      </c>
      <c r="I22" s="10" t="n">
        <f aca="false">Допущения!$D$81*IF(I$20&lt;2,0,((I$20-1)/35)^Допущения!$D$87)</f>
        <v>1445.70969452387</v>
      </c>
      <c r="J22" s="10" t="n">
        <f aca="false">Допущения!$D$81*IF(J$20&lt;2,0,((J$20-1)/35)^Допущения!$D$87)</f>
        <v>1739.47119282647</v>
      </c>
      <c r="K22" s="10" t="n">
        <f aca="false">Допущения!$D$81*IF(K$20&lt;2,0,((K$20-1)/35)^Допущения!$D$87)</f>
        <v>2041.77356756678</v>
      </c>
      <c r="L22" s="10" t="n">
        <f aca="false">Допущения!$D$81*IF(L$20&lt;2,0,((L$20-1)/35)^Допущения!$D$87)</f>
        <v>2351.74702958698</v>
      </c>
      <c r="M22" s="10" t="n">
        <f aca="false">Допущения!$D$81*IF(M$20&lt;2,0,((M$20-1)/35)^Допущения!$D$87)</f>
        <v>2668.69899960401</v>
      </c>
      <c r="N22" s="10" t="n">
        <f aca="false">Допущения!$D$81*IF(N$20&lt;2,0,((N$20-1)/35)^Допущения!$D$87)</f>
        <v>2992.06356046869</v>
      </c>
      <c r="O22" s="10" t="n">
        <f aca="false">Допущения!$D$81*IF(O$20&lt;2,0,((O$20-1)/35)^Допущения!$D$87)</f>
        <v>3321.36869580568</v>
      </c>
      <c r="P22" s="10" t="n">
        <f aca="false">Допущения!$D$81*IF(P$20&lt;2,0,((P$20-1)/35)^Допущения!$D$87)</f>
        <v>3656.21407004881</v>
      </c>
      <c r="Q22" s="10" t="n">
        <f aca="false">Допущения!$D$81*IF(Q$20&lt;2,0,((Q$20-1)/35)^Допущения!$D$87)</f>
        <v>3996.25539552899</v>
      </c>
      <c r="R22" s="10" t="n">
        <f aca="false">Допущения!$D$81*IF(R$20&lt;2,0,((R$20-1)/35)^Допущения!$D$87)</f>
        <v>4341.19309634114</v>
      </c>
      <c r="S22" s="10" t="n">
        <f aca="false">Допущения!$D$81*IF(S$20&lt;2,0,((S$20-1)/35)^Допущения!$D$87)</f>
        <v>4690.76387668077</v>
      </c>
      <c r="T22" s="10" t="n">
        <f aca="false">Допущения!$D$81*IF(T$20&lt;2,0,((T$20-1)/35)^Допущения!$D$87)</f>
        <v>5044.73431238704</v>
      </c>
      <c r="U22" s="10" t="n">
        <f aca="false">Допущения!$D$81*IF(U$20&lt;2,0,((U$20-1)/35)^Допущения!$D$87)</f>
        <v>5402.89588851146</v>
      </c>
      <c r="V22" s="10" t="n">
        <f aca="false">Допущения!$D$81*IF(V$20&lt;2,0,((V$20-1)/35)^Допущения!$D$87)</f>
        <v>5765.06109363951</v>
      </c>
      <c r="W22" s="10" t="n">
        <f aca="false">Допущения!$D$81*IF(W$20&lt;2,0,((W$20-1)/35)^Допущения!$D$87)</f>
        <v>6131.06030165473</v>
      </c>
      <c r="X22" s="10" t="n">
        <f aca="false">Допущения!$D$81*IF(X$20&lt;2,0,((X$20-1)/35)^Допущения!$D$87)</f>
        <v>6500.73925042153</v>
      </c>
      <c r="Y22" s="10" t="n">
        <f aca="false">Допущения!$D$81*IF(Y$20&lt;2,0,((Y$20-1)/35)^Допущения!$D$87)</f>
        <v>6873.95697991392</v>
      </c>
      <c r="Z22" s="10" t="n">
        <f aca="false">Допущения!$D$81*IF(Z$20&lt;2,0,((Z$20-1)/35)^Допущения!$D$87)</f>
        <v>7250.5841288362</v>
      </c>
      <c r="AA22" s="10" t="n">
        <f aca="false">Допущения!$D$81*IF(AA$20&lt;2,0,((AA$20-1)/35)^Допущения!$D$87)</f>
        <v>7630.50151442126</v>
      </c>
      <c r="AB22" s="10" t="n">
        <f aca="false">Допущения!$D$81*IF(AB$20&lt;2,0,((AB$20-1)/35)^Допущения!$D$87)</f>
        <v>8013.59893841546</v>
      </c>
      <c r="AC22" s="10" t="n">
        <f aca="false">Допущения!$D$81*IF(AC$20&lt;2,0,((AC$20-1)/35)^Допущения!$D$87)</f>
        <v>8399.77417556417</v>
      </c>
      <c r="AD22" s="10" t="n">
        <f aca="false">Допущения!$D$81*IF(AD$20&lt;2,0,((AD$20-1)/35)^Допущения!$D$87)</f>
        <v>8788.93211071618</v>
      </c>
      <c r="AE22" s="10" t="n">
        <f aca="false">Допущения!$D$81*IF(AE$20&lt;2,0,((AE$20-1)/35)^Допущения!$D$87)</f>
        <v>9180.98399798436</v>
      </c>
      <c r="AF22" s="10" t="n">
        <f aca="false">Допущения!$D$81*IF(AF$20&lt;2,0,((AF$20-1)/35)^Допущения!$D$87)</f>
        <v>9575.84682093215</v>
      </c>
      <c r="AG22" s="10" t="n">
        <f aca="false">Допущения!$D$81*IF(AG$20&lt;2,0,((AG$20-1)/35)^Допущения!$D$87)</f>
        <v>9973.4427369831</v>
      </c>
      <c r="AH22" s="10" t="n">
        <f aca="false">Допущения!$D$81*IF(AH$20&lt;2,0,((AH$20-1)/35)^Допущения!$D$87)</f>
        <v>10373.698592515</v>
      </c>
      <c r="AI22" s="10" t="n">
        <f aca="false">Допущения!$D$81*IF(AI$20&lt;2,0,((AI$20-1)/35)^Допущения!$D$87)</f>
        <v>10776.5454976454</v>
      </c>
      <c r="AJ22" s="10" t="n">
        <f aca="false">Допущения!$D$81*IF(AJ$20&lt;2,0,((AJ$20-1)/35)^Допущения!$D$87)</f>
        <v>11181.918451716</v>
      </c>
      <c r="AK22" s="10" t="n">
        <f aca="false">Допущения!$D$81*IF(AK$20&lt;2,0,((AK$20-1)/35)^Допущения!$D$87)</f>
        <v>11589.7560120722</v>
      </c>
      <c r="AL22" s="10" t="n">
        <f aca="false">Допущения!$D$81*IF(AL$20&lt;2,0,((AL$20-1)/35)^Допущения!$D$87)</f>
        <v>12000</v>
      </c>
      <c r="AM22" s="10" t="n">
        <f aca="false">N22</f>
        <v>2992.06356046869</v>
      </c>
      <c r="AN22" s="10" t="n">
        <f aca="false">Z22</f>
        <v>7250.5841288362</v>
      </c>
      <c r="AO22" s="10" t="n">
        <f aca="false">AL22</f>
        <v>12000</v>
      </c>
    </row>
    <row r="23" customFormat="false" ht="15" hidden="false" customHeight="false" outlineLevel="0" collapsed="false">
      <c r="A23" s="0" t="s">
        <v>263</v>
      </c>
      <c r="B23" s="0" t="s">
        <v>264</v>
      </c>
      <c r="C23" s="10" t="n">
        <f aca="false">C21*Допущения!$D$80+C22*Допущения!$D$82</f>
        <v>0</v>
      </c>
      <c r="D23" s="10" t="n">
        <f aca="false">D21*Допущения!$D$80+D22*Допущения!$D$82</f>
        <v>303.090342121278</v>
      </c>
      <c r="E23" s="10" t="n">
        <f aca="false">E21*Допущения!$D$80+E22*Допущения!$D$82</f>
        <v>696.3187548204</v>
      </c>
      <c r="F23" s="10" t="n">
        <f aca="false">F21*Допущения!$D$80+F22*Допущения!$D$82</f>
        <v>1132.70705003738</v>
      </c>
      <c r="G23" s="10" t="n">
        <f aca="false">G21*Допущения!$D$80+G22*Допущения!$D$82</f>
        <v>1599.72041643155</v>
      </c>
      <c r="H23" s="10" t="n">
        <f aca="false">H21*Допущения!$D$80+H22*Допущения!$D$82</f>
        <v>2090.91367563577</v>
      </c>
      <c r="I23" s="10" t="n">
        <f aca="false">I21*Допущения!$D$80+I22*Допущения!$D$82</f>
        <v>2602.27745014297</v>
      </c>
      <c r="J23" s="10" t="n">
        <f aca="false">J21*Допущения!$D$80+J22*Допущения!$D$82</f>
        <v>3131.04814708765</v>
      </c>
      <c r="K23" s="10" t="n">
        <f aca="false">K21*Допущения!$D$80+K22*Допущения!$D$82</f>
        <v>3675.1924216202</v>
      </c>
      <c r="L23" s="10" t="n">
        <f aca="false">L21*Допущения!$D$80+L22*Допущения!$D$82</f>
        <v>4233.14465325657</v>
      </c>
      <c r="M23" s="10" t="n">
        <f aca="false">M21*Допущения!$D$80+M22*Допущения!$D$82</f>
        <v>4803.65819928723</v>
      </c>
      <c r="N23" s="10" t="n">
        <f aca="false">N21*Допущения!$D$80+N22*Допущения!$D$82</f>
        <v>5385.71440884365</v>
      </c>
      <c r="O23" s="10" t="n">
        <f aca="false">O21*Допущения!$D$80+O22*Допущения!$D$82</f>
        <v>5978.46365245022</v>
      </c>
      <c r="P23" s="10" t="n">
        <f aca="false">P21*Допущения!$D$80+P22*Допущения!$D$82</f>
        <v>6581.18532608787</v>
      </c>
      <c r="Q23" s="10" t="n">
        <f aca="false">Q21*Допущения!$D$80+Q22*Допущения!$D$82</f>
        <v>7193.25971195219</v>
      </c>
      <c r="R23" s="10" t="n">
        <f aca="false">R21*Допущения!$D$80+R22*Допущения!$D$82</f>
        <v>7814.14757341405</v>
      </c>
      <c r="S23" s="10" t="n">
        <f aca="false">S21*Допущения!$D$80+S22*Допущения!$D$82</f>
        <v>8443.37497802538</v>
      </c>
      <c r="T23" s="10" t="n">
        <f aca="false">T21*Допущения!$D$80+T22*Допущения!$D$82</f>
        <v>9080.52176229668</v>
      </c>
      <c r="U23" s="10" t="n">
        <f aca="false">U21*Допущения!$D$80+U22*Допущения!$D$82</f>
        <v>9725.21259932063</v>
      </c>
      <c r="V23" s="10" t="n">
        <f aca="false">V21*Допущения!$D$80+V22*Допущения!$D$82</f>
        <v>10377.1099685511</v>
      </c>
      <c r="W23" s="10" t="n">
        <f aca="false">W21*Допущения!$D$80+W22*Допущения!$D$82</f>
        <v>11035.9085429785</v>
      </c>
      <c r="X23" s="10" t="n">
        <f aca="false">X21*Допущения!$D$80+X22*Допущения!$D$82</f>
        <v>11701.3306507587</v>
      </c>
      <c r="Y23" s="10" t="n">
        <f aca="false">Y21*Допущения!$D$80+Y22*Допущения!$D$82</f>
        <v>12373.1225638451</v>
      </c>
      <c r="Z23" s="10" t="n">
        <f aca="false">Z21*Допущения!$D$80+Z22*Допущения!$D$82</f>
        <v>13051.0514319052</v>
      </c>
      <c r="AA23" s="10" t="n">
        <f aca="false">AA21*Допущения!$D$80+AA22*Допущения!$D$82</f>
        <v>13734.9027259583</v>
      </c>
      <c r="AB23" s="10" t="n">
        <f aca="false">AB21*Допущения!$D$80+AB22*Допущения!$D$82</f>
        <v>14424.4780891478</v>
      </c>
      <c r="AC23" s="10" t="n">
        <f aca="false">AC21*Допущения!$D$80+AC22*Допущения!$D$82</f>
        <v>15119.5935160155</v>
      </c>
      <c r="AD23" s="10" t="n">
        <f aca="false">AD21*Допущения!$D$80+AD22*Допущения!$D$82</f>
        <v>15820.0777992891</v>
      </c>
      <c r="AE23" s="10" t="n">
        <f aca="false">AE21*Допущения!$D$80+AE22*Допущения!$D$82</f>
        <v>16525.7711963718</v>
      </c>
      <c r="AF23" s="10" t="n">
        <f aca="false">AF21*Допущения!$D$80+AF22*Допущения!$D$82</f>
        <v>17236.5242776779</v>
      </c>
      <c r="AG23" s="10" t="n">
        <f aca="false">AG21*Допущения!$D$80+AG22*Допущения!$D$82</f>
        <v>17952.1969265696</v>
      </c>
      <c r="AH23" s="10" t="n">
        <f aca="false">AH21*Допущения!$D$80+AH22*Допущения!$D$82</f>
        <v>18672.6574665271</v>
      </c>
      <c r="AI23" s="10" t="n">
        <f aca="false">AI21*Допущения!$D$80+AI22*Допущения!$D$82</f>
        <v>19397.7818957618</v>
      </c>
      <c r="AJ23" s="10" t="n">
        <f aca="false">AJ21*Допущения!$D$80+AJ22*Допущения!$D$82</f>
        <v>20127.4532130889</v>
      </c>
      <c r="AK23" s="10" t="n">
        <f aca="false">AK21*Допущения!$D$80+AK22*Допущения!$D$82</f>
        <v>20861.5608217299</v>
      </c>
      <c r="AL23" s="10" t="n">
        <f aca="false">AL21*Допущения!$D$80+AL22*Допущения!$D$82</f>
        <v>21600</v>
      </c>
      <c r="AM23" s="10" t="n">
        <f aca="false">SUM(C23:N23)</f>
        <v>29653.7855192846</v>
      </c>
      <c r="AN23" s="10" t="n">
        <f aca="false">SUM(O23:Z23)</f>
        <v>113354.688761586</v>
      </c>
      <c r="AO23" s="10" t="n">
        <f aca="false">SUM(AA23:AL23)</f>
        <v>211472.997928138</v>
      </c>
      <c r="AP23" s="10" t="n">
        <f aca="false">SUM(C23:AL23)</f>
        <v>354481.472209008</v>
      </c>
    </row>
    <row r="24" customFormat="false" ht="15" hidden="false" customHeight="false" outlineLevel="0" collapsed="false">
      <c r="A24" s="0" t="s">
        <v>265</v>
      </c>
      <c r="B24" s="0" t="s">
        <v>338</v>
      </c>
      <c r="C24" s="10" t="n">
        <f aca="false">C23*Допущения!$D$6*Допущения!$D$7</f>
        <v>0</v>
      </c>
      <c r="D24" s="10" t="n">
        <f aca="false">D23*Допущения!$D$6*Допущения!$D$7</f>
        <v>12.1993862703814</v>
      </c>
      <c r="E24" s="10" t="n">
        <f aca="false">E23*Допущения!$D$6*Допущения!$D$7</f>
        <v>28.0268298815211</v>
      </c>
      <c r="F24" s="10" t="n">
        <f aca="false">F23*Допущения!$D$6*Допущения!$D$7</f>
        <v>45.5914587640047</v>
      </c>
      <c r="G24" s="10" t="n">
        <f aca="false">G23*Допущения!$D$6*Допущения!$D$7</f>
        <v>64.3887467613701</v>
      </c>
      <c r="H24" s="10" t="n">
        <f aca="false">H23*Допущения!$D$6*Допущения!$D$7</f>
        <v>84.1592754443397</v>
      </c>
      <c r="I24" s="10" t="n">
        <f aca="false">I23*Допущения!$D$6*Допущения!$D$7</f>
        <v>104.741667368255</v>
      </c>
      <c r="J24" s="10" t="n">
        <f aca="false">J23*Допущения!$D$6*Допущения!$D$7</f>
        <v>126.024687920278</v>
      </c>
      <c r="K24" s="10" t="n">
        <f aca="false">K23*Допущения!$D$6*Допущения!$D$7</f>
        <v>147.926494970213</v>
      </c>
      <c r="L24" s="10" t="n">
        <f aca="false">L23*Допущения!$D$6*Допущения!$D$7</f>
        <v>170.384072293577</v>
      </c>
      <c r="M24" s="10" t="n">
        <f aca="false">M23*Допущения!$D$6*Допущения!$D$7</f>
        <v>193.347242521311</v>
      </c>
      <c r="N24" s="10" t="n">
        <f aca="false">N23*Допущения!$D$6*Допущения!$D$7</f>
        <v>216.775004955957</v>
      </c>
      <c r="O24" s="10" t="n">
        <f aca="false">O23*Допущения!$D$6*Допущения!$D$7</f>
        <v>240.633162011121</v>
      </c>
      <c r="P24" s="10" t="n">
        <f aca="false">P23*Допущения!$D$6*Допущения!$D$7</f>
        <v>264.892709375037</v>
      </c>
      <c r="Q24" s="10" t="n">
        <f aca="false">Q23*Допущения!$D$6*Допущения!$D$7</f>
        <v>289.528703406075</v>
      </c>
      <c r="R24" s="10" t="n">
        <f aca="false">R23*Допущения!$D$6*Допущения!$D$7</f>
        <v>314.519439829915</v>
      </c>
      <c r="S24" s="10" t="n">
        <f aca="false">S23*Допущения!$D$6*Допущения!$D$7</f>
        <v>339.845842865521</v>
      </c>
      <c r="T24" s="10" t="n">
        <f aca="false">T23*Допущения!$D$6*Допущения!$D$7</f>
        <v>365.491000932441</v>
      </c>
      <c r="U24" s="10" t="n">
        <f aca="false">U23*Допущения!$D$6*Допущения!$D$7</f>
        <v>391.439807122655</v>
      </c>
      <c r="V24" s="10" t="n">
        <f aca="false">V23*Допущения!$D$6*Допущения!$D$7</f>
        <v>417.678676234183</v>
      </c>
      <c r="W24" s="10" t="n">
        <f aca="false">W23*Допущения!$D$6*Допущения!$D$7</f>
        <v>444.195318854885</v>
      </c>
      <c r="X24" s="10" t="n">
        <f aca="false">X23*Допущения!$D$6*Допущения!$D$7</f>
        <v>470.97855869304</v>
      </c>
      <c r="Y24" s="10" t="n">
        <f aca="false">Y23*Допущения!$D$6*Допущения!$D$7</f>
        <v>498.018183194764</v>
      </c>
      <c r="Z24" s="10" t="n">
        <f aca="false">Z23*Допущения!$D$6*Допущения!$D$7</f>
        <v>525.304820134182</v>
      </c>
      <c r="AA24" s="10" t="n">
        <f aca="false">AA23*Допущения!$D$6*Допущения!$D$7</f>
        <v>552.82983471982</v>
      </c>
      <c r="AB24" s="10" t="n">
        <f aca="false">AB23*Допущения!$D$6*Допущения!$D$7</f>
        <v>580.5852430882</v>
      </c>
      <c r="AC24" s="10" t="n">
        <f aca="false">AC23*Допущения!$D$6*Допущения!$D$7</f>
        <v>608.563639019624</v>
      </c>
      <c r="AD24" s="10" t="n">
        <f aca="false">AD23*Допущения!$D$6*Допущения!$D$7</f>
        <v>636.758131421387</v>
      </c>
      <c r="AE24" s="10" t="n">
        <f aca="false">AE23*Допущения!$D$6*Допущения!$D$7</f>
        <v>665.162290653967</v>
      </c>
      <c r="AF24" s="10" t="n">
        <f aca="false">AF23*Допущения!$D$6*Допущения!$D$7</f>
        <v>693.770102176534</v>
      </c>
      <c r="AG24" s="10" t="n">
        <f aca="false">AG23*Допущения!$D$6*Допущения!$D$7</f>
        <v>722.575926294426</v>
      </c>
      <c r="AH24" s="10" t="n">
        <f aca="false">AH23*Допущения!$D$6*Допущения!$D$7</f>
        <v>751.574463027714</v>
      </c>
      <c r="AI24" s="10" t="n">
        <f aca="false">AI23*Допущения!$D$6*Допущения!$D$7</f>
        <v>780.760721304411</v>
      </c>
      <c r="AJ24" s="10" t="n">
        <f aca="false">AJ23*Допущения!$D$6*Допущения!$D$7</f>
        <v>810.129991826828</v>
      </c>
      <c r="AK24" s="10" t="n">
        <f aca="false">AK23*Допущения!$D$6*Допущения!$D$7</f>
        <v>839.67782307463</v>
      </c>
      <c r="AL24" s="10" t="n">
        <f aca="false">AL23*Допущения!$D$6*Допущения!$D$7</f>
        <v>869.4</v>
      </c>
      <c r="AM24" s="10" t="n">
        <f aca="false">SUM(C24:N24)</f>
        <v>1193.56486715121</v>
      </c>
      <c r="AN24" s="10" t="n">
        <f aca="false">SUM(O24:Z24)</f>
        <v>4562.52622265382</v>
      </c>
      <c r="AO24" s="10" t="n">
        <f aca="false">SUM(AA24:AL24)</f>
        <v>8511.78816660754</v>
      </c>
      <c r="AP24" s="10" t="n">
        <f aca="false">SUM(C24:AL24)</f>
        <v>14267.8792564126</v>
      </c>
    </row>
    <row r="25" customFormat="false" ht="15" hidden="false" customHeight="false" outlineLevel="0" collapsed="false">
      <c r="A25" s="0" t="s">
        <v>267</v>
      </c>
      <c r="B25" s="0" t="s">
        <v>268</v>
      </c>
      <c r="C25" s="10" t="n">
        <f aca="false">C24*Допущения!$D$4</f>
        <v>0</v>
      </c>
      <c r="D25" s="10" t="n">
        <f aca="false">D24*Допущения!$D$4</f>
        <v>19519.0180326103</v>
      </c>
      <c r="E25" s="10" t="n">
        <f aca="false">E24*Допущения!$D$4</f>
        <v>44842.9278104338</v>
      </c>
      <c r="F25" s="10" t="n">
        <f aca="false">F24*Допущения!$D$4</f>
        <v>72946.3340224075</v>
      </c>
      <c r="G25" s="10" t="n">
        <f aca="false">G24*Допущения!$D$4</f>
        <v>103021.994818192</v>
      </c>
      <c r="H25" s="10" t="n">
        <f aca="false">H24*Допущения!$D$4</f>
        <v>134654.840710944</v>
      </c>
      <c r="I25" s="10" t="n">
        <f aca="false">I24*Допущения!$D$4</f>
        <v>167586.667789207</v>
      </c>
      <c r="J25" s="10" t="n">
        <f aca="false">J24*Допущения!$D$4</f>
        <v>201639.500672444</v>
      </c>
      <c r="K25" s="10" t="n">
        <f aca="false">K24*Допущения!$D$4</f>
        <v>236682.391952341</v>
      </c>
      <c r="L25" s="10" t="n">
        <f aca="false">L24*Допущения!$D$4</f>
        <v>272614.515669723</v>
      </c>
      <c r="M25" s="10" t="n">
        <f aca="false">M24*Допущения!$D$4</f>
        <v>309355.588034097</v>
      </c>
      <c r="N25" s="10" t="n">
        <f aca="false">N24*Допущения!$D$4</f>
        <v>346840.007929531</v>
      </c>
      <c r="O25" s="10" t="n">
        <f aca="false">O24*Допущения!$D$4</f>
        <v>385013.059217794</v>
      </c>
      <c r="P25" s="10" t="n">
        <f aca="false">P24*Допущения!$D$4</f>
        <v>423828.335000059</v>
      </c>
      <c r="Q25" s="10" t="n">
        <f aca="false">Q24*Допущения!$D$4</f>
        <v>463245.925449721</v>
      </c>
      <c r="R25" s="10" t="n">
        <f aca="false">R24*Допущения!$D$4</f>
        <v>503231.103727865</v>
      </c>
      <c r="S25" s="10" t="n">
        <f aca="false">S24*Допущения!$D$4</f>
        <v>543753.348584834</v>
      </c>
      <c r="T25" s="10" t="n">
        <f aca="false">T24*Допущения!$D$4</f>
        <v>584785.601491906</v>
      </c>
      <c r="U25" s="10" t="n">
        <f aca="false">U24*Допущения!$D$4</f>
        <v>626303.691396249</v>
      </c>
      <c r="V25" s="10" t="n">
        <f aca="false">V24*Допущения!$D$4</f>
        <v>668285.881974692</v>
      </c>
      <c r="W25" s="10" t="n">
        <f aca="false">W24*Допущения!$D$4</f>
        <v>710712.510167816</v>
      </c>
      <c r="X25" s="10" t="n">
        <f aca="false">X24*Допущения!$D$4</f>
        <v>753565.693908863</v>
      </c>
      <c r="Y25" s="10" t="n">
        <f aca="false">Y24*Допущения!$D$4</f>
        <v>796829.093111622</v>
      </c>
      <c r="Z25" s="10" t="n">
        <f aca="false">Z24*Допущения!$D$4</f>
        <v>840487.712214692</v>
      </c>
      <c r="AA25" s="10" t="n">
        <f aca="false">AA24*Допущения!$D$4</f>
        <v>884527.735551713</v>
      </c>
      <c r="AB25" s="10" t="n">
        <f aca="false">AB24*Допущения!$D$4</f>
        <v>928936.38894112</v>
      </c>
      <c r="AC25" s="10" t="n">
        <f aca="false">AC24*Допущения!$D$4</f>
        <v>973701.822431399</v>
      </c>
      <c r="AD25" s="10" t="n">
        <f aca="false">AD24*Допущения!$D$4</f>
        <v>1018813.01027422</v>
      </c>
      <c r="AE25" s="10" t="n">
        <f aca="false">AE24*Допущения!$D$4</f>
        <v>1064259.66504635</v>
      </c>
      <c r="AF25" s="10" t="n">
        <f aca="false">AF24*Допущения!$D$4</f>
        <v>1110032.16348245</v>
      </c>
      <c r="AG25" s="10" t="n">
        <f aca="false">AG24*Допущения!$D$4</f>
        <v>1156121.48207108</v>
      </c>
      <c r="AH25" s="10" t="n">
        <f aca="false">AH24*Допущения!$D$4</f>
        <v>1202519.14084434</v>
      </c>
      <c r="AI25" s="10" t="n">
        <f aca="false">AI24*Допущения!$D$4</f>
        <v>1249217.15408706</v>
      </c>
      <c r="AJ25" s="10" t="n">
        <f aca="false">AJ24*Допущения!$D$4</f>
        <v>1296207.98692292</v>
      </c>
      <c r="AK25" s="10" t="n">
        <f aca="false">AK24*Допущения!$D$4</f>
        <v>1343484.51691941</v>
      </c>
      <c r="AL25" s="10" t="n">
        <f aca="false">AL24*Допущения!$D$4</f>
        <v>1391040</v>
      </c>
      <c r="AM25" s="10" t="n">
        <f aca="false">SUM(C25:N25)</f>
        <v>1909703.78744193</v>
      </c>
      <c r="AN25" s="10" t="n">
        <f aca="false">SUM(O25:Z25)</f>
        <v>7300041.95624611</v>
      </c>
      <c r="AO25" s="10" t="n">
        <f aca="false">SUM(AA25:AL25)</f>
        <v>13618861.0665721</v>
      </c>
      <c r="AP25" s="10" t="n">
        <f aca="false">SUM(C25:AL25)</f>
        <v>22828606.8102601</v>
      </c>
    </row>
    <row r="26" customFormat="false" ht="15" hidden="false" customHeight="false" outlineLevel="0" collapsed="false">
      <c r="A26" s="0" t="s">
        <v>275</v>
      </c>
      <c r="B26" s="0" t="s">
        <v>339</v>
      </c>
      <c r="C26" s="10" t="n">
        <f aca="false">C25*Допущения!$D$5+C21/1000*Допущения!$D$8</f>
        <v>0</v>
      </c>
      <c r="D26" s="10" t="n">
        <f aca="false">D25*Допущения!$D$5+D21/1000*Допущения!$D$8</f>
        <v>2409.63557327352</v>
      </c>
      <c r="E26" s="10" t="n">
        <f aca="false">E25*Допущения!$D$5+E21/1000*Допущения!$D$8</f>
        <v>5535.88883832325</v>
      </c>
      <c r="F26" s="10" t="n">
        <f aca="false">F25*Допущения!$D$5+F21/1000*Допущения!$D$8</f>
        <v>9005.27276047498</v>
      </c>
      <c r="G26" s="10" t="n">
        <f aca="false">G25*Допущения!$D$5+G21/1000*Допущения!$D$8</f>
        <v>12718.1328040567</v>
      </c>
      <c r="H26" s="10" t="n">
        <f aca="false">H25*Допущения!$D$5+H21/1000*Допущения!$D$8</f>
        <v>16623.2283687878</v>
      </c>
      <c r="I26" s="10" t="n">
        <f aca="false">I25*Допущения!$D$5+I21/1000*Допущения!$D$8</f>
        <v>20688.6840125144</v>
      </c>
      <c r="J26" s="10" t="n">
        <f aca="false">J25*Допущения!$D$5+J21/1000*Допущения!$D$8</f>
        <v>24892.5285578239</v>
      </c>
      <c r="K26" s="10" t="n">
        <f aca="false">K25*Допущения!$D$5+K21/1000*Допущения!$D$8</f>
        <v>29218.5964613076</v>
      </c>
      <c r="L26" s="10" t="n">
        <f aca="false">L25*Допущения!$D$5+L21/1000*Допущения!$D$8</f>
        <v>33654.4406922016</v>
      </c>
      <c r="M26" s="10" t="n">
        <f aca="false">M25*Допущения!$D$5+M21/1000*Допущения!$D$8</f>
        <v>38190.1501639333</v>
      </c>
      <c r="N26" s="10" t="n">
        <f aca="false">N25*Допущения!$D$5+N21/1000*Допущения!$D$8</f>
        <v>42817.6263757312</v>
      </c>
      <c r="O26" s="10" t="n">
        <f aca="false">O25*Допущения!$D$5+O21/1000*Допущения!$D$8</f>
        <v>47530.1145844576</v>
      </c>
      <c r="P26" s="10" t="n">
        <f aca="false">P25*Допущения!$D$5+P21/1000*Допущения!$D$8</f>
        <v>52321.8858280265</v>
      </c>
      <c r="Q26" s="10" t="n">
        <f aca="false">Q25*Допущения!$D$5+Q21/1000*Допущения!$D$8</f>
        <v>57188.0132121781</v>
      </c>
      <c r="R26" s="10" t="n">
        <f aca="false">R25*Допущения!$D$5+R21/1000*Допущения!$D$8</f>
        <v>62124.2096858802</v>
      </c>
      <c r="S26" s="10" t="n">
        <f aca="false">S25*Допущения!$D$5+S21/1000*Допущения!$D$8</f>
        <v>67126.7073808524</v>
      </c>
      <c r="T26" s="10" t="n">
        <f aca="false">T25*Допущения!$D$5+T21/1000*Допущения!$D$8</f>
        <v>72192.1659039835</v>
      </c>
      <c r="U26" s="10" t="n">
        <f aca="false">U25*Допущения!$D$5+U21/1000*Допущения!$D$8</f>
        <v>77317.6013229544</v>
      </c>
      <c r="V26" s="10" t="n">
        <f aca="false">V25*Допущения!$D$5+V21/1000*Допущения!$D$8</f>
        <v>82500.3302744189</v>
      </c>
      <c r="W26" s="10" t="n">
        <f aca="false">W25*Допущения!$D$5+W21/1000*Допущения!$D$8</f>
        <v>87737.9253407998</v>
      </c>
      <c r="X26" s="10" t="n">
        <f aca="false">X25*Допущения!$D$5+X21/1000*Допущения!$D$8</f>
        <v>93028.1789692322</v>
      </c>
      <c r="Y26" s="10" t="n">
        <f aca="false">Y25*Допущения!$D$5+Y21/1000*Допущения!$D$8</f>
        <v>98369.0739653602</v>
      </c>
      <c r="Z26" s="10" t="n">
        <f aca="false">Z25*Допущения!$D$5+Z21/1000*Допущения!$D$8</f>
        <v>103758.759117297</v>
      </c>
      <c r="AA26" s="10" t="n">
        <f aca="false">AA25*Допущения!$D$5+AA21/1000*Допущения!$D$8</f>
        <v>109195.528871974</v>
      </c>
      <c r="AB26" s="10" t="n">
        <f aca="false">AB25*Допущения!$D$5+AB21/1000*Допущения!$D$8</f>
        <v>114677.806248301</v>
      </c>
      <c r="AC26" s="10" t="n">
        <f aca="false">AC25*Допущения!$D$5+AC21/1000*Допущения!$D$8</f>
        <v>120204.128361994</v>
      </c>
      <c r="AD26" s="10" t="n">
        <f aca="false">AD25*Допущения!$D$5+AD21/1000*Допущения!$D$8</f>
        <v>125773.134077193</v>
      </c>
      <c r="AE26" s="10" t="n">
        <f aca="false">AE25*Допущения!$D$5+AE21/1000*Допущения!$D$8</f>
        <v>131383.553404755</v>
      </c>
      <c r="AF26" s="10" t="n">
        <f aca="false">AF25*Допущения!$D$5+AF21/1000*Допущения!$D$8</f>
        <v>137034.198346267</v>
      </c>
      <c r="AG26" s="10" t="n">
        <f aca="false">AG25*Допущения!$D$5+AG21/1000*Допущения!$D$8</f>
        <v>142723.954943323</v>
      </c>
      <c r="AH26" s="10" t="n">
        <f aca="false">AH25*Допущения!$D$5+AH21/1000*Допущения!$D$8</f>
        <v>148451.776338327</v>
      </c>
      <c r="AI26" s="10" t="n">
        <f aca="false">AI25*Допущения!$D$5+AI21/1000*Допущения!$D$8</f>
        <v>154216.676689505</v>
      </c>
      <c r="AJ26" s="10" t="n">
        <f aca="false">AJ25*Допущения!$D$5+AJ21/1000*Допущения!$D$8</f>
        <v>160017.725811437</v>
      </c>
      <c r="AK26" s="10" t="n">
        <f aca="false">AK25*Допущения!$D$5+AK21/1000*Допущения!$D$8</f>
        <v>165854.044435158</v>
      </c>
      <c r="AL26" s="10" t="n">
        <f aca="false">AL25*Допущения!$D$5+AL21/1000*Допущения!$D$8</f>
        <v>171724.8</v>
      </c>
      <c r="AM26" s="10" t="n">
        <f aca="false">SUM(C26:N26)</f>
        <v>235754.184608428</v>
      </c>
      <c r="AN26" s="10" t="n">
        <f aca="false">SUM(O26:Z26)</f>
        <v>901194.965585441</v>
      </c>
      <c r="AO26" s="10" t="n">
        <f aca="false">SUM(AA26:AL26)</f>
        <v>1681257.32752823</v>
      </c>
      <c r="AP26" s="10" t="n">
        <f aca="false">SUM(C26:AL26)</f>
        <v>2818206.4777221</v>
      </c>
    </row>
    <row r="27" customFormat="false" ht="15" hidden="false" customHeight="false" outlineLevel="0" collapsed="false">
      <c r="A27" s="0" t="s">
        <v>277</v>
      </c>
      <c r="B27" s="0" t="s">
        <v>340</v>
      </c>
      <c r="C27" s="10" t="n">
        <f aca="false">MAX(0,C22-0)*(1-Допущения!$D$83)*Допущения!$D$9</f>
        <v>0</v>
      </c>
      <c r="D27" s="10" t="n">
        <f aca="false">MAX(0,D22-C22)*(1-Допущения!$D$83)*Допущения!$D$9</f>
        <v>21216.3239484894</v>
      </c>
      <c r="E27" s="10" t="n">
        <f aca="false">MAX(0,E22-D22)*(1-Допущения!$D$83)*Допущения!$D$9</f>
        <v>27525.9888889386</v>
      </c>
      <c r="F27" s="10" t="n">
        <f aca="false">MAX(0,F22-E22)*(1-Допущения!$D$83)*Допущения!$D$9</f>
        <v>30547.1806651888</v>
      </c>
      <c r="G27" s="10" t="n">
        <f aca="false">MAX(0,G22-F22)*(1-Допущения!$D$83)*Допущения!$D$9</f>
        <v>32690.935647592</v>
      </c>
      <c r="H27" s="10" t="n">
        <f aca="false">MAX(0,H22-G22)*(1-Допущения!$D$83)*Допущения!$D$9</f>
        <v>34383.5281442951</v>
      </c>
      <c r="I27" s="10" t="n">
        <f aca="false">MAX(0,I22-H22)*(1-Допущения!$D$83)*Допущения!$D$9</f>
        <v>35795.4642155042</v>
      </c>
      <c r="J27" s="10" t="n">
        <f aca="false">MAX(0,J22-I22)*(1-Допущения!$D$83)*Допущения!$D$9</f>
        <v>37013.9487861271</v>
      </c>
      <c r="K27" s="10" t="n">
        <f aca="false">MAX(0,K22-J22)*(1-Допущения!$D$83)*Допущения!$D$9</f>
        <v>38090.0992172786</v>
      </c>
      <c r="L27" s="10" t="n">
        <f aca="false">MAX(0,L22-K22)*(1-Допущения!$D$83)*Допущения!$D$9</f>
        <v>39056.656214546</v>
      </c>
      <c r="M27" s="10" t="n">
        <f aca="false">MAX(0,M22-L22)*(1-Допущения!$D$83)*Допущения!$D$9</f>
        <v>39935.948222146</v>
      </c>
      <c r="N27" s="10" t="n">
        <f aca="false">MAX(0,N22-M22)*(1-Допущения!$D$83)*Допущения!$D$9</f>
        <v>40743.9346689497</v>
      </c>
      <c r="O27" s="10" t="n">
        <f aca="false">MAX(0,O22-N22)*(1-Допущения!$D$83)*Допущения!$D$9</f>
        <v>41492.4470524601</v>
      </c>
      <c r="P27" s="10" t="n">
        <f aca="false">MAX(0,P22-O22)*(1-Допущения!$D$83)*Допущения!$D$9</f>
        <v>42190.517154635</v>
      </c>
      <c r="Q27" s="10" t="n">
        <f aca="false">MAX(0,Q22-P22)*(1-Допущения!$D$83)*Допущения!$D$9</f>
        <v>42845.2070105024</v>
      </c>
      <c r="R27" s="10" t="n">
        <f aca="false">MAX(0,R22-Q22)*(1-Допущения!$D$83)*Допущения!$D$9</f>
        <v>43462.1503023305</v>
      </c>
      <c r="S27" s="10" t="n">
        <f aca="false">MAX(0,S22-R22)*(1-Допущения!$D$83)*Допущения!$D$9</f>
        <v>44045.9183227931</v>
      </c>
      <c r="T27" s="10" t="n">
        <f aca="false">MAX(0,T22-S22)*(1-Допущения!$D$83)*Допущения!$D$9</f>
        <v>44600.2748989909</v>
      </c>
      <c r="U27" s="10" t="n">
        <f aca="false">MAX(0,U22-T22)*(1-Допущения!$D$83)*Допущения!$D$9</f>
        <v>45128.3585916766</v>
      </c>
      <c r="V27" s="10" t="n">
        <f aca="false">MAX(0,V22-U22)*(1-Допущения!$D$83)*Допущения!$D$9</f>
        <v>45632.8158461344</v>
      </c>
      <c r="W27" s="10" t="n">
        <f aca="false">MAX(0,W22-V22)*(1-Допущения!$D$83)*Допущения!$D$9</f>
        <v>46115.9002099173</v>
      </c>
      <c r="X27" s="10" t="n">
        <f aca="false">MAX(0,X22-W22)*(1-Допущения!$D$83)*Допущения!$D$9</f>
        <v>46579.5475446166</v>
      </c>
      <c r="Y27" s="10" t="n">
        <f aca="false">MAX(0,Y22-X22)*(1-Допущения!$D$83)*Допущения!$D$9</f>
        <v>47025.4339160417</v>
      </c>
      <c r="Z27" s="10" t="n">
        <f aca="false">MAX(0,Z22-Y22)*(1-Допущения!$D$83)*Допущения!$D$9</f>
        <v>47455.0207642066</v>
      </c>
      <c r="AA27" s="10" t="n">
        <f aca="false">MAX(0,AA22-Z22)*(1-Допущения!$D$83)*Допущения!$D$9</f>
        <v>47869.5905837182</v>
      </c>
      <c r="AB27" s="10" t="n">
        <f aca="false">MAX(0,AB22-AA22)*(1-Допущения!$D$83)*Допущения!$D$9</f>
        <v>48270.2754232691</v>
      </c>
      <c r="AC27" s="10" t="n">
        <f aca="false">MAX(0,AC22-AB22)*(1-Допущения!$D$83)*Допущения!$D$9</f>
        <v>48658.0798807379</v>
      </c>
      <c r="AD27" s="10" t="n">
        <f aca="false">MAX(0,AD22-AC22)*(1-Допущения!$D$83)*Допущения!$D$9</f>
        <v>49033.8998291531</v>
      </c>
      <c r="AE27" s="10" t="n">
        <f aca="false">MAX(0,AE22-AD22)*(1-Допущения!$D$83)*Допущения!$D$9</f>
        <v>49398.5377957901</v>
      </c>
      <c r="AF27" s="10" t="n">
        <f aca="false">MAX(0,AF22-AE22)*(1-Допущения!$D$83)*Допущения!$D$9</f>
        <v>49752.7156914216</v>
      </c>
      <c r="AG27" s="10" t="n">
        <f aca="false">MAX(0,AG22-AF22)*(1-Допущения!$D$83)*Допущения!$D$9</f>
        <v>50097.0854224199</v>
      </c>
      <c r="AH27" s="10" t="n">
        <f aca="false">MAX(0,AH22-AG22)*(1-Допущения!$D$83)*Допущения!$D$9</f>
        <v>50432.2377970234</v>
      </c>
      <c r="AI27" s="10" t="n">
        <f aca="false">MAX(0,AI22-AH22)*(1-Допущения!$D$83)*Допущения!$D$9</f>
        <v>50758.7100464293</v>
      </c>
      <c r="AJ27" s="10" t="n">
        <f aca="false">MAX(0,AJ22-AI22)*(1-Допущения!$D$83)*Допущения!$D$9</f>
        <v>51076.9922128989</v>
      </c>
      <c r="AK27" s="10" t="n">
        <f aca="false">MAX(0,AK22-AJ22)*(1-Допущения!$D$83)*Допущения!$D$9</f>
        <v>51387.5326048738</v>
      </c>
      <c r="AL27" s="10" t="n">
        <f aca="false">MAX(0,AL22-AK22)*(1-Допущения!$D$83)*Допущения!$D$9</f>
        <v>51690.742478904</v>
      </c>
      <c r="AM27" s="10" t="n">
        <f aca="false">SUM(C27:N27)</f>
        <v>377000.008619055</v>
      </c>
      <c r="AN27" s="10" t="n">
        <f aca="false">SUM(O27:Z27)</f>
        <v>536573.591614305</v>
      </c>
      <c r="AO27" s="10" t="n">
        <f aca="false">SUM(AA27:AL27)</f>
        <v>598426.399766639</v>
      </c>
      <c r="AP27" s="10" t="n">
        <f aca="false">SUM(C27:AL27)</f>
        <v>1512000</v>
      </c>
    </row>
    <row r="28" customFormat="false" ht="15" hidden="false" customHeight="false" outlineLevel="0" collapsed="false">
      <c r="A28" s="0" t="s">
        <v>279</v>
      </c>
      <c r="B28" s="0" t="s">
        <v>280</v>
      </c>
      <c r="C28" s="10" t="n">
        <f aca="false">Допущения!$D$84</f>
        <v>110000</v>
      </c>
      <c r="D28" s="10" t="n">
        <f aca="false">Допущения!$D$84</f>
        <v>110000</v>
      </c>
      <c r="E28" s="10" t="n">
        <f aca="false">Допущения!$D$84</f>
        <v>110000</v>
      </c>
      <c r="F28" s="10" t="n">
        <f aca="false">Допущения!$D$84</f>
        <v>110000</v>
      </c>
      <c r="G28" s="10" t="n">
        <f aca="false">Допущения!$D$84</f>
        <v>110000</v>
      </c>
      <c r="H28" s="10" t="n">
        <f aca="false">Допущения!$D$84</f>
        <v>110000</v>
      </c>
      <c r="I28" s="10" t="n">
        <f aca="false">Допущения!$D$84</f>
        <v>110000</v>
      </c>
      <c r="J28" s="10" t="n">
        <f aca="false">Допущения!$D$84</f>
        <v>110000</v>
      </c>
      <c r="K28" s="10" t="n">
        <f aca="false">Допущения!$D$84</f>
        <v>110000</v>
      </c>
      <c r="L28" s="10" t="n">
        <f aca="false">Допущения!$D$84</f>
        <v>110000</v>
      </c>
      <c r="M28" s="10" t="n">
        <f aca="false">Допущения!$D$84</f>
        <v>110000</v>
      </c>
      <c r="N28" s="10" t="n">
        <f aca="false">Допущения!$D$84</f>
        <v>110000</v>
      </c>
      <c r="O28" s="10" t="n">
        <f aca="false">Допущения!$D$84</f>
        <v>110000</v>
      </c>
      <c r="P28" s="10" t="n">
        <f aca="false">Допущения!$D$84</f>
        <v>110000</v>
      </c>
      <c r="Q28" s="10" t="n">
        <f aca="false">Допущения!$D$84</f>
        <v>110000</v>
      </c>
      <c r="R28" s="10" t="n">
        <f aca="false">Допущения!$D$84</f>
        <v>110000</v>
      </c>
      <c r="S28" s="10" t="n">
        <f aca="false">Допущения!$D$84</f>
        <v>110000</v>
      </c>
      <c r="T28" s="10" t="n">
        <f aca="false">Допущения!$D$84</f>
        <v>110000</v>
      </c>
      <c r="U28" s="10" t="n">
        <f aca="false">Допущения!$D$84</f>
        <v>110000</v>
      </c>
      <c r="V28" s="10" t="n">
        <f aca="false">Допущения!$D$84</f>
        <v>110000</v>
      </c>
      <c r="W28" s="10" t="n">
        <f aca="false">Допущения!$D$84</f>
        <v>110000</v>
      </c>
      <c r="X28" s="10" t="n">
        <f aca="false">Допущения!$D$84</f>
        <v>110000</v>
      </c>
      <c r="Y28" s="10" t="n">
        <f aca="false">Допущения!$D$84</f>
        <v>110000</v>
      </c>
      <c r="Z28" s="10" t="n">
        <f aca="false">Допущения!$D$84</f>
        <v>110000</v>
      </c>
      <c r="AA28" s="10" t="n">
        <f aca="false">Допущения!$D$84</f>
        <v>110000</v>
      </c>
      <c r="AB28" s="10" t="n">
        <f aca="false">Допущения!$D$84</f>
        <v>110000</v>
      </c>
      <c r="AC28" s="10" t="n">
        <f aca="false">Допущения!$D$84</f>
        <v>110000</v>
      </c>
      <c r="AD28" s="10" t="n">
        <f aca="false">Допущения!$D$84</f>
        <v>110000</v>
      </c>
      <c r="AE28" s="10" t="n">
        <f aca="false">Допущения!$D$84</f>
        <v>110000</v>
      </c>
      <c r="AF28" s="10" t="n">
        <f aca="false">Допущения!$D$84</f>
        <v>110000</v>
      </c>
      <c r="AG28" s="10" t="n">
        <f aca="false">Допущения!$D$84</f>
        <v>110000</v>
      </c>
      <c r="AH28" s="10" t="n">
        <f aca="false">Допущения!$D$84</f>
        <v>110000</v>
      </c>
      <c r="AI28" s="10" t="n">
        <f aca="false">Допущения!$D$84</f>
        <v>110000</v>
      </c>
      <c r="AJ28" s="10" t="n">
        <f aca="false">Допущения!$D$84</f>
        <v>110000</v>
      </c>
      <c r="AK28" s="10" t="n">
        <f aca="false">Допущения!$D$84</f>
        <v>110000</v>
      </c>
      <c r="AL28" s="10" t="n">
        <f aca="false">Допущения!$D$84</f>
        <v>110000</v>
      </c>
      <c r="AM28" s="10" t="n">
        <f aca="false">SUM(C28:N28)</f>
        <v>1320000</v>
      </c>
      <c r="AN28" s="10" t="n">
        <f aca="false">SUM(O28:Z28)</f>
        <v>1320000</v>
      </c>
      <c r="AO28" s="10" t="n">
        <f aca="false">SUM(AA28:AL28)</f>
        <v>1320000</v>
      </c>
      <c r="AP28" s="10" t="n">
        <f aca="false">SUM(C28:AL28)</f>
        <v>3960000</v>
      </c>
    </row>
    <row r="29" customFormat="false" ht="15" hidden="false" customHeight="false" outlineLevel="0" collapsed="false">
      <c r="A29" s="1" t="s">
        <v>281</v>
      </c>
      <c r="B29" s="1" t="s">
        <v>282</v>
      </c>
      <c r="C29" s="11" t="n">
        <f aca="false">C26-C28-C27</f>
        <v>-110000</v>
      </c>
      <c r="D29" s="11" t="n">
        <f aca="false">D26-D28-D27</f>
        <v>-128806.688375216</v>
      </c>
      <c r="E29" s="11" t="n">
        <f aca="false">E26-E28-E27</f>
        <v>-131990.100050615</v>
      </c>
      <c r="F29" s="11" t="n">
        <f aca="false">F26-F28-F27</f>
        <v>-131541.907904714</v>
      </c>
      <c r="G29" s="11" t="n">
        <f aca="false">G26-G28-G27</f>
        <v>-129972.802843535</v>
      </c>
      <c r="H29" s="11" t="n">
        <f aca="false">H26-H28-H27</f>
        <v>-127760.299775507</v>
      </c>
      <c r="I29" s="11" t="n">
        <f aca="false">I26-I28-I27</f>
        <v>-125106.78020299</v>
      </c>
      <c r="J29" s="11" t="n">
        <f aca="false">J26-J28-J27</f>
        <v>-122121.420228303</v>
      </c>
      <c r="K29" s="11" t="n">
        <f aca="false">K26-K28-K27</f>
        <v>-118871.502755971</v>
      </c>
      <c r="L29" s="11" t="n">
        <f aca="false">L26-L28-L27</f>
        <v>-115402.215522344</v>
      </c>
      <c r="M29" s="11" t="n">
        <f aca="false">M26-M28-M27</f>
        <v>-111745.798058213</v>
      </c>
      <c r="N29" s="11" t="n">
        <f aca="false">N26-N28-N27</f>
        <v>-107926.308293218</v>
      </c>
      <c r="O29" s="11" t="n">
        <f aca="false">O26-O28-O27</f>
        <v>-103962.332468002</v>
      </c>
      <c r="P29" s="11" t="n">
        <f aca="false">P26-P28-P27</f>
        <v>-99868.6313266085</v>
      </c>
      <c r="Q29" s="11" t="n">
        <f aca="false">Q26-Q28-Q27</f>
        <v>-95657.1937983243</v>
      </c>
      <c r="R29" s="11" t="n">
        <f aca="false">R26-R28-R27</f>
        <v>-91337.9406164502</v>
      </c>
      <c r="S29" s="11" t="n">
        <f aca="false">S26-S28-S27</f>
        <v>-86919.2109419407</v>
      </c>
      <c r="T29" s="11" t="n">
        <f aca="false">T26-T28-T27</f>
        <v>-82408.1089950074</v>
      </c>
      <c r="U29" s="11" t="n">
        <f aca="false">U26-U28-U27</f>
        <v>-77810.7572687222</v>
      </c>
      <c r="V29" s="11" t="n">
        <f aca="false">V26-V28-V27</f>
        <v>-73132.4855717155</v>
      </c>
      <c r="W29" s="11" t="n">
        <f aca="false">W26-W28-W27</f>
        <v>-68377.9748691175</v>
      </c>
      <c r="X29" s="11" t="n">
        <f aca="false">X26-X28-X27</f>
        <v>-63551.3685753844</v>
      </c>
      <c r="Y29" s="11" t="n">
        <f aca="false">Y26-Y28-Y27</f>
        <v>-58656.3599506815</v>
      </c>
      <c r="Z29" s="11" t="n">
        <f aca="false">Z26-Z28-Z27</f>
        <v>-53696.2616469091</v>
      </c>
      <c r="AA29" s="11" t="n">
        <f aca="false">AA26-AA28-AA27</f>
        <v>-48674.0617117442</v>
      </c>
      <c r="AB29" s="11" t="n">
        <f aca="false">AB26-AB28-AB27</f>
        <v>-43592.4691749685</v>
      </c>
      <c r="AC29" s="11" t="n">
        <f aca="false">AC26-AC28-AC27</f>
        <v>-38453.9515187444</v>
      </c>
      <c r="AD29" s="11" t="n">
        <f aca="false">AD26-AD28-AD27</f>
        <v>-33260.7657519603</v>
      </c>
      <c r="AE29" s="11" t="n">
        <f aca="false">AE26-AE28-AE27</f>
        <v>-28014.9843910347</v>
      </c>
      <c r="AF29" s="11" t="n">
        <f aca="false">AF26-AF28-AF27</f>
        <v>-22718.5173451543</v>
      </c>
      <c r="AG29" s="11" t="n">
        <f aca="false">AG26-AG28-AG27</f>
        <v>-17373.130479097</v>
      </c>
      <c r="AH29" s="11" t="n">
        <f aca="false">AH26-AH28-AH27</f>
        <v>-11980.4614586963</v>
      </c>
      <c r="AI29" s="11" t="n">
        <f aca="false">AI26-AI28-AI27</f>
        <v>-6542.03335692418</v>
      </c>
      <c r="AJ29" s="11" t="n">
        <f aca="false">AJ26-AJ28-AJ27</f>
        <v>-1059.26640146156</v>
      </c>
      <c r="AK29" s="11" t="n">
        <f aca="false">AK26-AK28-AK27</f>
        <v>4466.51183028401</v>
      </c>
      <c r="AL29" s="11" t="n">
        <f aca="false">AL26-AL28-AL27</f>
        <v>10034.057521096</v>
      </c>
      <c r="AM29" s="11" t="n">
        <f aca="false">SUM(C29:N29)</f>
        <v>-1461245.82401063</v>
      </c>
      <c r="AN29" s="11" t="n">
        <f aca="false">SUM(O29:Z29)</f>
        <v>-955378.626028864</v>
      </c>
      <c r="AO29" s="11" t="n">
        <f aca="false">SUM(AA29:AL29)</f>
        <v>-237169.072238405</v>
      </c>
      <c r="AP29" s="11" t="n">
        <f aca="false">SUM(C29:AL29)</f>
        <v>-2653793.5222779</v>
      </c>
    </row>
    <row r="30" customFormat="false" ht="15" hidden="false" customHeight="false" outlineLevel="0" collapsed="false">
      <c r="A30" s="0" t="s">
        <v>283</v>
      </c>
      <c r="B30" s="0" t="s">
        <v>284</v>
      </c>
      <c r="C30" s="10" t="n">
        <f aca="false">IF(C$20=1,Допущения!$D$86,0)</f>
        <v>100000</v>
      </c>
      <c r="D30" s="10" t="n">
        <f aca="false">IF(D$20=1,Допущения!$D$86,0)</f>
        <v>0</v>
      </c>
      <c r="E30" s="10" t="n">
        <f aca="false">IF(E$20=1,Допущения!$D$86,0)</f>
        <v>0</v>
      </c>
      <c r="F30" s="10" t="n">
        <f aca="false">IF(F$20=1,Допущения!$D$86,0)</f>
        <v>0</v>
      </c>
      <c r="G30" s="10" t="n">
        <f aca="false">IF(G$20=1,Допущения!$D$86,0)</f>
        <v>0</v>
      </c>
      <c r="H30" s="10" t="n">
        <f aca="false">IF(H$20=1,Допущения!$D$86,0)</f>
        <v>0</v>
      </c>
      <c r="I30" s="10" t="n">
        <f aca="false">IF(I$20=1,Допущения!$D$86,0)</f>
        <v>0</v>
      </c>
      <c r="J30" s="10" t="n">
        <f aca="false">IF(J$20=1,Допущения!$D$86,0)</f>
        <v>0</v>
      </c>
      <c r="K30" s="10" t="n">
        <f aca="false">IF(K$20=1,Допущения!$D$86,0)</f>
        <v>0</v>
      </c>
      <c r="L30" s="10" t="n">
        <f aca="false">IF(L$20=1,Допущения!$D$86,0)</f>
        <v>0</v>
      </c>
      <c r="M30" s="10" t="n">
        <f aca="false">IF(M$20=1,Допущения!$D$86,0)</f>
        <v>0</v>
      </c>
      <c r="N30" s="10" t="n">
        <f aca="false">IF(N$20=1,Допущения!$D$86,0)</f>
        <v>0</v>
      </c>
      <c r="O30" s="10" t="n">
        <f aca="false">IF(O$20=1,Допущения!$D$86,0)</f>
        <v>0</v>
      </c>
      <c r="P30" s="10" t="n">
        <f aca="false">IF(P$20=1,Допущения!$D$86,0)</f>
        <v>0</v>
      </c>
      <c r="Q30" s="10" t="n">
        <f aca="false">IF(Q$20=1,Допущения!$D$86,0)</f>
        <v>0</v>
      </c>
      <c r="R30" s="10" t="n">
        <f aca="false">IF(R$20=1,Допущения!$D$86,0)</f>
        <v>0</v>
      </c>
      <c r="S30" s="10" t="n">
        <f aca="false">IF(S$20=1,Допущения!$D$86,0)</f>
        <v>0</v>
      </c>
      <c r="T30" s="10" t="n">
        <f aca="false">IF(T$20=1,Допущения!$D$86,0)</f>
        <v>0</v>
      </c>
      <c r="U30" s="10" t="n">
        <f aca="false">IF(U$20=1,Допущения!$D$86,0)</f>
        <v>0</v>
      </c>
      <c r="V30" s="10" t="n">
        <f aca="false">IF(V$20=1,Допущения!$D$86,0)</f>
        <v>0</v>
      </c>
      <c r="W30" s="10" t="n">
        <f aca="false">IF(W$20=1,Допущения!$D$86,0)</f>
        <v>0</v>
      </c>
      <c r="X30" s="10" t="n">
        <f aca="false">IF(X$20=1,Допущения!$D$86,0)</f>
        <v>0</v>
      </c>
      <c r="Y30" s="10" t="n">
        <f aca="false">IF(Y$20=1,Допущения!$D$86,0)</f>
        <v>0</v>
      </c>
      <c r="Z30" s="10" t="n">
        <f aca="false">IF(Z$20=1,Допущения!$D$86,0)</f>
        <v>0</v>
      </c>
      <c r="AA30" s="10" t="n">
        <f aca="false">IF(AA$20=1,Допущения!$D$86,0)</f>
        <v>0</v>
      </c>
      <c r="AB30" s="10" t="n">
        <f aca="false">IF(AB$20=1,Допущения!$D$86,0)</f>
        <v>0</v>
      </c>
      <c r="AC30" s="10" t="n">
        <f aca="false">IF(AC$20=1,Допущения!$D$86,0)</f>
        <v>0</v>
      </c>
      <c r="AD30" s="10" t="n">
        <f aca="false">IF(AD$20=1,Допущения!$D$86,0)</f>
        <v>0</v>
      </c>
      <c r="AE30" s="10" t="n">
        <f aca="false">IF(AE$20=1,Допущения!$D$86,0)</f>
        <v>0</v>
      </c>
      <c r="AF30" s="10" t="n">
        <f aca="false">IF(AF$20=1,Допущения!$D$86,0)</f>
        <v>0</v>
      </c>
      <c r="AG30" s="10" t="n">
        <f aca="false">IF(AG$20=1,Допущения!$D$86,0)</f>
        <v>0</v>
      </c>
      <c r="AH30" s="10" t="n">
        <f aca="false">IF(AH$20=1,Допущения!$D$86,0)</f>
        <v>0</v>
      </c>
      <c r="AI30" s="10" t="n">
        <f aca="false">IF(AI$20=1,Допущения!$D$86,0)</f>
        <v>0</v>
      </c>
      <c r="AJ30" s="10" t="n">
        <f aca="false">IF(AJ$20=1,Допущения!$D$86,0)</f>
        <v>0</v>
      </c>
      <c r="AK30" s="10" t="n">
        <f aca="false">IF(AK$20=1,Допущения!$D$86,0)</f>
        <v>0</v>
      </c>
      <c r="AL30" s="10" t="n">
        <f aca="false">IF(AL$20=1,Допущения!$D$86,0)</f>
        <v>0</v>
      </c>
      <c r="AM30" s="10" t="n">
        <f aca="false">SUM(C30:N30)</f>
        <v>100000</v>
      </c>
      <c r="AN30" s="10" t="n">
        <f aca="false">SUM(O30:Z30)</f>
        <v>0</v>
      </c>
      <c r="AO30" s="10" t="n">
        <f aca="false">SUM(AA30:AL30)</f>
        <v>0</v>
      </c>
      <c r="AP30" s="10" t="n">
        <f aca="false">SUM(C30:AL30)</f>
        <v>100000</v>
      </c>
    </row>
    <row r="31" customFormat="false" ht="15" hidden="false" customHeight="false" outlineLevel="0" collapsed="false">
      <c r="A31" s="1" t="s">
        <v>285</v>
      </c>
      <c r="B31" s="1" t="s">
        <v>286</v>
      </c>
      <c r="C31" s="11" t="n">
        <f aca="false">C29-C30</f>
        <v>-210000</v>
      </c>
      <c r="D31" s="11" t="n">
        <f aca="false">D29-D30</f>
        <v>-128806.688375216</v>
      </c>
      <c r="E31" s="11" t="n">
        <f aca="false">E29-E30</f>
        <v>-131990.100050615</v>
      </c>
      <c r="F31" s="11" t="n">
        <f aca="false">F29-F30</f>
        <v>-131541.907904714</v>
      </c>
      <c r="G31" s="11" t="n">
        <f aca="false">G29-G30</f>
        <v>-129972.802843535</v>
      </c>
      <c r="H31" s="11" t="n">
        <f aca="false">H29-H30</f>
        <v>-127760.299775507</v>
      </c>
      <c r="I31" s="11" t="n">
        <f aca="false">I29-I30</f>
        <v>-125106.78020299</v>
      </c>
      <c r="J31" s="11" t="n">
        <f aca="false">J29-J30</f>
        <v>-122121.420228303</v>
      </c>
      <c r="K31" s="11" t="n">
        <f aca="false">K29-K30</f>
        <v>-118871.502755971</v>
      </c>
      <c r="L31" s="11" t="n">
        <f aca="false">L29-L30</f>
        <v>-115402.215522344</v>
      </c>
      <c r="M31" s="11" t="n">
        <f aca="false">M29-M30</f>
        <v>-111745.798058213</v>
      </c>
      <c r="N31" s="11" t="n">
        <f aca="false">N29-N30</f>
        <v>-107926.308293218</v>
      </c>
      <c r="O31" s="11" t="n">
        <f aca="false">O29-O30</f>
        <v>-103962.332468002</v>
      </c>
      <c r="P31" s="11" t="n">
        <f aca="false">P29-P30</f>
        <v>-99868.6313266085</v>
      </c>
      <c r="Q31" s="11" t="n">
        <f aca="false">Q29-Q30</f>
        <v>-95657.1937983243</v>
      </c>
      <c r="R31" s="11" t="n">
        <f aca="false">R29-R30</f>
        <v>-91337.9406164502</v>
      </c>
      <c r="S31" s="11" t="n">
        <f aca="false">S29-S30</f>
        <v>-86919.2109419407</v>
      </c>
      <c r="T31" s="11" t="n">
        <f aca="false">T29-T30</f>
        <v>-82408.1089950074</v>
      </c>
      <c r="U31" s="11" t="n">
        <f aca="false">U29-U30</f>
        <v>-77810.7572687222</v>
      </c>
      <c r="V31" s="11" t="n">
        <f aca="false">V29-V30</f>
        <v>-73132.4855717155</v>
      </c>
      <c r="W31" s="11" t="n">
        <f aca="false">W29-W30</f>
        <v>-68377.9748691175</v>
      </c>
      <c r="X31" s="11" t="n">
        <f aca="false">X29-X30</f>
        <v>-63551.3685753844</v>
      </c>
      <c r="Y31" s="11" t="n">
        <f aca="false">Y29-Y30</f>
        <v>-58656.3599506815</v>
      </c>
      <c r="Z31" s="11" t="n">
        <f aca="false">Z29-Z30</f>
        <v>-53696.2616469091</v>
      </c>
      <c r="AA31" s="11" t="n">
        <f aca="false">AA29-AA30</f>
        <v>-48674.0617117442</v>
      </c>
      <c r="AB31" s="11" t="n">
        <f aca="false">AB29-AB30</f>
        <v>-43592.4691749685</v>
      </c>
      <c r="AC31" s="11" t="n">
        <f aca="false">AC29-AC30</f>
        <v>-38453.9515187444</v>
      </c>
      <c r="AD31" s="11" t="n">
        <f aca="false">AD29-AD30</f>
        <v>-33260.7657519603</v>
      </c>
      <c r="AE31" s="11" t="n">
        <f aca="false">AE29-AE30</f>
        <v>-28014.9843910347</v>
      </c>
      <c r="AF31" s="11" t="n">
        <f aca="false">AF29-AF30</f>
        <v>-22718.5173451543</v>
      </c>
      <c r="AG31" s="11" t="n">
        <f aca="false">AG29-AG30</f>
        <v>-17373.130479097</v>
      </c>
      <c r="AH31" s="11" t="n">
        <f aca="false">AH29-AH30</f>
        <v>-11980.4614586963</v>
      </c>
      <c r="AI31" s="11" t="n">
        <f aca="false">AI29-AI30</f>
        <v>-6542.03335692418</v>
      </c>
      <c r="AJ31" s="11" t="n">
        <f aca="false">AJ29-AJ30</f>
        <v>-1059.26640146156</v>
      </c>
      <c r="AK31" s="11" t="n">
        <f aca="false">AK29-AK30</f>
        <v>4466.51183028401</v>
      </c>
      <c r="AL31" s="11" t="n">
        <f aca="false">AL29-AL30</f>
        <v>10034.057521096</v>
      </c>
      <c r="AM31" s="11" t="n">
        <f aca="false">SUM(C31:N31)</f>
        <v>-1561245.82401063</v>
      </c>
      <c r="AN31" s="11" t="n">
        <f aca="false">SUM(O31:Z31)</f>
        <v>-955378.626028864</v>
      </c>
      <c r="AO31" s="11" t="n">
        <f aca="false">SUM(AA31:AL31)</f>
        <v>-237169.072238405</v>
      </c>
      <c r="AP31" s="11" t="n">
        <f aca="false">SUM(C31:AL31)</f>
        <v>-2753793.5222779</v>
      </c>
    </row>
    <row r="32" customFormat="false" ht="15" hidden="false" customHeight="false" outlineLevel="0" collapsed="false">
      <c r="A32" s="1" t="s">
        <v>287</v>
      </c>
      <c r="B32" s="1" t="s">
        <v>288</v>
      </c>
      <c r="C32" s="11" t="n">
        <f aca="false">0+C31</f>
        <v>-210000</v>
      </c>
      <c r="D32" s="11" t="n">
        <f aca="false">C32+D31</f>
        <v>-338806.688375216</v>
      </c>
      <c r="E32" s="11" t="n">
        <f aca="false">D32+E31</f>
        <v>-470796.788425831</v>
      </c>
      <c r="F32" s="11" t="n">
        <f aca="false">E32+F31</f>
        <v>-602338.696330545</v>
      </c>
      <c r="G32" s="11" t="n">
        <f aca="false">F32+G31</f>
        <v>-732311.49917408</v>
      </c>
      <c r="H32" s="11" t="n">
        <f aca="false">G32+H31</f>
        <v>-860071.798949588</v>
      </c>
      <c r="I32" s="11" t="n">
        <f aca="false">H32+I31</f>
        <v>-985178.579152577</v>
      </c>
      <c r="J32" s="11" t="n">
        <f aca="false">I32+J31</f>
        <v>-1107299.99938088</v>
      </c>
      <c r="K32" s="11" t="n">
        <f aca="false">J32+K31</f>
        <v>-1226171.50213685</v>
      </c>
      <c r="L32" s="11" t="n">
        <f aca="false">K32+L31</f>
        <v>-1341573.7176592</v>
      </c>
      <c r="M32" s="11" t="n">
        <f aca="false">L32+M31</f>
        <v>-1453319.51571741</v>
      </c>
      <c r="N32" s="11" t="n">
        <f aca="false">M32+N31</f>
        <v>-1561245.82401063</v>
      </c>
      <c r="O32" s="11" t="n">
        <f aca="false">N32+O31</f>
        <v>-1665208.15647863</v>
      </c>
      <c r="P32" s="11" t="n">
        <f aca="false">O32+P31</f>
        <v>-1765076.78780524</v>
      </c>
      <c r="Q32" s="11" t="n">
        <f aca="false">P32+Q31</f>
        <v>-1860733.98160356</v>
      </c>
      <c r="R32" s="11" t="n">
        <f aca="false">Q32+R31</f>
        <v>-1952071.92222001</v>
      </c>
      <c r="S32" s="11" t="n">
        <f aca="false">R32+S31</f>
        <v>-2038991.13316195</v>
      </c>
      <c r="T32" s="11" t="n">
        <f aca="false">S32+T31</f>
        <v>-2121399.24215696</v>
      </c>
      <c r="U32" s="11" t="n">
        <f aca="false">T32+U31</f>
        <v>-2199209.99942568</v>
      </c>
      <c r="V32" s="11" t="n">
        <f aca="false">U32+V31</f>
        <v>-2272342.4849974</v>
      </c>
      <c r="W32" s="11" t="n">
        <f aca="false">V32+W31</f>
        <v>-2340720.45986652</v>
      </c>
      <c r="X32" s="11" t="n">
        <f aca="false">W32+X31</f>
        <v>-2404271.8284419</v>
      </c>
      <c r="Y32" s="11" t="n">
        <f aca="false">X32+Y31</f>
        <v>-2462928.18839258</v>
      </c>
      <c r="Z32" s="11" t="n">
        <f aca="false">Y32+Z31</f>
        <v>-2516624.45003949</v>
      </c>
      <c r="AA32" s="11" t="n">
        <f aca="false">Z32+AA31</f>
        <v>-2565298.51175124</v>
      </c>
      <c r="AB32" s="11" t="n">
        <f aca="false">AA32+AB31</f>
        <v>-2608890.9809262</v>
      </c>
      <c r="AC32" s="11" t="n">
        <f aca="false">AB32+AC31</f>
        <v>-2647344.93244495</v>
      </c>
      <c r="AD32" s="11" t="n">
        <f aca="false">AC32+AD31</f>
        <v>-2680605.69819691</v>
      </c>
      <c r="AE32" s="11" t="n">
        <f aca="false">AD32+AE31</f>
        <v>-2708620.68258794</v>
      </c>
      <c r="AF32" s="11" t="n">
        <f aca="false">AE32+AF31</f>
        <v>-2731339.1999331</v>
      </c>
      <c r="AG32" s="11" t="n">
        <f aca="false">AF32+AG31</f>
        <v>-2748712.33041219</v>
      </c>
      <c r="AH32" s="11" t="n">
        <f aca="false">AG32+AH31</f>
        <v>-2760692.79187089</v>
      </c>
      <c r="AI32" s="11" t="n">
        <f aca="false">AH32+AI31</f>
        <v>-2767234.82522781</v>
      </c>
      <c r="AJ32" s="11" t="n">
        <f aca="false">AI32+AJ31</f>
        <v>-2768294.09162928</v>
      </c>
      <c r="AK32" s="11" t="n">
        <f aca="false">AJ32+AK31</f>
        <v>-2763827.57979899</v>
      </c>
      <c r="AL32" s="11" t="n">
        <f aca="false">AK32+AL31</f>
        <v>-2753793.5222779</v>
      </c>
      <c r="AM32" s="11" t="n">
        <f aca="false">N32</f>
        <v>-1561245.82401063</v>
      </c>
      <c r="AN32" s="11" t="n">
        <f aca="false">Z32</f>
        <v>-2516624.45003949</v>
      </c>
      <c r="AO32" s="11" t="n">
        <f aca="false">AL32</f>
        <v>-2753793.5222779</v>
      </c>
      <c r="AP32" s="1"/>
    </row>
    <row r="33" customFormat="false" ht="15" hidden="false" customHeight="false" outlineLevel="0" collapsed="false">
      <c r="A33" s="0" t="s">
        <v>289</v>
      </c>
      <c r="B33" s="0" t="s">
        <v>290</v>
      </c>
      <c r="C33" s="0" t="n">
        <f aca="false">IF(AND(C29&gt;0,COUNTIF(C29:AL29,"&lt;=0")=0),C$20,99)</f>
        <v>99</v>
      </c>
      <c r="D33" s="0" t="n">
        <f aca="false">IF(AND(D29&gt;0,COUNTIF(D29:AL29,"&lt;=0")=0),D$20,99)</f>
        <v>99</v>
      </c>
      <c r="E33" s="0" t="n">
        <f aca="false">IF(AND(E29&gt;0,COUNTIF(E29:AL29,"&lt;=0")=0),E$20,99)</f>
        <v>99</v>
      </c>
      <c r="F33" s="0" t="n">
        <f aca="false">IF(AND(F29&gt;0,COUNTIF(F29:AL29,"&lt;=0")=0),F$20,99)</f>
        <v>99</v>
      </c>
      <c r="G33" s="0" t="n">
        <f aca="false">IF(AND(G29&gt;0,COUNTIF(G29:AL29,"&lt;=0")=0),G$20,99)</f>
        <v>99</v>
      </c>
      <c r="H33" s="0" t="n">
        <f aca="false">IF(AND(H29&gt;0,COUNTIF(H29:AL29,"&lt;=0")=0),H$20,99)</f>
        <v>99</v>
      </c>
      <c r="I33" s="0" t="n">
        <f aca="false">IF(AND(I29&gt;0,COUNTIF(I29:AL29,"&lt;=0")=0),I$20,99)</f>
        <v>99</v>
      </c>
      <c r="J33" s="0" t="n">
        <f aca="false">IF(AND(J29&gt;0,COUNTIF(J29:AL29,"&lt;=0")=0),J$20,99)</f>
        <v>99</v>
      </c>
      <c r="K33" s="0" t="n">
        <f aca="false">IF(AND(K29&gt;0,COUNTIF(K29:AL29,"&lt;=0")=0),K$20,99)</f>
        <v>99</v>
      </c>
      <c r="L33" s="0" t="n">
        <f aca="false">IF(AND(L29&gt;0,COUNTIF(L29:AL29,"&lt;=0")=0),L$20,99)</f>
        <v>99</v>
      </c>
      <c r="M33" s="0" t="n">
        <f aca="false">IF(AND(M29&gt;0,COUNTIF(M29:AL29,"&lt;=0")=0),M$20,99)</f>
        <v>99</v>
      </c>
      <c r="N33" s="0" t="n">
        <f aca="false">IF(AND(N29&gt;0,COUNTIF(N29:AL29,"&lt;=0")=0),N$20,99)</f>
        <v>99</v>
      </c>
      <c r="O33" s="0" t="n">
        <f aca="false">IF(AND(O29&gt;0,COUNTIF(O29:AL29,"&lt;=0")=0),O$20,99)</f>
        <v>99</v>
      </c>
      <c r="P33" s="0" t="n">
        <f aca="false">IF(AND(P29&gt;0,COUNTIF(P29:AL29,"&lt;=0")=0),P$20,99)</f>
        <v>99</v>
      </c>
      <c r="Q33" s="0" t="n">
        <f aca="false">IF(AND(Q29&gt;0,COUNTIF(Q29:AL29,"&lt;=0")=0),Q$20,99)</f>
        <v>99</v>
      </c>
      <c r="R33" s="0" t="n">
        <f aca="false">IF(AND(R29&gt;0,COUNTIF(R29:AL29,"&lt;=0")=0),R$20,99)</f>
        <v>99</v>
      </c>
      <c r="S33" s="0" t="n">
        <f aca="false">IF(AND(S29&gt;0,COUNTIF(S29:AL29,"&lt;=0")=0),S$20,99)</f>
        <v>99</v>
      </c>
      <c r="T33" s="0" t="n">
        <f aca="false">IF(AND(T29&gt;0,COUNTIF(T29:AL29,"&lt;=0")=0),T$20,99)</f>
        <v>99</v>
      </c>
      <c r="U33" s="0" t="n">
        <f aca="false">IF(AND(U29&gt;0,COUNTIF(U29:AL29,"&lt;=0")=0),U$20,99)</f>
        <v>99</v>
      </c>
      <c r="V33" s="0" t="n">
        <f aca="false">IF(AND(V29&gt;0,COUNTIF(V29:AL29,"&lt;=0")=0),V$20,99)</f>
        <v>99</v>
      </c>
      <c r="W33" s="0" t="n">
        <f aca="false">IF(AND(W29&gt;0,COUNTIF(W29:AL29,"&lt;=0")=0),W$20,99)</f>
        <v>99</v>
      </c>
      <c r="X33" s="0" t="n">
        <f aca="false">IF(AND(X29&gt;0,COUNTIF(X29:AL29,"&lt;=0")=0),X$20,99)</f>
        <v>99</v>
      </c>
      <c r="Y33" s="0" t="n">
        <f aca="false">IF(AND(Y29&gt;0,COUNTIF(Y29:AL29,"&lt;=0")=0),Y$20,99)</f>
        <v>99</v>
      </c>
      <c r="Z33" s="0" t="n">
        <f aca="false">IF(AND(Z29&gt;0,COUNTIF(Z29:AL29,"&lt;=0")=0),Z$20,99)</f>
        <v>99</v>
      </c>
      <c r="AA33" s="0" t="n">
        <f aca="false">IF(AND(AA29&gt;0,COUNTIF(AA29:AL29,"&lt;=0")=0),AA$20,99)</f>
        <v>99</v>
      </c>
      <c r="AB33" s="0" t="n">
        <f aca="false">IF(AND(AB29&gt;0,COUNTIF(AB29:AL29,"&lt;=0")=0),AB$20,99)</f>
        <v>99</v>
      </c>
      <c r="AC33" s="0" t="n">
        <f aca="false">IF(AND(AC29&gt;0,COUNTIF(AC29:AL29,"&lt;=0")=0),AC$20,99)</f>
        <v>99</v>
      </c>
      <c r="AD33" s="0" t="n">
        <f aca="false">IF(AND(AD29&gt;0,COUNTIF(AD29:AL29,"&lt;=0")=0),AD$20,99)</f>
        <v>99</v>
      </c>
      <c r="AE33" s="0" t="n">
        <f aca="false">IF(AND(AE29&gt;0,COUNTIF(AE29:AL29,"&lt;=0")=0),AE$20,99)</f>
        <v>99</v>
      </c>
      <c r="AF33" s="0" t="n">
        <f aca="false">IF(AND(AF29&gt;0,COUNTIF(AF29:AL29,"&lt;=0")=0),AF$20,99)</f>
        <v>99</v>
      </c>
      <c r="AG33" s="0" t="n">
        <f aca="false">IF(AND(AG29&gt;0,COUNTIF(AG29:AL29,"&lt;=0")=0),AG$20,99)</f>
        <v>99</v>
      </c>
      <c r="AH33" s="0" t="n">
        <f aca="false">IF(AND(AH29&gt;0,COUNTIF(AH29:AL29,"&lt;=0")=0),AH$20,99)</f>
        <v>99</v>
      </c>
      <c r="AI33" s="0" t="n">
        <f aca="false">IF(AND(AI29&gt;0,COUNTIF(AI29:AL29,"&lt;=0")=0),AI$20,99)</f>
        <v>99</v>
      </c>
      <c r="AJ33" s="0" t="n">
        <f aca="false">IF(AND(AJ29&gt;0,COUNTIF(AJ29:AL29,"&lt;=0")=0),AJ$20,99)</f>
        <v>99</v>
      </c>
      <c r="AK33" s="0" t="n">
        <f aca="false">IF(AND(AK29&gt;0,COUNTIF(AK29:AL29,"&lt;=0")=0),AK$20,99)</f>
        <v>35</v>
      </c>
      <c r="AL33" s="0" t="n">
        <f aca="false">IF(AND(AL29&gt;0,COUNTIF(AL29:AL29,"&lt;=0")=0),AL$20,99)</f>
        <v>36</v>
      </c>
    </row>
    <row r="34" customFormat="false" ht="15" hidden="false" customHeight="false" outlineLevel="0" collapsed="false">
      <c r="A34" s="0" t="s">
        <v>291</v>
      </c>
      <c r="B34" s="0" t="s">
        <v>292</v>
      </c>
      <c r="C34" s="0" t="n">
        <f aca="false">IF(AND(C32&gt;=0,COUNTIF(C32:AL32,"&lt;0")=0),C$20,99)</f>
        <v>99</v>
      </c>
      <c r="D34" s="0" t="n">
        <f aca="false">IF(AND(D32&gt;=0,COUNTIF(D32:AL32,"&lt;0")=0),D$20,99)</f>
        <v>99</v>
      </c>
      <c r="E34" s="0" t="n">
        <f aca="false">IF(AND(E32&gt;=0,COUNTIF(E32:AL32,"&lt;0")=0),E$20,99)</f>
        <v>99</v>
      </c>
      <c r="F34" s="0" t="n">
        <f aca="false">IF(AND(F32&gt;=0,COUNTIF(F32:AL32,"&lt;0")=0),F$20,99)</f>
        <v>99</v>
      </c>
      <c r="G34" s="0" t="n">
        <f aca="false">IF(AND(G32&gt;=0,COUNTIF(G32:AL32,"&lt;0")=0),G$20,99)</f>
        <v>99</v>
      </c>
      <c r="H34" s="0" t="n">
        <f aca="false">IF(AND(H32&gt;=0,COUNTIF(H32:AL32,"&lt;0")=0),H$20,99)</f>
        <v>99</v>
      </c>
      <c r="I34" s="0" t="n">
        <f aca="false">IF(AND(I32&gt;=0,COUNTIF(I32:AL32,"&lt;0")=0),I$20,99)</f>
        <v>99</v>
      </c>
      <c r="J34" s="0" t="n">
        <f aca="false">IF(AND(J32&gt;=0,COUNTIF(J32:AL32,"&lt;0")=0),J$20,99)</f>
        <v>99</v>
      </c>
      <c r="K34" s="0" t="n">
        <f aca="false">IF(AND(K32&gt;=0,COUNTIF(K32:AL32,"&lt;0")=0),K$20,99)</f>
        <v>99</v>
      </c>
      <c r="L34" s="0" t="n">
        <f aca="false">IF(AND(L32&gt;=0,COUNTIF(L32:AL32,"&lt;0")=0),L$20,99)</f>
        <v>99</v>
      </c>
      <c r="M34" s="0" t="n">
        <f aca="false">IF(AND(M32&gt;=0,COUNTIF(M32:AL32,"&lt;0")=0),M$20,99)</f>
        <v>99</v>
      </c>
      <c r="N34" s="0" t="n">
        <f aca="false">IF(AND(N32&gt;=0,COUNTIF(N32:AL32,"&lt;0")=0),N$20,99)</f>
        <v>99</v>
      </c>
      <c r="O34" s="0" t="n">
        <f aca="false">IF(AND(O32&gt;=0,COUNTIF(O32:AL32,"&lt;0")=0),O$20,99)</f>
        <v>99</v>
      </c>
      <c r="P34" s="0" t="n">
        <f aca="false">IF(AND(P32&gt;=0,COUNTIF(P32:AL32,"&lt;0")=0),P$20,99)</f>
        <v>99</v>
      </c>
      <c r="Q34" s="0" t="n">
        <f aca="false">IF(AND(Q32&gt;=0,COUNTIF(Q32:AL32,"&lt;0")=0),Q$20,99)</f>
        <v>99</v>
      </c>
      <c r="R34" s="0" t="n">
        <f aca="false">IF(AND(R32&gt;=0,COUNTIF(R32:AL32,"&lt;0")=0),R$20,99)</f>
        <v>99</v>
      </c>
      <c r="S34" s="0" t="n">
        <f aca="false">IF(AND(S32&gt;=0,COUNTIF(S32:AL32,"&lt;0")=0),S$20,99)</f>
        <v>99</v>
      </c>
      <c r="T34" s="0" t="n">
        <f aca="false">IF(AND(T32&gt;=0,COUNTIF(T32:AL32,"&lt;0")=0),T$20,99)</f>
        <v>99</v>
      </c>
      <c r="U34" s="0" t="n">
        <f aca="false">IF(AND(U32&gt;=0,COUNTIF(U32:AL32,"&lt;0")=0),U$20,99)</f>
        <v>99</v>
      </c>
      <c r="V34" s="0" t="n">
        <f aca="false">IF(AND(V32&gt;=0,COUNTIF(V32:AL32,"&lt;0")=0),V$20,99)</f>
        <v>99</v>
      </c>
      <c r="W34" s="0" t="n">
        <f aca="false">IF(AND(W32&gt;=0,COUNTIF(W32:AL32,"&lt;0")=0),W$20,99)</f>
        <v>99</v>
      </c>
      <c r="X34" s="0" t="n">
        <f aca="false">IF(AND(X32&gt;=0,COUNTIF(X32:AL32,"&lt;0")=0),X$20,99)</f>
        <v>99</v>
      </c>
      <c r="Y34" s="0" t="n">
        <f aca="false">IF(AND(Y32&gt;=0,COUNTIF(Y32:AL32,"&lt;0")=0),Y$20,99)</f>
        <v>99</v>
      </c>
      <c r="Z34" s="0" t="n">
        <f aca="false">IF(AND(Z32&gt;=0,COUNTIF(Z32:AL32,"&lt;0")=0),Z$20,99)</f>
        <v>99</v>
      </c>
      <c r="AA34" s="0" t="n">
        <f aca="false">IF(AND(AA32&gt;=0,COUNTIF(AA32:AL32,"&lt;0")=0),AA$20,99)</f>
        <v>99</v>
      </c>
      <c r="AB34" s="0" t="n">
        <f aca="false">IF(AND(AB32&gt;=0,COUNTIF(AB32:AL32,"&lt;0")=0),AB$20,99)</f>
        <v>99</v>
      </c>
      <c r="AC34" s="0" t="n">
        <f aca="false">IF(AND(AC32&gt;=0,COUNTIF(AC32:AL32,"&lt;0")=0),AC$20,99)</f>
        <v>99</v>
      </c>
      <c r="AD34" s="0" t="n">
        <f aca="false">IF(AND(AD32&gt;=0,COUNTIF(AD32:AL32,"&lt;0")=0),AD$20,99)</f>
        <v>99</v>
      </c>
      <c r="AE34" s="0" t="n">
        <f aca="false">IF(AND(AE32&gt;=0,COUNTIF(AE32:AL32,"&lt;0")=0),AE$20,99)</f>
        <v>99</v>
      </c>
      <c r="AF34" s="0" t="n">
        <f aca="false">IF(AND(AF32&gt;=0,COUNTIF(AF32:AL32,"&lt;0")=0),AF$20,99)</f>
        <v>99</v>
      </c>
      <c r="AG34" s="0" t="n">
        <f aca="false">IF(AND(AG32&gt;=0,COUNTIF(AG32:AL32,"&lt;0")=0),AG$20,99)</f>
        <v>99</v>
      </c>
      <c r="AH34" s="0" t="n">
        <f aca="false">IF(AND(AH32&gt;=0,COUNTIF(AH32:AL32,"&lt;0")=0),AH$20,99)</f>
        <v>99</v>
      </c>
      <c r="AI34" s="0" t="n">
        <f aca="false">IF(AND(AI32&gt;=0,COUNTIF(AI32:AL32,"&lt;0")=0),AI$20,99)</f>
        <v>99</v>
      </c>
      <c r="AJ34" s="0" t="n">
        <f aca="false">IF(AND(AJ32&gt;=0,COUNTIF(AJ32:AL32,"&lt;0")=0),AJ$20,99)</f>
        <v>99</v>
      </c>
      <c r="AK34" s="0" t="n">
        <f aca="false">IF(AND(AK32&gt;=0,COUNTIF(AK32:AL32,"&lt;0")=0),AK$20,99)</f>
        <v>99</v>
      </c>
      <c r="AL34" s="0" t="n">
        <f aca="false">IF(AND(AL32&gt;=0,COUNTIF(AL32:AL32,"&lt;0")=0),AL$20,99)</f>
        <v>99</v>
      </c>
    </row>
    <row r="36" customFormat="false" ht="15" hidden="false" customHeight="false" outlineLevel="0" collapsed="false">
      <c r="A36" s="1" t="s">
        <v>294</v>
      </c>
      <c r="B36" s="1" t="s">
        <v>252</v>
      </c>
      <c r="C36" s="1" t="n">
        <v>1</v>
      </c>
      <c r="D36" s="1" t="n">
        <v>2</v>
      </c>
      <c r="E36" s="1" t="n">
        <v>3</v>
      </c>
      <c r="F36" s="1" t="n">
        <v>4</v>
      </c>
      <c r="G36" s="1" t="n">
        <v>5</v>
      </c>
      <c r="H36" s="1" t="n">
        <v>6</v>
      </c>
      <c r="I36" s="1" t="n">
        <v>7</v>
      </c>
      <c r="J36" s="1" t="n">
        <v>8</v>
      </c>
      <c r="K36" s="1" t="n">
        <v>9</v>
      </c>
      <c r="L36" s="1" t="n">
        <v>10</v>
      </c>
      <c r="M36" s="1" t="n">
        <v>11</v>
      </c>
      <c r="N36" s="1" t="n">
        <v>12</v>
      </c>
      <c r="O36" s="1" t="n">
        <v>13</v>
      </c>
      <c r="P36" s="1" t="n">
        <v>14</v>
      </c>
      <c r="Q36" s="1" t="n">
        <v>15</v>
      </c>
      <c r="R36" s="1" t="n">
        <v>16</v>
      </c>
      <c r="S36" s="1" t="n">
        <v>17</v>
      </c>
      <c r="T36" s="1" t="n">
        <v>18</v>
      </c>
      <c r="U36" s="1" t="n">
        <v>19</v>
      </c>
      <c r="V36" s="1" t="n">
        <v>20</v>
      </c>
      <c r="W36" s="1" t="n">
        <v>21</v>
      </c>
      <c r="X36" s="1" t="n">
        <v>22</v>
      </c>
      <c r="Y36" s="1" t="n">
        <v>23</v>
      </c>
      <c r="Z36" s="1" t="n">
        <v>24</v>
      </c>
      <c r="AA36" s="1" t="n">
        <v>25</v>
      </c>
      <c r="AB36" s="1" t="n">
        <v>26</v>
      </c>
      <c r="AC36" s="1" t="n">
        <v>27</v>
      </c>
      <c r="AD36" s="1" t="n">
        <v>28</v>
      </c>
      <c r="AE36" s="1" t="n">
        <v>29</v>
      </c>
      <c r="AF36" s="1" t="n">
        <v>30</v>
      </c>
      <c r="AG36" s="1" t="n">
        <v>31</v>
      </c>
      <c r="AH36" s="1" t="n">
        <v>32</v>
      </c>
      <c r="AI36" s="1" t="n">
        <v>33</v>
      </c>
      <c r="AJ36" s="1" t="n">
        <v>34</v>
      </c>
      <c r="AK36" s="1" t="n">
        <v>35</v>
      </c>
      <c r="AL36" s="1" t="n">
        <v>36</v>
      </c>
      <c r="AM36" s="1" t="s">
        <v>253</v>
      </c>
      <c r="AN36" s="1" t="s">
        <v>254</v>
      </c>
      <c r="AO36" s="1" t="s">
        <v>255</v>
      </c>
      <c r="AP36" s="1" t="s">
        <v>256</v>
      </c>
    </row>
    <row r="37" customFormat="false" ht="15" hidden="false" customHeight="false" outlineLevel="0" collapsed="false">
      <c r="A37" s="0" t="s">
        <v>257</v>
      </c>
      <c r="B37" s="0" t="s">
        <v>336</v>
      </c>
      <c r="C37" s="10" t="n">
        <f aca="false">Допущения!$E$79*IF(C$36&lt;2,0,((C$36-1)/35)^Допущения!$E$87)</f>
        <v>0</v>
      </c>
      <c r="D37" s="10" t="n">
        <f aca="false">Допущения!$E$79*IF(D$36&lt;2,0,((D$36-1)/35)^Допущения!$E$87)</f>
        <v>3428.57142857143</v>
      </c>
      <c r="E37" s="10" t="n">
        <f aca="false">Допущения!$E$79*IF(E$36&lt;2,0,((E$36-1)/35)^Допущения!$E$87)</f>
        <v>6857.14285714286</v>
      </c>
      <c r="F37" s="10" t="n">
        <f aca="false">Допущения!$E$79*IF(F$36&lt;2,0,((F$36-1)/35)^Допущения!$E$87)</f>
        <v>10285.7142857143</v>
      </c>
      <c r="G37" s="10" t="n">
        <f aca="false">Допущения!$E$79*IF(G$36&lt;2,0,((G$36-1)/35)^Допущения!$E$87)</f>
        <v>13714.2857142857</v>
      </c>
      <c r="H37" s="10" t="n">
        <f aca="false">Допущения!$E$79*IF(H$36&lt;2,0,((H$36-1)/35)^Допущения!$E$87)</f>
        <v>17142.8571428571</v>
      </c>
      <c r="I37" s="10" t="n">
        <f aca="false">Допущения!$E$79*IF(I$36&lt;2,0,((I$36-1)/35)^Допущения!$E$87)</f>
        <v>20571.4285714286</v>
      </c>
      <c r="J37" s="10" t="n">
        <f aca="false">Допущения!$E$79*IF(J$36&lt;2,0,((J$36-1)/35)^Допущения!$E$87)</f>
        <v>24000</v>
      </c>
      <c r="K37" s="10" t="n">
        <f aca="false">Допущения!$E$79*IF(K$36&lt;2,0,((K$36-1)/35)^Допущения!$E$87)</f>
        <v>27428.5714285714</v>
      </c>
      <c r="L37" s="10" t="n">
        <f aca="false">Допущения!$E$79*IF(L$36&lt;2,0,((L$36-1)/35)^Допущения!$E$87)</f>
        <v>30857.1428571429</v>
      </c>
      <c r="M37" s="10" t="n">
        <f aca="false">Допущения!$E$79*IF(M$36&lt;2,0,((M$36-1)/35)^Допущения!$E$87)</f>
        <v>34285.7142857143</v>
      </c>
      <c r="N37" s="10" t="n">
        <f aca="false">Допущения!$E$79*IF(N$36&lt;2,0,((N$36-1)/35)^Допущения!$E$87)</f>
        <v>37714.2857142857</v>
      </c>
      <c r="O37" s="10" t="n">
        <f aca="false">Допущения!$E$79*IF(O$36&lt;2,0,((O$36-1)/35)^Допущения!$E$87)</f>
        <v>41142.8571428571</v>
      </c>
      <c r="P37" s="10" t="n">
        <f aca="false">Допущения!$E$79*IF(P$36&lt;2,0,((P$36-1)/35)^Допущения!$E$87)</f>
        <v>44571.4285714286</v>
      </c>
      <c r="Q37" s="10" t="n">
        <f aca="false">Допущения!$E$79*IF(Q$36&lt;2,0,((Q$36-1)/35)^Допущения!$E$87)</f>
        <v>48000</v>
      </c>
      <c r="R37" s="10" t="n">
        <f aca="false">Допущения!$E$79*IF(R$36&lt;2,0,((R$36-1)/35)^Допущения!$E$87)</f>
        <v>51428.5714285714</v>
      </c>
      <c r="S37" s="10" t="n">
        <f aca="false">Допущения!$E$79*IF(S$36&lt;2,0,((S$36-1)/35)^Допущения!$E$87)</f>
        <v>54857.1428571429</v>
      </c>
      <c r="T37" s="10" t="n">
        <f aca="false">Допущения!$E$79*IF(T$36&lt;2,0,((T$36-1)/35)^Допущения!$E$87)</f>
        <v>58285.7142857143</v>
      </c>
      <c r="U37" s="10" t="n">
        <f aca="false">Допущения!$E$79*IF(U$36&lt;2,0,((U$36-1)/35)^Допущения!$E$87)</f>
        <v>61714.2857142857</v>
      </c>
      <c r="V37" s="10" t="n">
        <f aca="false">Допущения!$E$79*IF(V$36&lt;2,0,((V$36-1)/35)^Допущения!$E$87)</f>
        <v>65142.8571428571</v>
      </c>
      <c r="W37" s="10" t="n">
        <f aca="false">Допущения!$E$79*IF(W$36&lt;2,0,((W$36-1)/35)^Допущения!$E$87)</f>
        <v>68571.4285714286</v>
      </c>
      <c r="X37" s="10" t="n">
        <f aca="false">Допущения!$E$79*IF(X$36&lt;2,0,((X$36-1)/35)^Допущения!$E$87)</f>
        <v>72000</v>
      </c>
      <c r="Y37" s="10" t="n">
        <f aca="false">Допущения!$E$79*IF(Y$36&lt;2,0,((Y$36-1)/35)^Допущения!$E$87)</f>
        <v>75428.5714285714</v>
      </c>
      <c r="Z37" s="10" t="n">
        <f aca="false">Допущения!$E$79*IF(Z$36&lt;2,0,((Z$36-1)/35)^Допущения!$E$87)</f>
        <v>78857.1428571429</v>
      </c>
      <c r="AA37" s="10" t="n">
        <f aca="false">Допущения!$E$79*IF(AA$36&lt;2,0,((AA$36-1)/35)^Допущения!$E$87)</f>
        <v>82285.7142857143</v>
      </c>
      <c r="AB37" s="10" t="n">
        <f aca="false">Допущения!$E$79*IF(AB$36&lt;2,0,((AB$36-1)/35)^Допущения!$E$87)</f>
        <v>85714.2857142857</v>
      </c>
      <c r="AC37" s="10" t="n">
        <f aca="false">Допущения!$E$79*IF(AC$36&lt;2,0,((AC$36-1)/35)^Допущения!$E$87)</f>
        <v>89142.8571428571</v>
      </c>
      <c r="AD37" s="10" t="n">
        <f aca="false">Допущения!$E$79*IF(AD$36&lt;2,0,((AD$36-1)/35)^Допущения!$E$87)</f>
        <v>92571.4285714286</v>
      </c>
      <c r="AE37" s="10" t="n">
        <f aca="false">Допущения!$E$79*IF(AE$36&lt;2,0,((AE$36-1)/35)^Допущения!$E$87)</f>
        <v>96000</v>
      </c>
      <c r="AF37" s="10" t="n">
        <f aca="false">Допущения!$E$79*IF(AF$36&lt;2,0,((AF$36-1)/35)^Допущения!$E$87)</f>
        <v>99428.5714285714</v>
      </c>
      <c r="AG37" s="10" t="n">
        <f aca="false">Допущения!$E$79*IF(AG$36&lt;2,0,((AG$36-1)/35)^Допущения!$E$87)</f>
        <v>102857.142857143</v>
      </c>
      <c r="AH37" s="10" t="n">
        <f aca="false">Допущения!$E$79*IF(AH$36&lt;2,0,((AH$36-1)/35)^Допущения!$E$87)</f>
        <v>106285.714285714</v>
      </c>
      <c r="AI37" s="10" t="n">
        <f aca="false">Допущения!$E$79*IF(AI$36&lt;2,0,((AI$36-1)/35)^Допущения!$E$87)</f>
        <v>109714.285714286</v>
      </c>
      <c r="AJ37" s="10" t="n">
        <f aca="false">Допущения!$E$79*IF(AJ$36&lt;2,0,((AJ$36-1)/35)^Допущения!$E$87)</f>
        <v>113142.857142857</v>
      </c>
      <c r="AK37" s="10" t="n">
        <f aca="false">Допущения!$E$79*IF(AK$36&lt;2,0,((AK$36-1)/35)^Допущения!$E$87)</f>
        <v>116571.428571429</v>
      </c>
      <c r="AL37" s="10" t="n">
        <f aca="false">Допущения!$E$79*IF(AL$36&lt;2,0,((AL$36-1)/35)^Допущения!$E$87)</f>
        <v>120000</v>
      </c>
      <c r="AM37" s="10" t="n">
        <f aca="false">SUM(C37:N37)</f>
        <v>226285.714285714</v>
      </c>
      <c r="AN37" s="10" t="n">
        <f aca="false">SUM(O37:Z37)</f>
        <v>720000</v>
      </c>
      <c r="AO37" s="10" t="n">
        <f aca="false">SUM(AA37:AL37)</f>
        <v>1213714.28571429</v>
      </c>
      <c r="AP37" s="10" t="n">
        <f aca="false">SUM(C37:AL37)</f>
        <v>2160000</v>
      </c>
    </row>
    <row r="38" customFormat="false" ht="15" hidden="false" customHeight="false" outlineLevel="0" collapsed="false">
      <c r="A38" s="0" t="s">
        <v>259</v>
      </c>
      <c r="B38" s="0" t="s">
        <v>337</v>
      </c>
      <c r="C38" s="10" t="n">
        <f aca="false">Допущения!$E$81*IF(C$36&lt;2,0,((C$36-1)/35)^Допущения!$E$87)</f>
        <v>0</v>
      </c>
      <c r="D38" s="10" t="n">
        <f aca="false">Допущения!$E$81*IF(D$36&lt;2,0,((D$36-1)/35)^Допущения!$E$87)</f>
        <v>857.142857142857</v>
      </c>
      <c r="E38" s="10" t="n">
        <f aca="false">Допущения!$E$81*IF(E$36&lt;2,0,((E$36-1)/35)^Допущения!$E$87)</f>
        <v>1714.28571428571</v>
      </c>
      <c r="F38" s="10" t="n">
        <f aca="false">Допущения!$E$81*IF(F$36&lt;2,0,((F$36-1)/35)^Допущения!$E$87)</f>
        <v>2571.42857142857</v>
      </c>
      <c r="G38" s="10" t="n">
        <f aca="false">Допущения!$E$81*IF(G$36&lt;2,0,((G$36-1)/35)^Допущения!$E$87)</f>
        <v>3428.57142857143</v>
      </c>
      <c r="H38" s="10" t="n">
        <f aca="false">Допущения!$E$81*IF(H$36&lt;2,0,((H$36-1)/35)^Допущения!$E$87)</f>
        <v>4285.71428571429</v>
      </c>
      <c r="I38" s="10" t="n">
        <f aca="false">Допущения!$E$81*IF(I$36&lt;2,0,((I$36-1)/35)^Допущения!$E$87)</f>
        <v>5142.85714285714</v>
      </c>
      <c r="J38" s="10" t="n">
        <f aca="false">Допущения!$E$81*IF(J$36&lt;2,0,((J$36-1)/35)^Допущения!$E$87)</f>
        <v>6000</v>
      </c>
      <c r="K38" s="10" t="n">
        <f aca="false">Допущения!$E$81*IF(K$36&lt;2,0,((K$36-1)/35)^Допущения!$E$87)</f>
        <v>6857.14285714286</v>
      </c>
      <c r="L38" s="10" t="n">
        <f aca="false">Допущения!$E$81*IF(L$36&lt;2,0,((L$36-1)/35)^Допущения!$E$87)</f>
        <v>7714.28571428571</v>
      </c>
      <c r="M38" s="10" t="n">
        <f aca="false">Допущения!$E$81*IF(M$36&lt;2,0,((M$36-1)/35)^Допущения!$E$87)</f>
        <v>8571.42857142857</v>
      </c>
      <c r="N38" s="10" t="n">
        <f aca="false">Допущения!$E$81*IF(N$36&lt;2,0,((N$36-1)/35)^Допущения!$E$87)</f>
        <v>9428.57142857143</v>
      </c>
      <c r="O38" s="10" t="n">
        <f aca="false">Допущения!$E$81*IF(O$36&lt;2,0,((O$36-1)/35)^Допущения!$E$87)</f>
        <v>10285.7142857143</v>
      </c>
      <c r="P38" s="10" t="n">
        <f aca="false">Допущения!$E$81*IF(P$36&lt;2,0,((P$36-1)/35)^Допущения!$E$87)</f>
        <v>11142.8571428571</v>
      </c>
      <c r="Q38" s="10" t="n">
        <f aca="false">Допущения!$E$81*IF(Q$36&lt;2,0,((Q$36-1)/35)^Допущения!$E$87)</f>
        <v>12000</v>
      </c>
      <c r="R38" s="10" t="n">
        <f aca="false">Допущения!$E$81*IF(R$36&lt;2,0,((R$36-1)/35)^Допущения!$E$87)</f>
        <v>12857.1428571429</v>
      </c>
      <c r="S38" s="10" t="n">
        <f aca="false">Допущения!$E$81*IF(S$36&lt;2,0,((S$36-1)/35)^Допущения!$E$87)</f>
        <v>13714.2857142857</v>
      </c>
      <c r="T38" s="10" t="n">
        <f aca="false">Допущения!$E$81*IF(T$36&lt;2,0,((T$36-1)/35)^Допущения!$E$87)</f>
        <v>14571.4285714286</v>
      </c>
      <c r="U38" s="10" t="n">
        <f aca="false">Допущения!$E$81*IF(U$36&lt;2,0,((U$36-1)/35)^Допущения!$E$87)</f>
        <v>15428.5714285714</v>
      </c>
      <c r="V38" s="10" t="n">
        <f aca="false">Допущения!$E$81*IF(V$36&lt;2,0,((V$36-1)/35)^Допущения!$E$87)</f>
        <v>16285.7142857143</v>
      </c>
      <c r="W38" s="10" t="n">
        <f aca="false">Допущения!$E$81*IF(W$36&lt;2,0,((W$36-1)/35)^Допущения!$E$87)</f>
        <v>17142.8571428571</v>
      </c>
      <c r="X38" s="10" t="n">
        <f aca="false">Допущения!$E$81*IF(X$36&lt;2,0,((X$36-1)/35)^Допущения!$E$87)</f>
        <v>18000</v>
      </c>
      <c r="Y38" s="10" t="n">
        <f aca="false">Допущения!$E$81*IF(Y$36&lt;2,0,((Y$36-1)/35)^Допущения!$E$87)</f>
        <v>18857.1428571429</v>
      </c>
      <c r="Z38" s="10" t="n">
        <f aca="false">Допущения!$E$81*IF(Z$36&lt;2,0,((Z$36-1)/35)^Допущения!$E$87)</f>
        <v>19714.2857142857</v>
      </c>
      <c r="AA38" s="10" t="n">
        <f aca="false">Допущения!$E$81*IF(AA$36&lt;2,0,((AA$36-1)/35)^Допущения!$E$87)</f>
        <v>20571.4285714286</v>
      </c>
      <c r="AB38" s="10" t="n">
        <f aca="false">Допущения!$E$81*IF(AB$36&lt;2,0,((AB$36-1)/35)^Допущения!$E$87)</f>
        <v>21428.5714285714</v>
      </c>
      <c r="AC38" s="10" t="n">
        <f aca="false">Допущения!$E$81*IF(AC$36&lt;2,0,((AC$36-1)/35)^Допущения!$E$87)</f>
        <v>22285.7142857143</v>
      </c>
      <c r="AD38" s="10" t="n">
        <f aca="false">Допущения!$E$81*IF(AD$36&lt;2,0,((AD$36-1)/35)^Допущения!$E$87)</f>
        <v>23142.8571428571</v>
      </c>
      <c r="AE38" s="10" t="n">
        <f aca="false">Допущения!$E$81*IF(AE$36&lt;2,0,((AE$36-1)/35)^Допущения!$E$87)</f>
        <v>24000</v>
      </c>
      <c r="AF38" s="10" t="n">
        <f aca="false">Допущения!$E$81*IF(AF$36&lt;2,0,((AF$36-1)/35)^Допущения!$E$87)</f>
        <v>24857.1428571429</v>
      </c>
      <c r="AG38" s="10" t="n">
        <f aca="false">Допущения!$E$81*IF(AG$36&lt;2,0,((AG$36-1)/35)^Допущения!$E$87)</f>
        <v>25714.2857142857</v>
      </c>
      <c r="AH38" s="10" t="n">
        <f aca="false">Допущения!$E$81*IF(AH$36&lt;2,0,((AH$36-1)/35)^Допущения!$E$87)</f>
        <v>26571.4285714286</v>
      </c>
      <c r="AI38" s="10" t="n">
        <f aca="false">Допущения!$E$81*IF(AI$36&lt;2,0,((AI$36-1)/35)^Допущения!$E$87)</f>
        <v>27428.5714285714</v>
      </c>
      <c r="AJ38" s="10" t="n">
        <f aca="false">Допущения!$E$81*IF(AJ$36&lt;2,0,((AJ$36-1)/35)^Допущения!$E$87)</f>
        <v>28285.7142857143</v>
      </c>
      <c r="AK38" s="10" t="n">
        <f aca="false">Допущения!$E$81*IF(AK$36&lt;2,0,((AK$36-1)/35)^Допущения!$E$87)</f>
        <v>29142.8571428571</v>
      </c>
      <c r="AL38" s="10" t="n">
        <f aca="false">Допущения!$E$81*IF(AL$36&lt;2,0,((AL$36-1)/35)^Допущения!$E$87)</f>
        <v>30000</v>
      </c>
      <c r="AM38" s="10" t="n">
        <f aca="false">N38</f>
        <v>9428.57142857143</v>
      </c>
      <c r="AN38" s="10" t="n">
        <f aca="false">Z38</f>
        <v>19714.2857142857</v>
      </c>
      <c r="AO38" s="10" t="n">
        <f aca="false">AL38</f>
        <v>30000</v>
      </c>
    </row>
    <row r="39" customFormat="false" ht="15" hidden="false" customHeight="false" outlineLevel="0" collapsed="false">
      <c r="A39" s="0" t="s">
        <v>263</v>
      </c>
      <c r="B39" s="0" t="s">
        <v>264</v>
      </c>
      <c r="C39" s="10" t="n">
        <f aca="false">C37*Допущения!$E$80+C38*Допущения!$E$82</f>
        <v>0</v>
      </c>
      <c r="D39" s="10" t="n">
        <f aca="false">D37*Допущения!$E$80+D38*Допущения!$E$82</f>
        <v>2331.42857142857</v>
      </c>
      <c r="E39" s="10" t="n">
        <f aca="false">E37*Допущения!$E$80+E38*Допущения!$E$82</f>
        <v>4662.85714285714</v>
      </c>
      <c r="F39" s="10" t="n">
        <f aca="false">F37*Допущения!$E$80+F38*Допущения!$E$82</f>
        <v>6994.28571428572</v>
      </c>
      <c r="G39" s="10" t="n">
        <f aca="false">G37*Допущения!$E$80+G38*Допущения!$E$82</f>
        <v>9325.71428571429</v>
      </c>
      <c r="H39" s="10" t="n">
        <f aca="false">H37*Допущения!$E$80+H38*Допущения!$E$82</f>
        <v>11657.1428571429</v>
      </c>
      <c r="I39" s="10" t="n">
        <f aca="false">I37*Допущения!$E$80+I38*Допущения!$E$82</f>
        <v>13988.5714285714</v>
      </c>
      <c r="J39" s="10" t="n">
        <f aca="false">J37*Допущения!$E$80+J38*Допущения!$E$82</f>
        <v>16320</v>
      </c>
      <c r="K39" s="10" t="n">
        <f aca="false">K37*Допущения!$E$80+K38*Допущения!$E$82</f>
        <v>18651.4285714286</v>
      </c>
      <c r="L39" s="10" t="n">
        <f aca="false">L37*Допущения!$E$80+L38*Допущения!$E$82</f>
        <v>20982.8571428571</v>
      </c>
      <c r="M39" s="10" t="n">
        <f aca="false">M37*Допущения!$E$80+M38*Допущения!$E$82</f>
        <v>23314.2857142857</v>
      </c>
      <c r="N39" s="10" t="n">
        <f aca="false">N37*Допущения!$E$80+N38*Допущения!$E$82</f>
        <v>25645.7142857143</v>
      </c>
      <c r="O39" s="10" t="n">
        <f aca="false">O37*Допущения!$E$80+O38*Допущения!$E$82</f>
        <v>27977.1428571429</v>
      </c>
      <c r="P39" s="10" t="n">
        <f aca="false">P37*Допущения!$E$80+P38*Допущения!$E$82</f>
        <v>30308.5714285714</v>
      </c>
      <c r="Q39" s="10" t="n">
        <f aca="false">Q37*Допущения!$E$80+Q38*Допущения!$E$82</f>
        <v>32640</v>
      </c>
      <c r="R39" s="10" t="n">
        <f aca="false">R37*Допущения!$E$80+R38*Допущения!$E$82</f>
        <v>34971.4285714286</v>
      </c>
      <c r="S39" s="10" t="n">
        <f aca="false">S37*Допущения!$E$80+S38*Допущения!$E$82</f>
        <v>37302.8571428571</v>
      </c>
      <c r="T39" s="10" t="n">
        <f aca="false">T37*Допущения!$E$80+T38*Допущения!$E$82</f>
        <v>39634.2857142857</v>
      </c>
      <c r="U39" s="10" t="n">
        <f aca="false">U37*Допущения!$E$80+U38*Допущения!$E$82</f>
        <v>41965.7142857143</v>
      </c>
      <c r="V39" s="10" t="n">
        <f aca="false">V37*Допущения!$E$80+V38*Допущения!$E$82</f>
        <v>44297.1428571429</v>
      </c>
      <c r="W39" s="10" t="n">
        <f aca="false">W37*Допущения!$E$80+W38*Допущения!$E$82</f>
        <v>46628.5714285714</v>
      </c>
      <c r="X39" s="10" t="n">
        <f aca="false">X37*Допущения!$E$80+X38*Допущения!$E$82</f>
        <v>48960</v>
      </c>
      <c r="Y39" s="10" t="n">
        <f aca="false">Y37*Допущения!$E$80+Y38*Допущения!$E$82</f>
        <v>51291.4285714286</v>
      </c>
      <c r="Z39" s="10" t="n">
        <f aca="false">Z37*Допущения!$E$80+Z38*Допущения!$E$82</f>
        <v>53622.8571428571</v>
      </c>
      <c r="AA39" s="10" t="n">
        <f aca="false">AA37*Допущения!$E$80+AA38*Допущения!$E$82</f>
        <v>55954.2857142857</v>
      </c>
      <c r="AB39" s="10" t="n">
        <f aca="false">AB37*Допущения!$E$80+AB38*Допущения!$E$82</f>
        <v>58285.7142857143</v>
      </c>
      <c r="AC39" s="10" t="n">
        <f aca="false">AC37*Допущения!$E$80+AC38*Допущения!$E$82</f>
        <v>60617.1428571429</v>
      </c>
      <c r="AD39" s="10" t="n">
        <f aca="false">AD37*Допущения!$E$80+AD38*Допущения!$E$82</f>
        <v>62948.5714285714</v>
      </c>
      <c r="AE39" s="10" t="n">
        <f aca="false">AE37*Допущения!$E$80+AE38*Допущения!$E$82</f>
        <v>65280</v>
      </c>
      <c r="AF39" s="10" t="n">
        <f aca="false">AF37*Допущения!$E$80+AF38*Допущения!$E$82</f>
        <v>67611.4285714286</v>
      </c>
      <c r="AG39" s="10" t="n">
        <f aca="false">AG37*Допущения!$E$80+AG38*Допущения!$E$82</f>
        <v>69942.8571428571</v>
      </c>
      <c r="AH39" s="10" t="n">
        <f aca="false">AH37*Допущения!$E$80+AH38*Допущения!$E$82</f>
        <v>72274.2857142857</v>
      </c>
      <c r="AI39" s="10" t="n">
        <f aca="false">AI37*Допущения!$E$80+AI38*Допущения!$E$82</f>
        <v>74605.7142857143</v>
      </c>
      <c r="AJ39" s="10" t="n">
        <f aca="false">AJ37*Допущения!$E$80+AJ38*Допущения!$E$82</f>
        <v>76937.1428571429</v>
      </c>
      <c r="AK39" s="10" t="n">
        <f aca="false">AK37*Допущения!$E$80+AK38*Допущения!$E$82</f>
        <v>79268.5714285714</v>
      </c>
      <c r="AL39" s="10" t="n">
        <f aca="false">AL37*Допущения!$E$80+AL38*Допущения!$E$82</f>
        <v>81600</v>
      </c>
      <c r="AM39" s="10" t="n">
        <f aca="false">SUM(C39:N39)</f>
        <v>153874.285714286</v>
      </c>
      <c r="AN39" s="10" t="n">
        <f aca="false">SUM(O39:Z39)</f>
        <v>489600</v>
      </c>
      <c r="AO39" s="10" t="n">
        <f aca="false">SUM(AA39:AL39)</f>
        <v>825325.714285714</v>
      </c>
      <c r="AP39" s="10" t="n">
        <f aca="false">SUM(C39:AL39)</f>
        <v>1468800</v>
      </c>
    </row>
    <row r="40" customFormat="false" ht="15" hidden="false" customHeight="false" outlineLevel="0" collapsed="false">
      <c r="A40" s="0" t="s">
        <v>265</v>
      </c>
      <c r="B40" s="0" t="s">
        <v>338</v>
      </c>
      <c r="C40" s="10" t="n">
        <f aca="false">C39*Допущения!$E$6*Допущения!$E$7</f>
        <v>0</v>
      </c>
      <c r="D40" s="10" t="n">
        <f aca="false">D39*Допущения!$E$6*Допущения!$E$7</f>
        <v>174.857142857143</v>
      </c>
      <c r="E40" s="10" t="n">
        <f aca="false">E39*Допущения!$E$6*Допущения!$E$7</f>
        <v>349.714285714286</v>
      </c>
      <c r="F40" s="10" t="n">
        <f aca="false">F39*Допущения!$E$6*Допущения!$E$7</f>
        <v>524.571428571429</v>
      </c>
      <c r="G40" s="10" t="n">
        <f aca="false">G39*Допущения!$E$6*Допущения!$E$7</f>
        <v>699.428571428572</v>
      </c>
      <c r="H40" s="10" t="n">
        <f aca="false">H39*Допущения!$E$6*Допущения!$E$7</f>
        <v>874.285714285714</v>
      </c>
      <c r="I40" s="10" t="n">
        <f aca="false">I39*Допущения!$E$6*Допущения!$E$7</f>
        <v>1049.14285714286</v>
      </c>
      <c r="J40" s="10" t="n">
        <f aca="false">J39*Допущения!$E$6*Допущения!$E$7</f>
        <v>1224</v>
      </c>
      <c r="K40" s="10" t="n">
        <f aca="false">K39*Допущения!$E$6*Допущения!$E$7</f>
        <v>1398.85714285714</v>
      </c>
      <c r="L40" s="10" t="n">
        <f aca="false">L39*Допущения!$E$6*Допущения!$E$7</f>
        <v>1573.71428571429</v>
      </c>
      <c r="M40" s="10" t="n">
        <f aca="false">M39*Допущения!$E$6*Допущения!$E$7</f>
        <v>1748.57142857143</v>
      </c>
      <c r="N40" s="10" t="n">
        <f aca="false">N39*Допущения!$E$6*Допущения!$E$7</f>
        <v>1923.42857142857</v>
      </c>
      <c r="O40" s="10" t="n">
        <f aca="false">O39*Допущения!$E$6*Допущения!$E$7</f>
        <v>2098.28571428571</v>
      </c>
      <c r="P40" s="10" t="n">
        <f aca="false">P39*Допущения!$E$6*Допущения!$E$7</f>
        <v>2273.14285714286</v>
      </c>
      <c r="Q40" s="10" t="n">
        <f aca="false">Q39*Допущения!$E$6*Допущения!$E$7</f>
        <v>2448</v>
      </c>
      <c r="R40" s="10" t="n">
        <f aca="false">R39*Допущения!$E$6*Допущения!$E$7</f>
        <v>2622.85714285714</v>
      </c>
      <c r="S40" s="10" t="n">
        <f aca="false">S39*Допущения!$E$6*Допущения!$E$7</f>
        <v>2797.71428571429</v>
      </c>
      <c r="T40" s="10" t="n">
        <f aca="false">T39*Допущения!$E$6*Допущения!$E$7</f>
        <v>2972.57142857143</v>
      </c>
      <c r="U40" s="10" t="n">
        <f aca="false">U39*Допущения!$E$6*Допущения!$E$7</f>
        <v>3147.42857142857</v>
      </c>
      <c r="V40" s="10" t="n">
        <f aca="false">V39*Допущения!$E$6*Допущения!$E$7</f>
        <v>3322.28571428571</v>
      </c>
      <c r="W40" s="10" t="n">
        <f aca="false">W39*Допущения!$E$6*Допущения!$E$7</f>
        <v>3497.14285714286</v>
      </c>
      <c r="X40" s="10" t="n">
        <f aca="false">X39*Допущения!$E$6*Допущения!$E$7</f>
        <v>3672</v>
      </c>
      <c r="Y40" s="10" t="n">
        <f aca="false">Y39*Допущения!$E$6*Допущения!$E$7</f>
        <v>3846.85714285714</v>
      </c>
      <c r="Z40" s="10" t="n">
        <f aca="false">Z39*Допущения!$E$6*Допущения!$E$7</f>
        <v>4021.71428571429</v>
      </c>
      <c r="AA40" s="10" t="n">
        <f aca="false">AA39*Допущения!$E$6*Допущения!$E$7</f>
        <v>4196.57142857143</v>
      </c>
      <c r="AB40" s="10" t="n">
        <f aca="false">AB39*Допущения!$E$6*Допущения!$E$7</f>
        <v>4371.42857142857</v>
      </c>
      <c r="AC40" s="10" t="n">
        <f aca="false">AC39*Допущения!$E$6*Допущения!$E$7</f>
        <v>4546.28571428572</v>
      </c>
      <c r="AD40" s="10" t="n">
        <f aca="false">AD39*Допущения!$E$6*Допущения!$E$7</f>
        <v>4721.14285714286</v>
      </c>
      <c r="AE40" s="10" t="n">
        <f aca="false">AE39*Допущения!$E$6*Допущения!$E$7</f>
        <v>4896</v>
      </c>
      <c r="AF40" s="10" t="n">
        <f aca="false">AF39*Допущения!$E$6*Допущения!$E$7</f>
        <v>5070.85714285714</v>
      </c>
      <c r="AG40" s="10" t="n">
        <f aca="false">AG39*Допущения!$E$6*Допущения!$E$7</f>
        <v>5245.71428571429</v>
      </c>
      <c r="AH40" s="10" t="n">
        <f aca="false">AH39*Допущения!$E$6*Допущения!$E$7</f>
        <v>5420.57142857143</v>
      </c>
      <c r="AI40" s="10" t="n">
        <f aca="false">AI39*Допущения!$E$6*Допущения!$E$7</f>
        <v>5595.42857142857</v>
      </c>
      <c r="AJ40" s="10" t="n">
        <f aca="false">AJ39*Допущения!$E$6*Допущения!$E$7</f>
        <v>5770.28571428572</v>
      </c>
      <c r="AK40" s="10" t="n">
        <f aca="false">AK39*Допущения!$E$6*Допущения!$E$7</f>
        <v>5945.14285714286</v>
      </c>
      <c r="AL40" s="10" t="n">
        <f aca="false">AL39*Допущения!$E$6*Допущения!$E$7</f>
        <v>6120</v>
      </c>
      <c r="AM40" s="10" t="n">
        <f aca="false">SUM(C40:N40)</f>
        <v>11540.5714285714</v>
      </c>
      <c r="AN40" s="10" t="n">
        <f aca="false">SUM(O40:Z40)</f>
        <v>36720</v>
      </c>
      <c r="AO40" s="10" t="n">
        <f aca="false">SUM(AA40:AL40)</f>
        <v>61899.4285714286</v>
      </c>
      <c r="AP40" s="10" t="n">
        <f aca="false">SUM(C40:AL40)</f>
        <v>110160</v>
      </c>
    </row>
    <row r="41" customFormat="false" ht="15" hidden="false" customHeight="false" outlineLevel="0" collapsed="false">
      <c r="A41" s="0" t="s">
        <v>267</v>
      </c>
      <c r="B41" s="0" t="s">
        <v>268</v>
      </c>
      <c r="C41" s="10" t="n">
        <f aca="false">C40*Допущения!$E$4</f>
        <v>0</v>
      </c>
      <c r="D41" s="10" t="n">
        <f aca="false">D40*Допущения!$E$4</f>
        <v>349714.285714286</v>
      </c>
      <c r="E41" s="10" t="n">
        <f aca="false">E40*Допущения!$E$4</f>
        <v>699428.571428572</v>
      </c>
      <c r="F41" s="10" t="n">
        <f aca="false">F40*Допущения!$E$4</f>
        <v>1049142.85714286</v>
      </c>
      <c r="G41" s="10" t="n">
        <f aca="false">G40*Допущения!$E$4</f>
        <v>1398857.14285714</v>
      </c>
      <c r="H41" s="10" t="n">
        <f aca="false">H40*Допущения!$E$4</f>
        <v>1748571.42857143</v>
      </c>
      <c r="I41" s="10" t="n">
        <f aca="false">I40*Допущения!$E$4</f>
        <v>2098285.71428571</v>
      </c>
      <c r="J41" s="10" t="n">
        <f aca="false">J40*Допущения!$E$4</f>
        <v>2448000</v>
      </c>
      <c r="K41" s="10" t="n">
        <f aca="false">K40*Допущения!$E$4</f>
        <v>2797714.28571429</v>
      </c>
      <c r="L41" s="10" t="n">
        <f aca="false">L40*Допущения!$E$4</f>
        <v>3147428.57142857</v>
      </c>
      <c r="M41" s="10" t="n">
        <f aca="false">M40*Допущения!$E$4</f>
        <v>3497142.85714286</v>
      </c>
      <c r="N41" s="10" t="n">
        <f aca="false">N40*Допущения!$E$4</f>
        <v>3846857.14285714</v>
      </c>
      <c r="O41" s="10" t="n">
        <f aca="false">O40*Допущения!$E$4</f>
        <v>4196571.42857143</v>
      </c>
      <c r="P41" s="10" t="n">
        <f aca="false">P40*Допущения!$E$4</f>
        <v>4546285.71428572</v>
      </c>
      <c r="Q41" s="10" t="n">
        <f aca="false">Q40*Допущения!$E$4</f>
        <v>4896000</v>
      </c>
      <c r="R41" s="10" t="n">
        <f aca="false">R40*Допущения!$E$4</f>
        <v>5245714.28571429</v>
      </c>
      <c r="S41" s="10" t="n">
        <f aca="false">S40*Допущения!$E$4</f>
        <v>5595428.57142857</v>
      </c>
      <c r="T41" s="10" t="n">
        <f aca="false">T40*Допущения!$E$4</f>
        <v>5945142.85714286</v>
      </c>
      <c r="U41" s="10" t="n">
        <f aca="false">U40*Допущения!$E$4</f>
        <v>6294857.14285714</v>
      </c>
      <c r="V41" s="10" t="n">
        <f aca="false">V40*Допущения!$E$4</f>
        <v>6644571.42857143</v>
      </c>
      <c r="W41" s="10" t="n">
        <f aca="false">W40*Допущения!$E$4</f>
        <v>6994285.71428571</v>
      </c>
      <c r="X41" s="10" t="n">
        <f aca="false">X40*Допущения!$E$4</f>
        <v>7344000</v>
      </c>
      <c r="Y41" s="10" t="n">
        <f aca="false">Y40*Допущения!$E$4</f>
        <v>7693714.28571429</v>
      </c>
      <c r="Z41" s="10" t="n">
        <f aca="false">Z40*Допущения!$E$4</f>
        <v>8043428.57142857</v>
      </c>
      <c r="AA41" s="10" t="n">
        <f aca="false">AA40*Допущения!$E$4</f>
        <v>8393142.85714286</v>
      </c>
      <c r="AB41" s="10" t="n">
        <f aca="false">AB40*Допущения!$E$4</f>
        <v>8742857.14285714</v>
      </c>
      <c r="AC41" s="10" t="n">
        <f aca="false">AC40*Допущения!$E$4</f>
        <v>9092571.42857143</v>
      </c>
      <c r="AD41" s="10" t="n">
        <f aca="false">AD40*Допущения!$E$4</f>
        <v>9442285.71428572</v>
      </c>
      <c r="AE41" s="10" t="n">
        <f aca="false">AE40*Допущения!$E$4</f>
        <v>9792000</v>
      </c>
      <c r="AF41" s="10" t="n">
        <f aca="false">AF40*Допущения!$E$4</f>
        <v>10141714.2857143</v>
      </c>
      <c r="AG41" s="10" t="n">
        <f aca="false">AG40*Допущения!$E$4</f>
        <v>10491428.5714286</v>
      </c>
      <c r="AH41" s="10" t="n">
        <f aca="false">AH40*Допущения!$E$4</f>
        <v>10841142.8571429</v>
      </c>
      <c r="AI41" s="10" t="n">
        <f aca="false">AI40*Допущения!$E$4</f>
        <v>11190857.1428571</v>
      </c>
      <c r="AJ41" s="10" t="n">
        <f aca="false">AJ40*Допущения!$E$4</f>
        <v>11540571.4285714</v>
      </c>
      <c r="AK41" s="10" t="n">
        <f aca="false">AK40*Допущения!$E$4</f>
        <v>11890285.7142857</v>
      </c>
      <c r="AL41" s="10" t="n">
        <f aca="false">AL40*Допущения!$E$4</f>
        <v>12240000</v>
      </c>
      <c r="AM41" s="10" t="n">
        <f aca="false">SUM(C41:N41)</f>
        <v>23081142.8571429</v>
      </c>
      <c r="AN41" s="10" t="n">
        <f aca="false">SUM(O41:Z41)</f>
        <v>73440000</v>
      </c>
      <c r="AO41" s="10" t="n">
        <f aca="false">SUM(AA41:AL41)</f>
        <v>123798857.142857</v>
      </c>
      <c r="AP41" s="10" t="n">
        <f aca="false">SUM(C41:AL41)</f>
        <v>220320000</v>
      </c>
    </row>
    <row r="42" customFormat="false" ht="15" hidden="false" customHeight="false" outlineLevel="0" collapsed="false">
      <c r="A42" s="0" t="s">
        <v>275</v>
      </c>
      <c r="B42" s="0" t="s">
        <v>339</v>
      </c>
      <c r="C42" s="10" t="n">
        <f aca="false">C41*Допущения!$E$5+C37/1000*Допущения!$E$8</f>
        <v>0</v>
      </c>
      <c r="D42" s="10" t="n">
        <f aca="false">D41*Допущения!$E$5+D37/1000*Допущения!$E$8</f>
        <v>63462.8571428572</v>
      </c>
      <c r="E42" s="10" t="n">
        <f aca="false">E41*Допущения!$E$5+E37/1000*Допущения!$E$8</f>
        <v>126925.714285714</v>
      </c>
      <c r="F42" s="10" t="n">
        <f aca="false">F41*Допущения!$E$5+F37/1000*Допущения!$E$8</f>
        <v>190388.571428571</v>
      </c>
      <c r="G42" s="10" t="n">
        <f aca="false">G41*Допущения!$E$5+G37/1000*Допущения!$E$8</f>
        <v>253851.428571429</v>
      </c>
      <c r="H42" s="10" t="n">
        <f aca="false">H41*Допущения!$E$5+H37/1000*Допущения!$E$8</f>
        <v>317314.285714286</v>
      </c>
      <c r="I42" s="10" t="n">
        <f aca="false">I41*Допущения!$E$5+I37/1000*Допущения!$E$8</f>
        <v>380777.142857143</v>
      </c>
      <c r="J42" s="10" t="n">
        <f aca="false">J41*Допущения!$E$5+J37/1000*Допущения!$E$8</f>
        <v>444240</v>
      </c>
      <c r="K42" s="10" t="n">
        <f aca="false">K41*Допущения!$E$5+K37/1000*Допущения!$E$8</f>
        <v>507702.857142857</v>
      </c>
      <c r="L42" s="10" t="n">
        <f aca="false">L41*Допущения!$E$5+L37/1000*Допущения!$E$8</f>
        <v>571165.714285714</v>
      </c>
      <c r="M42" s="10" t="n">
        <f aca="false">M41*Допущения!$E$5+M37/1000*Допущения!$E$8</f>
        <v>634628.571428571</v>
      </c>
      <c r="N42" s="10" t="n">
        <f aca="false">N41*Допущения!$E$5+N37/1000*Допущения!$E$8</f>
        <v>698091.428571429</v>
      </c>
      <c r="O42" s="10" t="n">
        <f aca="false">O41*Допущения!$E$5+O37/1000*Допущения!$E$8</f>
        <v>761554.285714286</v>
      </c>
      <c r="P42" s="10" t="n">
        <f aca="false">P41*Допущения!$E$5+P37/1000*Допущения!$E$8</f>
        <v>825017.142857143</v>
      </c>
      <c r="Q42" s="10" t="n">
        <f aca="false">Q41*Допущения!$E$5+Q37/1000*Допущения!$E$8</f>
        <v>888480</v>
      </c>
      <c r="R42" s="10" t="n">
        <f aca="false">R41*Допущения!$E$5+R37/1000*Допущения!$E$8</f>
        <v>951942.857142857</v>
      </c>
      <c r="S42" s="10" t="n">
        <f aca="false">S41*Допущения!$E$5+S37/1000*Допущения!$E$8</f>
        <v>1015405.71428571</v>
      </c>
      <c r="T42" s="10" t="n">
        <f aca="false">T41*Допущения!$E$5+T37/1000*Допущения!$E$8</f>
        <v>1078868.57142857</v>
      </c>
      <c r="U42" s="10" t="n">
        <f aca="false">U41*Допущения!$E$5+U37/1000*Допущения!$E$8</f>
        <v>1142331.42857143</v>
      </c>
      <c r="V42" s="10" t="n">
        <f aca="false">V41*Допущения!$E$5+V37/1000*Допущения!$E$8</f>
        <v>1205794.28571429</v>
      </c>
      <c r="W42" s="10" t="n">
        <f aca="false">W41*Допущения!$E$5+W37/1000*Допущения!$E$8</f>
        <v>1269257.14285714</v>
      </c>
      <c r="X42" s="10" t="n">
        <f aca="false">X41*Допущения!$E$5+X37/1000*Допущения!$E$8</f>
        <v>1332720</v>
      </c>
      <c r="Y42" s="10" t="n">
        <f aca="false">Y41*Допущения!$E$5+Y37/1000*Допущения!$E$8</f>
        <v>1396182.85714286</v>
      </c>
      <c r="Z42" s="10" t="n">
        <f aca="false">Z41*Допущения!$E$5+Z37/1000*Допущения!$E$8</f>
        <v>1459645.71428571</v>
      </c>
      <c r="AA42" s="10" t="n">
        <f aca="false">AA41*Допущения!$E$5+AA37/1000*Допущения!$E$8</f>
        <v>1523108.57142857</v>
      </c>
      <c r="AB42" s="10" t="n">
        <f aca="false">AB41*Допущения!$E$5+AB37/1000*Допущения!$E$8</f>
        <v>1586571.42857143</v>
      </c>
      <c r="AC42" s="10" t="n">
        <f aca="false">AC41*Допущения!$E$5+AC37/1000*Допущения!$E$8</f>
        <v>1650034.28571429</v>
      </c>
      <c r="AD42" s="10" t="n">
        <f aca="false">AD41*Допущения!$E$5+AD37/1000*Допущения!$E$8</f>
        <v>1713497.14285714</v>
      </c>
      <c r="AE42" s="10" t="n">
        <f aca="false">AE41*Допущения!$E$5+AE37/1000*Допущения!$E$8</f>
        <v>1776960</v>
      </c>
      <c r="AF42" s="10" t="n">
        <f aca="false">AF41*Допущения!$E$5+AF37/1000*Допущения!$E$8</f>
        <v>1840422.85714286</v>
      </c>
      <c r="AG42" s="10" t="n">
        <f aca="false">AG41*Допущения!$E$5+AG37/1000*Допущения!$E$8</f>
        <v>1903885.71428571</v>
      </c>
      <c r="AH42" s="10" t="n">
        <f aca="false">AH41*Допущения!$E$5+AH37/1000*Допущения!$E$8</f>
        <v>1967348.57142857</v>
      </c>
      <c r="AI42" s="10" t="n">
        <f aca="false">AI41*Допущения!$E$5+AI37/1000*Допущения!$E$8</f>
        <v>2030811.42857143</v>
      </c>
      <c r="AJ42" s="10" t="n">
        <f aca="false">AJ41*Допущения!$E$5+AJ37/1000*Допущения!$E$8</f>
        <v>2094274.28571429</v>
      </c>
      <c r="AK42" s="10" t="n">
        <f aca="false">AK41*Допущения!$E$5+AK37/1000*Допущения!$E$8</f>
        <v>2157737.14285714</v>
      </c>
      <c r="AL42" s="10" t="n">
        <f aca="false">AL41*Допущения!$E$5+AL37/1000*Допущения!$E$8</f>
        <v>2221200</v>
      </c>
      <c r="AM42" s="10" t="n">
        <f aca="false">SUM(C42:N42)</f>
        <v>4188548.57142857</v>
      </c>
      <c r="AN42" s="10" t="n">
        <f aca="false">SUM(O42:Z42)</f>
        <v>13327200</v>
      </c>
      <c r="AO42" s="10" t="n">
        <f aca="false">SUM(AA42:AL42)</f>
        <v>22465851.4285714</v>
      </c>
      <c r="AP42" s="10" t="n">
        <f aca="false">SUM(C42:AL42)</f>
        <v>39981600</v>
      </c>
    </row>
    <row r="43" customFormat="false" ht="15" hidden="false" customHeight="false" outlineLevel="0" collapsed="false">
      <c r="A43" s="0" t="s">
        <v>277</v>
      </c>
      <c r="B43" s="0" t="s">
        <v>340</v>
      </c>
      <c r="C43" s="10" t="n">
        <f aca="false">MAX(0,C38-0)*(1-Допущения!$E$83)*Допущения!$E$9</f>
        <v>0</v>
      </c>
      <c r="D43" s="10" t="n">
        <f aca="false">MAX(0,D38-C38)*(1-Допущения!$E$83)*Допущения!$E$9</f>
        <v>51428.5714285714</v>
      </c>
      <c r="E43" s="10" t="n">
        <f aca="false">MAX(0,E38-D38)*(1-Допущения!$E$83)*Допущения!$E$9</f>
        <v>51428.5714285714</v>
      </c>
      <c r="F43" s="10" t="n">
        <f aca="false">MAX(0,F38-E38)*(1-Допущения!$E$83)*Допущения!$E$9</f>
        <v>51428.5714285714</v>
      </c>
      <c r="G43" s="10" t="n">
        <f aca="false">MAX(0,G38-F38)*(1-Допущения!$E$83)*Допущения!$E$9</f>
        <v>51428.5714285714</v>
      </c>
      <c r="H43" s="10" t="n">
        <f aca="false">MAX(0,H38-G38)*(1-Допущения!$E$83)*Допущения!$E$9</f>
        <v>51428.5714285714</v>
      </c>
      <c r="I43" s="10" t="n">
        <f aca="false">MAX(0,I38-H38)*(1-Допущения!$E$83)*Допущения!$E$9</f>
        <v>51428.5714285715</v>
      </c>
      <c r="J43" s="10" t="n">
        <f aca="false">MAX(0,J38-I38)*(1-Допущения!$E$83)*Допущения!$E$9</f>
        <v>51428.5714285714</v>
      </c>
      <c r="K43" s="10" t="n">
        <f aca="false">MAX(0,K38-J38)*(1-Допущения!$E$83)*Допущения!$E$9</f>
        <v>51428.5714285714</v>
      </c>
      <c r="L43" s="10" t="n">
        <f aca="false">MAX(0,L38-K38)*(1-Допущения!$E$83)*Допущения!$E$9</f>
        <v>51428.5714285714</v>
      </c>
      <c r="M43" s="10" t="n">
        <f aca="false">MAX(0,M38-L38)*(1-Допущения!$E$83)*Допущения!$E$9</f>
        <v>51428.5714285714</v>
      </c>
      <c r="N43" s="10" t="n">
        <f aca="false">MAX(0,N38-M38)*(1-Допущения!$E$83)*Допущения!$E$9</f>
        <v>51428.5714285714</v>
      </c>
      <c r="O43" s="10" t="n">
        <f aca="false">MAX(0,O38-N38)*(1-Допущения!$E$83)*Допущения!$E$9</f>
        <v>51428.5714285715</v>
      </c>
      <c r="P43" s="10" t="n">
        <f aca="false">MAX(0,P38-O38)*(1-Допущения!$E$83)*Допущения!$E$9</f>
        <v>51428.5714285714</v>
      </c>
      <c r="Q43" s="10" t="n">
        <f aca="false">MAX(0,Q38-P38)*(1-Допущения!$E$83)*Допущения!$E$9</f>
        <v>51428.5714285714</v>
      </c>
      <c r="R43" s="10" t="n">
        <f aca="false">MAX(0,R38-Q38)*(1-Допущения!$E$83)*Допущения!$E$9</f>
        <v>51428.5714285714</v>
      </c>
      <c r="S43" s="10" t="n">
        <f aca="false">MAX(0,S38-R38)*(1-Допущения!$E$83)*Допущения!$E$9</f>
        <v>51428.5714285714</v>
      </c>
      <c r="T43" s="10" t="n">
        <f aca="false">MAX(0,T38-S38)*(1-Допущения!$E$83)*Допущения!$E$9</f>
        <v>51428.5714285714</v>
      </c>
      <c r="U43" s="10" t="n">
        <f aca="false">MAX(0,U38-T38)*(1-Допущения!$E$83)*Допущения!$E$9</f>
        <v>51428.5714285714</v>
      </c>
      <c r="V43" s="10" t="n">
        <f aca="false">MAX(0,V38-U38)*(1-Допущения!$E$83)*Допущения!$E$9</f>
        <v>51428.5714285714</v>
      </c>
      <c r="W43" s="10" t="n">
        <f aca="false">MAX(0,W38-V38)*(1-Допущения!$E$83)*Допущения!$E$9</f>
        <v>51428.5714285714</v>
      </c>
      <c r="X43" s="10" t="n">
        <f aca="false">MAX(0,X38-W38)*(1-Допущения!$E$83)*Допущения!$E$9</f>
        <v>51428.5714285715</v>
      </c>
      <c r="Y43" s="10" t="n">
        <f aca="false">MAX(0,Y38-X38)*(1-Допущения!$E$83)*Допущения!$E$9</f>
        <v>51428.5714285713</v>
      </c>
      <c r="Z43" s="10" t="n">
        <f aca="false">MAX(0,Z38-Y38)*(1-Допущения!$E$83)*Допущения!$E$9</f>
        <v>51428.5714285715</v>
      </c>
      <c r="AA43" s="10" t="n">
        <f aca="false">MAX(0,AA38-Z38)*(1-Допущения!$E$83)*Допущения!$E$9</f>
        <v>51428.5714285715</v>
      </c>
      <c r="AB43" s="10" t="n">
        <f aca="false">MAX(0,AB38-AA38)*(1-Допущения!$E$83)*Допущения!$E$9</f>
        <v>51428.5714285713</v>
      </c>
      <c r="AC43" s="10" t="n">
        <f aca="false">MAX(0,AC38-AB38)*(1-Допущения!$E$83)*Допущения!$E$9</f>
        <v>51428.5714285715</v>
      </c>
      <c r="AD43" s="10" t="n">
        <f aca="false">MAX(0,AD38-AC38)*(1-Допущения!$E$83)*Допущения!$E$9</f>
        <v>51428.5714285715</v>
      </c>
      <c r="AE43" s="10" t="n">
        <f aca="false">MAX(0,AE38-AD38)*(1-Допущения!$E$83)*Допущения!$E$9</f>
        <v>51428.5714285713</v>
      </c>
      <c r="AF43" s="10" t="n">
        <f aca="false">MAX(0,AF38-AE38)*(1-Допущения!$E$83)*Допущения!$E$9</f>
        <v>51428.5714285715</v>
      </c>
      <c r="AG43" s="10" t="n">
        <f aca="false">MAX(0,AG38-AF38)*(1-Допущения!$E$83)*Допущения!$E$9</f>
        <v>51428.5714285713</v>
      </c>
      <c r="AH43" s="10" t="n">
        <f aca="false">MAX(0,AH38-AG38)*(1-Допущения!$E$83)*Допущения!$E$9</f>
        <v>51428.5714285713</v>
      </c>
      <c r="AI43" s="10" t="n">
        <f aca="false">MAX(0,AI38-AH38)*(1-Допущения!$E$83)*Допущения!$E$9</f>
        <v>51428.5714285715</v>
      </c>
      <c r="AJ43" s="10" t="n">
        <f aca="false">MAX(0,AJ38-AI38)*(1-Допущения!$E$83)*Допущения!$E$9</f>
        <v>51428.5714285715</v>
      </c>
      <c r="AK43" s="10" t="n">
        <f aca="false">MAX(0,AK38-AJ38)*(1-Допущения!$E$83)*Допущения!$E$9</f>
        <v>51428.5714285713</v>
      </c>
      <c r="AL43" s="10" t="n">
        <f aca="false">MAX(0,AL38-AK38)*(1-Допущения!$E$83)*Допущения!$E$9</f>
        <v>51428.5714285715</v>
      </c>
      <c r="AM43" s="10" t="n">
        <f aca="false">SUM(C43:N43)</f>
        <v>565714.285714286</v>
      </c>
      <c r="AN43" s="10" t="n">
        <f aca="false">SUM(O43:Z43)</f>
        <v>617142.857142857</v>
      </c>
      <c r="AO43" s="10" t="n">
        <f aca="false">SUM(AA43:AL43)</f>
        <v>617142.857142857</v>
      </c>
      <c r="AP43" s="10" t="n">
        <f aca="false">SUM(C43:AL43)</f>
        <v>1800000</v>
      </c>
    </row>
    <row r="44" customFormat="false" ht="15" hidden="false" customHeight="false" outlineLevel="0" collapsed="false">
      <c r="A44" s="0" t="s">
        <v>279</v>
      </c>
      <c r="B44" s="0" t="s">
        <v>280</v>
      </c>
      <c r="C44" s="10" t="n">
        <f aca="false">Допущения!$E$84</f>
        <v>90000</v>
      </c>
      <c r="D44" s="10" t="n">
        <f aca="false">Допущения!$E$84</f>
        <v>90000</v>
      </c>
      <c r="E44" s="10" t="n">
        <f aca="false">Допущения!$E$84</f>
        <v>90000</v>
      </c>
      <c r="F44" s="10" t="n">
        <f aca="false">Допущения!$E$84</f>
        <v>90000</v>
      </c>
      <c r="G44" s="10" t="n">
        <f aca="false">Допущения!$E$84</f>
        <v>90000</v>
      </c>
      <c r="H44" s="10" t="n">
        <f aca="false">Допущения!$E$84</f>
        <v>90000</v>
      </c>
      <c r="I44" s="10" t="n">
        <f aca="false">Допущения!$E$84</f>
        <v>90000</v>
      </c>
      <c r="J44" s="10" t="n">
        <f aca="false">Допущения!$E$84</f>
        <v>90000</v>
      </c>
      <c r="K44" s="10" t="n">
        <f aca="false">Допущения!$E$84</f>
        <v>90000</v>
      </c>
      <c r="L44" s="10" t="n">
        <f aca="false">Допущения!$E$84</f>
        <v>90000</v>
      </c>
      <c r="M44" s="10" t="n">
        <f aca="false">Допущения!$E$84</f>
        <v>90000</v>
      </c>
      <c r="N44" s="10" t="n">
        <f aca="false">Допущения!$E$84</f>
        <v>90000</v>
      </c>
      <c r="O44" s="10" t="n">
        <f aca="false">Допущения!$E$84</f>
        <v>90000</v>
      </c>
      <c r="P44" s="10" t="n">
        <f aca="false">Допущения!$E$84</f>
        <v>90000</v>
      </c>
      <c r="Q44" s="10" t="n">
        <f aca="false">Допущения!$E$84</f>
        <v>90000</v>
      </c>
      <c r="R44" s="10" t="n">
        <f aca="false">Допущения!$E$84</f>
        <v>90000</v>
      </c>
      <c r="S44" s="10" t="n">
        <f aca="false">Допущения!$E$84</f>
        <v>90000</v>
      </c>
      <c r="T44" s="10" t="n">
        <f aca="false">Допущения!$E$84</f>
        <v>90000</v>
      </c>
      <c r="U44" s="10" t="n">
        <f aca="false">Допущения!$E$84</f>
        <v>90000</v>
      </c>
      <c r="V44" s="10" t="n">
        <f aca="false">Допущения!$E$84</f>
        <v>90000</v>
      </c>
      <c r="W44" s="10" t="n">
        <f aca="false">Допущения!$E$84</f>
        <v>90000</v>
      </c>
      <c r="X44" s="10" t="n">
        <f aca="false">Допущения!$E$84</f>
        <v>90000</v>
      </c>
      <c r="Y44" s="10" t="n">
        <f aca="false">Допущения!$E$84</f>
        <v>90000</v>
      </c>
      <c r="Z44" s="10" t="n">
        <f aca="false">Допущения!$E$84</f>
        <v>90000</v>
      </c>
      <c r="AA44" s="10" t="n">
        <f aca="false">Допущения!$E$84</f>
        <v>90000</v>
      </c>
      <c r="AB44" s="10" t="n">
        <f aca="false">Допущения!$E$84</f>
        <v>90000</v>
      </c>
      <c r="AC44" s="10" t="n">
        <f aca="false">Допущения!$E$84</f>
        <v>90000</v>
      </c>
      <c r="AD44" s="10" t="n">
        <f aca="false">Допущения!$E$84</f>
        <v>90000</v>
      </c>
      <c r="AE44" s="10" t="n">
        <f aca="false">Допущения!$E$84</f>
        <v>90000</v>
      </c>
      <c r="AF44" s="10" t="n">
        <f aca="false">Допущения!$E$84</f>
        <v>90000</v>
      </c>
      <c r="AG44" s="10" t="n">
        <f aca="false">Допущения!$E$84</f>
        <v>90000</v>
      </c>
      <c r="AH44" s="10" t="n">
        <f aca="false">Допущения!$E$84</f>
        <v>90000</v>
      </c>
      <c r="AI44" s="10" t="n">
        <f aca="false">Допущения!$E$84</f>
        <v>90000</v>
      </c>
      <c r="AJ44" s="10" t="n">
        <f aca="false">Допущения!$E$84</f>
        <v>90000</v>
      </c>
      <c r="AK44" s="10" t="n">
        <f aca="false">Допущения!$E$84</f>
        <v>90000</v>
      </c>
      <c r="AL44" s="10" t="n">
        <f aca="false">Допущения!$E$84</f>
        <v>90000</v>
      </c>
      <c r="AM44" s="10" t="n">
        <f aca="false">SUM(C44:N44)</f>
        <v>1080000</v>
      </c>
      <c r="AN44" s="10" t="n">
        <f aca="false">SUM(O44:Z44)</f>
        <v>1080000</v>
      </c>
      <c r="AO44" s="10" t="n">
        <f aca="false">SUM(AA44:AL44)</f>
        <v>1080000</v>
      </c>
      <c r="AP44" s="10" t="n">
        <f aca="false">SUM(C44:AL44)</f>
        <v>3240000</v>
      </c>
    </row>
    <row r="45" customFormat="false" ht="15" hidden="false" customHeight="false" outlineLevel="0" collapsed="false">
      <c r="A45" s="1" t="s">
        <v>281</v>
      </c>
      <c r="B45" s="1" t="s">
        <v>282</v>
      </c>
      <c r="C45" s="11" t="n">
        <f aca="false">C42-C44-C43</f>
        <v>-90000</v>
      </c>
      <c r="D45" s="11" t="n">
        <f aca="false">D42-D44-D43</f>
        <v>-77965.7142857143</v>
      </c>
      <c r="E45" s="11" t="n">
        <f aca="false">E42-E44-E43</f>
        <v>-14502.8571428571</v>
      </c>
      <c r="F45" s="11" t="n">
        <f aca="false">F42-F44-F43</f>
        <v>48960</v>
      </c>
      <c r="G45" s="11" t="n">
        <f aca="false">G42-G44-G43</f>
        <v>112422.857142857</v>
      </c>
      <c r="H45" s="11" t="n">
        <f aca="false">H42-H44-H43</f>
        <v>175885.714285714</v>
      </c>
      <c r="I45" s="11" t="n">
        <f aca="false">I42-I44-I43</f>
        <v>239348.571428571</v>
      </c>
      <c r="J45" s="11" t="n">
        <f aca="false">J42-J44-J43</f>
        <v>302811.428571429</v>
      </c>
      <c r="K45" s="11" t="n">
        <f aca="false">K42-K44-K43</f>
        <v>366274.285714286</v>
      </c>
      <c r="L45" s="11" t="n">
        <f aca="false">L42-L44-L43</f>
        <v>429737.142857143</v>
      </c>
      <c r="M45" s="11" t="n">
        <f aca="false">M42-M44-M43</f>
        <v>493200</v>
      </c>
      <c r="N45" s="11" t="n">
        <f aca="false">N42-N44-N43</f>
        <v>556662.857142857</v>
      </c>
      <c r="O45" s="11" t="n">
        <f aca="false">O42-O44-O43</f>
        <v>620125.714285714</v>
      </c>
      <c r="P45" s="11" t="n">
        <f aca="false">P42-P44-P43</f>
        <v>683588.571428572</v>
      </c>
      <c r="Q45" s="11" t="n">
        <f aca="false">Q42-Q44-Q43</f>
        <v>747051.428571429</v>
      </c>
      <c r="R45" s="11" t="n">
        <f aca="false">R42-R44-R43</f>
        <v>810514.285714286</v>
      </c>
      <c r="S45" s="11" t="n">
        <f aca="false">S42-S44-S43</f>
        <v>873977.142857143</v>
      </c>
      <c r="T45" s="11" t="n">
        <f aca="false">T42-T44-T43</f>
        <v>937440</v>
      </c>
      <c r="U45" s="11" t="n">
        <f aca="false">U42-U44-U43</f>
        <v>1000902.85714286</v>
      </c>
      <c r="V45" s="11" t="n">
        <f aca="false">V42-V44-V43</f>
        <v>1064365.71428571</v>
      </c>
      <c r="W45" s="11" t="n">
        <f aca="false">W42-W44-W43</f>
        <v>1127828.57142857</v>
      </c>
      <c r="X45" s="11" t="n">
        <f aca="false">X42-X44-X43</f>
        <v>1191291.42857143</v>
      </c>
      <c r="Y45" s="11" t="n">
        <f aca="false">Y42-Y44-Y43</f>
        <v>1254754.28571429</v>
      </c>
      <c r="Z45" s="11" t="n">
        <f aca="false">Z42-Z44-Z43</f>
        <v>1318217.14285714</v>
      </c>
      <c r="AA45" s="11" t="n">
        <f aca="false">AA42-AA44-AA43</f>
        <v>1381680</v>
      </c>
      <c r="AB45" s="11" t="n">
        <f aca="false">AB42-AB44-AB43</f>
        <v>1445142.85714286</v>
      </c>
      <c r="AC45" s="11" t="n">
        <f aca="false">AC42-AC44-AC43</f>
        <v>1508605.71428571</v>
      </c>
      <c r="AD45" s="11" t="n">
        <f aca="false">AD42-AD44-AD43</f>
        <v>1572068.57142857</v>
      </c>
      <c r="AE45" s="11" t="n">
        <f aca="false">AE42-AE44-AE43</f>
        <v>1635531.42857143</v>
      </c>
      <c r="AF45" s="11" t="n">
        <f aca="false">AF42-AF44-AF43</f>
        <v>1698994.28571429</v>
      </c>
      <c r="AG45" s="11" t="n">
        <f aca="false">AG42-AG44-AG43</f>
        <v>1762457.14285714</v>
      </c>
      <c r="AH45" s="11" t="n">
        <f aca="false">AH42-AH44-AH43</f>
        <v>1825920</v>
      </c>
      <c r="AI45" s="11" t="n">
        <f aca="false">AI42-AI44-AI43</f>
        <v>1889382.85714286</v>
      </c>
      <c r="AJ45" s="11" t="n">
        <f aca="false">AJ42-AJ44-AJ43</f>
        <v>1952845.71428571</v>
      </c>
      <c r="AK45" s="11" t="n">
        <f aca="false">AK42-AK44-AK43</f>
        <v>2016308.57142857</v>
      </c>
      <c r="AL45" s="11" t="n">
        <f aca="false">AL42-AL44-AL43</f>
        <v>2079771.42857143</v>
      </c>
      <c r="AM45" s="11" t="n">
        <f aca="false">SUM(C45:N45)</f>
        <v>2542834.28571429</v>
      </c>
      <c r="AN45" s="11" t="n">
        <f aca="false">SUM(O45:Z45)</f>
        <v>11630057.1428571</v>
      </c>
      <c r="AO45" s="11" t="n">
        <f aca="false">SUM(AA45:AL45)</f>
        <v>20768708.5714286</v>
      </c>
      <c r="AP45" s="11" t="n">
        <f aca="false">SUM(C45:AL45)</f>
        <v>34941600</v>
      </c>
    </row>
    <row r="46" customFormat="false" ht="15" hidden="false" customHeight="false" outlineLevel="0" collapsed="false">
      <c r="A46" s="0" t="s">
        <v>283</v>
      </c>
      <c r="B46" s="0" t="s">
        <v>284</v>
      </c>
      <c r="C46" s="10" t="n">
        <f aca="false">IF(C$36=1,Допущения!$E$86,0)</f>
        <v>70000</v>
      </c>
      <c r="D46" s="10" t="n">
        <f aca="false">IF(D$36=1,Допущения!$E$86,0)</f>
        <v>0</v>
      </c>
      <c r="E46" s="10" t="n">
        <f aca="false">IF(E$36=1,Допущения!$E$86,0)</f>
        <v>0</v>
      </c>
      <c r="F46" s="10" t="n">
        <f aca="false">IF(F$36=1,Допущения!$E$86,0)</f>
        <v>0</v>
      </c>
      <c r="G46" s="10" t="n">
        <f aca="false">IF(G$36=1,Допущения!$E$86,0)</f>
        <v>0</v>
      </c>
      <c r="H46" s="10" t="n">
        <f aca="false">IF(H$36=1,Допущения!$E$86,0)</f>
        <v>0</v>
      </c>
      <c r="I46" s="10" t="n">
        <f aca="false">IF(I$36=1,Допущения!$E$86,0)</f>
        <v>0</v>
      </c>
      <c r="J46" s="10" t="n">
        <f aca="false">IF(J$36=1,Допущения!$E$86,0)</f>
        <v>0</v>
      </c>
      <c r="K46" s="10" t="n">
        <f aca="false">IF(K$36=1,Допущения!$E$86,0)</f>
        <v>0</v>
      </c>
      <c r="L46" s="10" t="n">
        <f aca="false">IF(L$36=1,Допущения!$E$86,0)</f>
        <v>0</v>
      </c>
      <c r="M46" s="10" t="n">
        <f aca="false">IF(M$36=1,Допущения!$E$86,0)</f>
        <v>0</v>
      </c>
      <c r="N46" s="10" t="n">
        <f aca="false">IF(N$36=1,Допущения!$E$86,0)</f>
        <v>0</v>
      </c>
      <c r="O46" s="10" t="n">
        <f aca="false">IF(O$36=1,Допущения!$E$86,0)</f>
        <v>0</v>
      </c>
      <c r="P46" s="10" t="n">
        <f aca="false">IF(P$36=1,Допущения!$E$86,0)</f>
        <v>0</v>
      </c>
      <c r="Q46" s="10" t="n">
        <f aca="false">IF(Q$36=1,Допущения!$E$86,0)</f>
        <v>0</v>
      </c>
      <c r="R46" s="10" t="n">
        <f aca="false">IF(R$36=1,Допущения!$E$86,0)</f>
        <v>0</v>
      </c>
      <c r="S46" s="10" t="n">
        <f aca="false">IF(S$36=1,Допущения!$E$86,0)</f>
        <v>0</v>
      </c>
      <c r="T46" s="10" t="n">
        <f aca="false">IF(T$36=1,Допущения!$E$86,0)</f>
        <v>0</v>
      </c>
      <c r="U46" s="10" t="n">
        <f aca="false">IF(U$36=1,Допущения!$E$86,0)</f>
        <v>0</v>
      </c>
      <c r="V46" s="10" t="n">
        <f aca="false">IF(V$36=1,Допущения!$E$86,0)</f>
        <v>0</v>
      </c>
      <c r="W46" s="10" t="n">
        <f aca="false">IF(W$36=1,Допущения!$E$86,0)</f>
        <v>0</v>
      </c>
      <c r="X46" s="10" t="n">
        <f aca="false">IF(X$36=1,Допущения!$E$86,0)</f>
        <v>0</v>
      </c>
      <c r="Y46" s="10" t="n">
        <f aca="false">IF(Y$36=1,Допущения!$E$86,0)</f>
        <v>0</v>
      </c>
      <c r="Z46" s="10" t="n">
        <f aca="false">IF(Z$36=1,Допущения!$E$86,0)</f>
        <v>0</v>
      </c>
      <c r="AA46" s="10" t="n">
        <f aca="false">IF(AA$36=1,Допущения!$E$86,0)</f>
        <v>0</v>
      </c>
      <c r="AB46" s="10" t="n">
        <f aca="false">IF(AB$36=1,Допущения!$E$86,0)</f>
        <v>0</v>
      </c>
      <c r="AC46" s="10" t="n">
        <f aca="false">IF(AC$36=1,Допущения!$E$86,0)</f>
        <v>0</v>
      </c>
      <c r="AD46" s="10" t="n">
        <f aca="false">IF(AD$36=1,Допущения!$E$86,0)</f>
        <v>0</v>
      </c>
      <c r="AE46" s="10" t="n">
        <f aca="false">IF(AE$36=1,Допущения!$E$86,0)</f>
        <v>0</v>
      </c>
      <c r="AF46" s="10" t="n">
        <f aca="false">IF(AF$36=1,Допущения!$E$86,0)</f>
        <v>0</v>
      </c>
      <c r="AG46" s="10" t="n">
        <f aca="false">IF(AG$36=1,Допущения!$E$86,0)</f>
        <v>0</v>
      </c>
      <c r="AH46" s="10" t="n">
        <f aca="false">IF(AH$36=1,Допущения!$E$86,0)</f>
        <v>0</v>
      </c>
      <c r="AI46" s="10" t="n">
        <f aca="false">IF(AI$36=1,Допущения!$E$86,0)</f>
        <v>0</v>
      </c>
      <c r="AJ46" s="10" t="n">
        <f aca="false">IF(AJ$36=1,Допущения!$E$86,0)</f>
        <v>0</v>
      </c>
      <c r="AK46" s="10" t="n">
        <f aca="false">IF(AK$36=1,Допущения!$E$86,0)</f>
        <v>0</v>
      </c>
      <c r="AL46" s="10" t="n">
        <f aca="false">IF(AL$36=1,Допущения!$E$86,0)</f>
        <v>0</v>
      </c>
      <c r="AM46" s="10" t="n">
        <f aca="false">SUM(C46:N46)</f>
        <v>70000</v>
      </c>
      <c r="AN46" s="10" t="n">
        <f aca="false">SUM(O46:Z46)</f>
        <v>0</v>
      </c>
      <c r="AO46" s="10" t="n">
        <f aca="false">SUM(AA46:AL46)</f>
        <v>0</v>
      </c>
      <c r="AP46" s="10" t="n">
        <f aca="false">SUM(C46:AL46)</f>
        <v>70000</v>
      </c>
    </row>
    <row r="47" customFormat="false" ht="15" hidden="false" customHeight="false" outlineLevel="0" collapsed="false">
      <c r="A47" s="1" t="s">
        <v>285</v>
      </c>
      <c r="B47" s="1" t="s">
        <v>286</v>
      </c>
      <c r="C47" s="11" t="n">
        <f aca="false">C45-C46</f>
        <v>-160000</v>
      </c>
      <c r="D47" s="11" t="n">
        <f aca="false">D45-D46</f>
        <v>-77965.7142857143</v>
      </c>
      <c r="E47" s="11" t="n">
        <f aca="false">E45-E46</f>
        <v>-14502.8571428571</v>
      </c>
      <c r="F47" s="11" t="n">
        <f aca="false">F45-F46</f>
        <v>48960</v>
      </c>
      <c r="G47" s="11" t="n">
        <f aca="false">G45-G46</f>
        <v>112422.857142857</v>
      </c>
      <c r="H47" s="11" t="n">
        <f aca="false">H45-H46</f>
        <v>175885.714285714</v>
      </c>
      <c r="I47" s="11" t="n">
        <f aca="false">I45-I46</f>
        <v>239348.571428571</v>
      </c>
      <c r="J47" s="11" t="n">
        <f aca="false">J45-J46</f>
        <v>302811.428571429</v>
      </c>
      <c r="K47" s="11" t="n">
        <f aca="false">K45-K46</f>
        <v>366274.285714286</v>
      </c>
      <c r="L47" s="11" t="n">
        <f aca="false">L45-L46</f>
        <v>429737.142857143</v>
      </c>
      <c r="M47" s="11" t="n">
        <f aca="false">M45-M46</f>
        <v>493200</v>
      </c>
      <c r="N47" s="11" t="n">
        <f aca="false">N45-N46</f>
        <v>556662.857142857</v>
      </c>
      <c r="O47" s="11" t="n">
        <f aca="false">O45-O46</f>
        <v>620125.714285714</v>
      </c>
      <c r="P47" s="11" t="n">
        <f aca="false">P45-P46</f>
        <v>683588.571428572</v>
      </c>
      <c r="Q47" s="11" t="n">
        <f aca="false">Q45-Q46</f>
        <v>747051.428571429</v>
      </c>
      <c r="R47" s="11" t="n">
        <f aca="false">R45-R46</f>
        <v>810514.285714286</v>
      </c>
      <c r="S47" s="11" t="n">
        <f aca="false">S45-S46</f>
        <v>873977.142857143</v>
      </c>
      <c r="T47" s="11" t="n">
        <f aca="false">T45-T46</f>
        <v>937440</v>
      </c>
      <c r="U47" s="11" t="n">
        <f aca="false">U45-U46</f>
        <v>1000902.85714286</v>
      </c>
      <c r="V47" s="11" t="n">
        <f aca="false">V45-V46</f>
        <v>1064365.71428571</v>
      </c>
      <c r="W47" s="11" t="n">
        <f aca="false">W45-W46</f>
        <v>1127828.57142857</v>
      </c>
      <c r="X47" s="11" t="n">
        <f aca="false">X45-X46</f>
        <v>1191291.42857143</v>
      </c>
      <c r="Y47" s="11" t="n">
        <f aca="false">Y45-Y46</f>
        <v>1254754.28571429</v>
      </c>
      <c r="Z47" s="11" t="n">
        <f aca="false">Z45-Z46</f>
        <v>1318217.14285714</v>
      </c>
      <c r="AA47" s="11" t="n">
        <f aca="false">AA45-AA46</f>
        <v>1381680</v>
      </c>
      <c r="AB47" s="11" t="n">
        <f aca="false">AB45-AB46</f>
        <v>1445142.85714286</v>
      </c>
      <c r="AC47" s="11" t="n">
        <f aca="false">AC45-AC46</f>
        <v>1508605.71428571</v>
      </c>
      <c r="AD47" s="11" t="n">
        <f aca="false">AD45-AD46</f>
        <v>1572068.57142857</v>
      </c>
      <c r="AE47" s="11" t="n">
        <f aca="false">AE45-AE46</f>
        <v>1635531.42857143</v>
      </c>
      <c r="AF47" s="11" t="n">
        <f aca="false">AF45-AF46</f>
        <v>1698994.28571429</v>
      </c>
      <c r="AG47" s="11" t="n">
        <f aca="false">AG45-AG46</f>
        <v>1762457.14285714</v>
      </c>
      <c r="AH47" s="11" t="n">
        <f aca="false">AH45-AH46</f>
        <v>1825920</v>
      </c>
      <c r="AI47" s="11" t="n">
        <f aca="false">AI45-AI46</f>
        <v>1889382.85714286</v>
      </c>
      <c r="AJ47" s="11" t="n">
        <f aca="false">AJ45-AJ46</f>
        <v>1952845.71428571</v>
      </c>
      <c r="AK47" s="11" t="n">
        <f aca="false">AK45-AK46</f>
        <v>2016308.57142857</v>
      </c>
      <c r="AL47" s="11" t="n">
        <f aca="false">AL45-AL46</f>
        <v>2079771.42857143</v>
      </c>
      <c r="AM47" s="11" t="n">
        <f aca="false">SUM(C47:N47)</f>
        <v>2472834.28571429</v>
      </c>
      <c r="AN47" s="11" t="n">
        <f aca="false">SUM(O47:Z47)</f>
        <v>11630057.1428571</v>
      </c>
      <c r="AO47" s="11" t="n">
        <f aca="false">SUM(AA47:AL47)</f>
        <v>20768708.5714286</v>
      </c>
      <c r="AP47" s="11" t="n">
        <f aca="false">SUM(C47:AL47)</f>
        <v>34871600</v>
      </c>
    </row>
    <row r="48" customFormat="false" ht="15" hidden="false" customHeight="false" outlineLevel="0" collapsed="false">
      <c r="A48" s="1" t="s">
        <v>287</v>
      </c>
      <c r="B48" s="1" t="s">
        <v>288</v>
      </c>
      <c r="C48" s="11" t="n">
        <f aca="false">0+C47</f>
        <v>-160000</v>
      </c>
      <c r="D48" s="11" t="n">
        <f aca="false">C48+D47</f>
        <v>-237965.714285714</v>
      </c>
      <c r="E48" s="11" t="n">
        <f aca="false">D48+E47</f>
        <v>-252468.571428571</v>
      </c>
      <c r="F48" s="11" t="n">
        <f aca="false">E48+F47</f>
        <v>-203508.571428571</v>
      </c>
      <c r="G48" s="11" t="n">
        <f aca="false">F48+G47</f>
        <v>-91085.7142857141</v>
      </c>
      <c r="H48" s="11" t="n">
        <f aca="false">G48+H47</f>
        <v>84800.0000000001</v>
      </c>
      <c r="I48" s="11" t="n">
        <f aca="false">H48+I47</f>
        <v>324148.571428572</v>
      </c>
      <c r="J48" s="11" t="n">
        <f aca="false">I48+J47</f>
        <v>626960</v>
      </c>
      <c r="K48" s="11" t="n">
        <f aca="false">J48+K47</f>
        <v>993234.285714286</v>
      </c>
      <c r="L48" s="11" t="n">
        <f aca="false">K48+L47</f>
        <v>1422971.42857143</v>
      </c>
      <c r="M48" s="11" t="n">
        <f aca="false">L48+M47</f>
        <v>1916171.42857143</v>
      </c>
      <c r="N48" s="11" t="n">
        <f aca="false">M48+N47</f>
        <v>2472834.28571429</v>
      </c>
      <c r="O48" s="11" t="n">
        <f aca="false">N48+O47</f>
        <v>3092960</v>
      </c>
      <c r="P48" s="11" t="n">
        <f aca="false">O48+P47</f>
        <v>3776548.57142857</v>
      </c>
      <c r="Q48" s="11" t="n">
        <f aca="false">P48+Q47</f>
        <v>4523600</v>
      </c>
      <c r="R48" s="11" t="n">
        <f aca="false">Q48+R47</f>
        <v>5334114.28571429</v>
      </c>
      <c r="S48" s="11" t="n">
        <f aca="false">R48+S47</f>
        <v>6208091.42857143</v>
      </c>
      <c r="T48" s="11" t="n">
        <f aca="false">S48+T47</f>
        <v>7145531.42857143</v>
      </c>
      <c r="U48" s="11" t="n">
        <f aca="false">T48+U47</f>
        <v>8146434.28571429</v>
      </c>
      <c r="V48" s="11" t="n">
        <f aca="false">U48+V47</f>
        <v>9210800</v>
      </c>
      <c r="W48" s="11" t="n">
        <f aca="false">V48+W47</f>
        <v>10338628.5714286</v>
      </c>
      <c r="X48" s="11" t="n">
        <f aca="false">W48+X47</f>
        <v>11529920</v>
      </c>
      <c r="Y48" s="11" t="n">
        <f aca="false">X48+Y47</f>
        <v>12784674.2857143</v>
      </c>
      <c r="Z48" s="11" t="n">
        <f aca="false">Y48+Z47</f>
        <v>14102891.4285714</v>
      </c>
      <c r="AA48" s="11" t="n">
        <f aca="false">Z48+AA47</f>
        <v>15484571.4285714</v>
      </c>
      <c r="AB48" s="11" t="n">
        <f aca="false">AA48+AB47</f>
        <v>16929714.2857143</v>
      </c>
      <c r="AC48" s="11" t="n">
        <f aca="false">AB48+AC47</f>
        <v>18438320</v>
      </c>
      <c r="AD48" s="11" t="n">
        <f aca="false">AC48+AD47</f>
        <v>20010388.5714286</v>
      </c>
      <c r="AE48" s="11" t="n">
        <f aca="false">AD48+AE47</f>
        <v>21645920</v>
      </c>
      <c r="AF48" s="11" t="n">
        <f aca="false">AE48+AF47</f>
        <v>23344914.2857143</v>
      </c>
      <c r="AG48" s="11" t="n">
        <f aca="false">AF48+AG47</f>
        <v>25107371.4285714</v>
      </c>
      <c r="AH48" s="11" t="n">
        <f aca="false">AG48+AH47</f>
        <v>26933291.4285714</v>
      </c>
      <c r="AI48" s="11" t="n">
        <f aca="false">AH48+AI47</f>
        <v>28822674.2857143</v>
      </c>
      <c r="AJ48" s="11" t="n">
        <f aca="false">AI48+AJ47</f>
        <v>30775520</v>
      </c>
      <c r="AK48" s="11" t="n">
        <f aca="false">AJ48+AK47</f>
        <v>32791828.5714286</v>
      </c>
      <c r="AL48" s="11" t="n">
        <f aca="false">AK48+AL47</f>
        <v>34871600</v>
      </c>
      <c r="AM48" s="11" t="n">
        <f aca="false">N48</f>
        <v>2472834.28571429</v>
      </c>
      <c r="AN48" s="11" t="n">
        <f aca="false">Z48</f>
        <v>14102891.4285714</v>
      </c>
      <c r="AO48" s="11" t="n">
        <f aca="false">AL48</f>
        <v>34871600</v>
      </c>
      <c r="AP48" s="1"/>
    </row>
    <row r="49" customFormat="false" ht="15" hidden="false" customHeight="false" outlineLevel="0" collapsed="false">
      <c r="A49" s="0" t="s">
        <v>289</v>
      </c>
      <c r="B49" s="0" t="s">
        <v>290</v>
      </c>
      <c r="C49" s="0" t="n">
        <f aca="false">IF(AND(C45&gt;0,COUNTIF(C45:AL45,"&lt;=0")=0),C$36,99)</f>
        <v>99</v>
      </c>
      <c r="D49" s="0" t="n">
        <f aca="false">IF(AND(D45&gt;0,COUNTIF(D45:AL45,"&lt;=0")=0),D$36,99)</f>
        <v>99</v>
      </c>
      <c r="E49" s="0" t="n">
        <f aca="false">IF(AND(E45&gt;0,COUNTIF(E45:AL45,"&lt;=0")=0),E$36,99)</f>
        <v>99</v>
      </c>
      <c r="F49" s="0" t="n">
        <f aca="false">IF(AND(F45&gt;0,COUNTIF(F45:AL45,"&lt;=0")=0),F$36,99)</f>
        <v>4</v>
      </c>
      <c r="G49" s="0" t="n">
        <f aca="false">IF(AND(G45&gt;0,COUNTIF(G45:AL45,"&lt;=0")=0),G$36,99)</f>
        <v>5</v>
      </c>
      <c r="H49" s="0" t="n">
        <f aca="false">IF(AND(H45&gt;0,COUNTIF(H45:AL45,"&lt;=0")=0),H$36,99)</f>
        <v>6</v>
      </c>
      <c r="I49" s="0" t="n">
        <f aca="false">IF(AND(I45&gt;0,COUNTIF(I45:AL45,"&lt;=0")=0),I$36,99)</f>
        <v>7</v>
      </c>
      <c r="J49" s="0" t="n">
        <f aca="false">IF(AND(J45&gt;0,COUNTIF(J45:AL45,"&lt;=0")=0),J$36,99)</f>
        <v>8</v>
      </c>
      <c r="K49" s="0" t="n">
        <f aca="false">IF(AND(K45&gt;0,COUNTIF(K45:AL45,"&lt;=0")=0),K$36,99)</f>
        <v>9</v>
      </c>
      <c r="L49" s="0" t="n">
        <f aca="false">IF(AND(L45&gt;0,COUNTIF(L45:AL45,"&lt;=0")=0),L$36,99)</f>
        <v>10</v>
      </c>
      <c r="M49" s="0" t="n">
        <f aca="false">IF(AND(M45&gt;0,COUNTIF(M45:AL45,"&lt;=0")=0),M$36,99)</f>
        <v>11</v>
      </c>
      <c r="N49" s="0" t="n">
        <f aca="false">IF(AND(N45&gt;0,COUNTIF(N45:AL45,"&lt;=0")=0),N$36,99)</f>
        <v>12</v>
      </c>
      <c r="O49" s="0" t="n">
        <f aca="false">IF(AND(O45&gt;0,COUNTIF(O45:AL45,"&lt;=0")=0),O$36,99)</f>
        <v>13</v>
      </c>
      <c r="P49" s="0" t="n">
        <f aca="false">IF(AND(P45&gt;0,COUNTIF(P45:AL45,"&lt;=0")=0),P$36,99)</f>
        <v>14</v>
      </c>
      <c r="Q49" s="0" t="n">
        <f aca="false">IF(AND(Q45&gt;0,COUNTIF(Q45:AL45,"&lt;=0")=0),Q$36,99)</f>
        <v>15</v>
      </c>
      <c r="R49" s="0" t="n">
        <f aca="false">IF(AND(R45&gt;0,COUNTIF(R45:AL45,"&lt;=0")=0),R$36,99)</f>
        <v>16</v>
      </c>
      <c r="S49" s="0" t="n">
        <f aca="false">IF(AND(S45&gt;0,COUNTIF(S45:AL45,"&lt;=0")=0),S$36,99)</f>
        <v>17</v>
      </c>
      <c r="T49" s="0" t="n">
        <f aca="false">IF(AND(T45&gt;0,COUNTIF(T45:AL45,"&lt;=0")=0),T$36,99)</f>
        <v>18</v>
      </c>
      <c r="U49" s="0" t="n">
        <f aca="false">IF(AND(U45&gt;0,COUNTIF(U45:AL45,"&lt;=0")=0),U$36,99)</f>
        <v>19</v>
      </c>
      <c r="V49" s="0" t="n">
        <f aca="false">IF(AND(V45&gt;0,COUNTIF(V45:AL45,"&lt;=0")=0),V$36,99)</f>
        <v>20</v>
      </c>
      <c r="W49" s="0" t="n">
        <f aca="false">IF(AND(W45&gt;0,COUNTIF(W45:AL45,"&lt;=0")=0),W$36,99)</f>
        <v>21</v>
      </c>
      <c r="X49" s="0" t="n">
        <f aca="false">IF(AND(X45&gt;0,COUNTIF(X45:AL45,"&lt;=0")=0),X$36,99)</f>
        <v>22</v>
      </c>
      <c r="Y49" s="0" t="n">
        <f aca="false">IF(AND(Y45&gt;0,COUNTIF(Y45:AL45,"&lt;=0")=0),Y$36,99)</f>
        <v>23</v>
      </c>
      <c r="Z49" s="0" t="n">
        <f aca="false">IF(AND(Z45&gt;0,COUNTIF(Z45:AL45,"&lt;=0")=0),Z$36,99)</f>
        <v>24</v>
      </c>
      <c r="AA49" s="0" t="n">
        <f aca="false">IF(AND(AA45&gt;0,COUNTIF(AA45:AL45,"&lt;=0")=0),AA$36,99)</f>
        <v>25</v>
      </c>
      <c r="AB49" s="0" t="n">
        <f aca="false">IF(AND(AB45&gt;0,COUNTIF(AB45:AL45,"&lt;=0")=0),AB$36,99)</f>
        <v>26</v>
      </c>
      <c r="AC49" s="0" t="n">
        <f aca="false">IF(AND(AC45&gt;0,COUNTIF(AC45:AL45,"&lt;=0")=0),AC$36,99)</f>
        <v>27</v>
      </c>
      <c r="AD49" s="0" t="n">
        <f aca="false">IF(AND(AD45&gt;0,COUNTIF(AD45:AL45,"&lt;=0")=0),AD$36,99)</f>
        <v>28</v>
      </c>
      <c r="AE49" s="0" t="n">
        <f aca="false">IF(AND(AE45&gt;0,COUNTIF(AE45:AL45,"&lt;=0")=0),AE$36,99)</f>
        <v>29</v>
      </c>
      <c r="AF49" s="0" t="n">
        <f aca="false">IF(AND(AF45&gt;0,COUNTIF(AF45:AL45,"&lt;=0")=0),AF$36,99)</f>
        <v>30</v>
      </c>
      <c r="AG49" s="0" t="n">
        <f aca="false">IF(AND(AG45&gt;0,COUNTIF(AG45:AL45,"&lt;=0")=0),AG$36,99)</f>
        <v>31</v>
      </c>
      <c r="AH49" s="0" t="n">
        <f aca="false">IF(AND(AH45&gt;0,COUNTIF(AH45:AL45,"&lt;=0")=0),AH$36,99)</f>
        <v>32</v>
      </c>
      <c r="AI49" s="0" t="n">
        <f aca="false">IF(AND(AI45&gt;0,COUNTIF(AI45:AL45,"&lt;=0")=0),AI$36,99)</f>
        <v>33</v>
      </c>
      <c r="AJ49" s="0" t="n">
        <f aca="false">IF(AND(AJ45&gt;0,COUNTIF(AJ45:AL45,"&lt;=0")=0),AJ$36,99)</f>
        <v>34</v>
      </c>
      <c r="AK49" s="0" t="n">
        <f aca="false">IF(AND(AK45&gt;0,COUNTIF(AK45:AL45,"&lt;=0")=0),AK$36,99)</f>
        <v>35</v>
      </c>
      <c r="AL49" s="0" t="n">
        <f aca="false">IF(AND(AL45&gt;0,COUNTIF(AL45:AL45,"&lt;=0")=0),AL$36,99)</f>
        <v>36</v>
      </c>
    </row>
    <row r="50" customFormat="false" ht="15" hidden="false" customHeight="false" outlineLevel="0" collapsed="false">
      <c r="A50" s="0" t="s">
        <v>291</v>
      </c>
      <c r="B50" s="0" t="s">
        <v>292</v>
      </c>
      <c r="C50" s="0" t="n">
        <f aca="false">IF(AND(C48&gt;=0,COUNTIF(C48:AL48,"&lt;0")=0),C$36,99)</f>
        <v>99</v>
      </c>
      <c r="D50" s="0" t="n">
        <f aca="false">IF(AND(D48&gt;=0,COUNTIF(D48:AL48,"&lt;0")=0),D$36,99)</f>
        <v>99</v>
      </c>
      <c r="E50" s="0" t="n">
        <f aca="false">IF(AND(E48&gt;=0,COUNTIF(E48:AL48,"&lt;0")=0),E$36,99)</f>
        <v>99</v>
      </c>
      <c r="F50" s="0" t="n">
        <f aca="false">IF(AND(F48&gt;=0,COUNTIF(F48:AL48,"&lt;0")=0),F$36,99)</f>
        <v>99</v>
      </c>
      <c r="G50" s="0" t="n">
        <f aca="false">IF(AND(G48&gt;=0,COUNTIF(G48:AL48,"&lt;0")=0),G$36,99)</f>
        <v>99</v>
      </c>
      <c r="H50" s="0" t="n">
        <f aca="false">IF(AND(H48&gt;=0,COUNTIF(H48:AL48,"&lt;0")=0),H$36,99)</f>
        <v>6</v>
      </c>
      <c r="I50" s="0" t="n">
        <f aca="false">IF(AND(I48&gt;=0,COUNTIF(I48:AL48,"&lt;0")=0),I$36,99)</f>
        <v>7</v>
      </c>
      <c r="J50" s="0" t="n">
        <f aca="false">IF(AND(J48&gt;=0,COUNTIF(J48:AL48,"&lt;0")=0),J$36,99)</f>
        <v>8</v>
      </c>
      <c r="K50" s="0" t="n">
        <f aca="false">IF(AND(K48&gt;=0,COUNTIF(K48:AL48,"&lt;0")=0),K$36,99)</f>
        <v>9</v>
      </c>
      <c r="L50" s="0" t="n">
        <f aca="false">IF(AND(L48&gt;=0,COUNTIF(L48:AL48,"&lt;0")=0),L$36,99)</f>
        <v>10</v>
      </c>
      <c r="M50" s="0" t="n">
        <f aca="false">IF(AND(M48&gt;=0,COUNTIF(M48:AL48,"&lt;0")=0),M$36,99)</f>
        <v>11</v>
      </c>
      <c r="N50" s="0" t="n">
        <f aca="false">IF(AND(N48&gt;=0,COUNTIF(N48:AL48,"&lt;0")=0),N$36,99)</f>
        <v>12</v>
      </c>
      <c r="O50" s="0" t="n">
        <f aca="false">IF(AND(O48&gt;=0,COUNTIF(O48:AL48,"&lt;0")=0),O$36,99)</f>
        <v>13</v>
      </c>
      <c r="P50" s="0" t="n">
        <f aca="false">IF(AND(P48&gt;=0,COUNTIF(P48:AL48,"&lt;0")=0),P$36,99)</f>
        <v>14</v>
      </c>
      <c r="Q50" s="0" t="n">
        <f aca="false">IF(AND(Q48&gt;=0,COUNTIF(Q48:AL48,"&lt;0")=0),Q$36,99)</f>
        <v>15</v>
      </c>
      <c r="R50" s="0" t="n">
        <f aca="false">IF(AND(R48&gt;=0,COUNTIF(R48:AL48,"&lt;0")=0),R$36,99)</f>
        <v>16</v>
      </c>
      <c r="S50" s="0" t="n">
        <f aca="false">IF(AND(S48&gt;=0,COUNTIF(S48:AL48,"&lt;0")=0),S$36,99)</f>
        <v>17</v>
      </c>
      <c r="T50" s="0" t="n">
        <f aca="false">IF(AND(T48&gt;=0,COUNTIF(T48:AL48,"&lt;0")=0),T$36,99)</f>
        <v>18</v>
      </c>
      <c r="U50" s="0" t="n">
        <f aca="false">IF(AND(U48&gt;=0,COUNTIF(U48:AL48,"&lt;0")=0),U$36,99)</f>
        <v>19</v>
      </c>
      <c r="V50" s="0" t="n">
        <f aca="false">IF(AND(V48&gt;=0,COUNTIF(V48:AL48,"&lt;0")=0),V$36,99)</f>
        <v>20</v>
      </c>
      <c r="W50" s="0" t="n">
        <f aca="false">IF(AND(W48&gt;=0,COUNTIF(W48:AL48,"&lt;0")=0),W$36,99)</f>
        <v>21</v>
      </c>
      <c r="X50" s="0" t="n">
        <f aca="false">IF(AND(X48&gt;=0,COUNTIF(X48:AL48,"&lt;0")=0),X$36,99)</f>
        <v>22</v>
      </c>
      <c r="Y50" s="0" t="n">
        <f aca="false">IF(AND(Y48&gt;=0,COUNTIF(Y48:AL48,"&lt;0")=0),Y$36,99)</f>
        <v>23</v>
      </c>
      <c r="Z50" s="0" t="n">
        <f aca="false">IF(AND(Z48&gt;=0,COUNTIF(Z48:AL48,"&lt;0")=0),Z$36,99)</f>
        <v>24</v>
      </c>
      <c r="AA50" s="0" t="n">
        <f aca="false">IF(AND(AA48&gt;=0,COUNTIF(AA48:AL48,"&lt;0")=0),AA$36,99)</f>
        <v>25</v>
      </c>
      <c r="AB50" s="0" t="n">
        <f aca="false">IF(AND(AB48&gt;=0,COUNTIF(AB48:AL48,"&lt;0")=0),AB$36,99)</f>
        <v>26</v>
      </c>
      <c r="AC50" s="0" t="n">
        <f aca="false">IF(AND(AC48&gt;=0,COUNTIF(AC48:AL48,"&lt;0")=0),AC$36,99)</f>
        <v>27</v>
      </c>
      <c r="AD50" s="0" t="n">
        <f aca="false">IF(AND(AD48&gt;=0,COUNTIF(AD48:AL48,"&lt;0")=0),AD$36,99)</f>
        <v>28</v>
      </c>
      <c r="AE50" s="0" t="n">
        <f aca="false">IF(AND(AE48&gt;=0,COUNTIF(AE48:AL48,"&lt;0")=0),AE$36,99)</f>
        <v>29</v>
      </c>
      <c r="AF50" s="0" t="n">
        <f aca="false">IF(AND(AF48&gt;=0,COUNTIF(AF48:AL48,"&lt;0")=0),AF$36,99)</f>
        <v>30</v>
      </c>
      <c r="AG50" s="0" t="n">
        <f aca="false">IF(AND(AG48&gt;=0,COUNTIF(AG48:AL48,"&lt;0")=0),AG$36,99)</f>
        <v>31</v>
      </c>
      <c r="AH50" s="0" t="n">
        <f aca="false">IF(AND(AH48&gt;=0,COUNTIF(AH48:AL48,"&lt;0")=0),AH$36,99)</f>
        <v>32</v>
      </c>
      <c r="AI50" s="0" t="n">
        <f aca="false">IF(AND(AI48&gt;=0,COUNTIF(AI48:AL48,"&lt;0")=0),AI$36,99)</f>
        <v>33</v>
      </c>
      <c r="AJ50" s="0" t="n">
        <f aca="false">IF(AND(AJ48&gt;=0,COUNTIF(AJ48:AL48,"&lt;0")=0),AJ$36,99)</f>
        <v>34</v>
      </c>
      <c r="AK50" s="0" t="n">
        <f aca="false">IF(AND(AK48&gt;=0,COUNTIF(AK48:AL48,"&lt;0")=0),AK$36,99)</f>
        <v>35</v>
      </c>
      <c r="AL50" s="0" t="n">
        <f aca="false">IF(AND(AL48&gt;=0,COUNTIF(AL48:AL48,"&lt;0")=0),AL$36,99)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42" min="3" style="0" width="11"/>
  </cols>
  <sheetData>
    <row r="1" customFormat="false" ht="16.15" hidden="false" customHeight="false" outlineLevel="0" collapsed="false">
      <c r="A1" s="8" t="s">
        <v>341</v>
      </c>
    </row>
    <row r="2" customFormat="false" ht="15" hidden="false" customHeight="false" outlineLevel="0" collapsed="false">
      <c r="A2" s="0" t="s">
        <v>342</v>
      </c>
    </row>
    <row r="4" customFormat="false" ht="15" hidden="false" customHeight="false" outlineLevel="0" collapsed="false">
      <c r="A4" s="1" t="s">
        <v>251</v>
      </c>
      <c r="B4" s="1" t="s">
        <v>252</v>
      </c>
      <c r="C4" s="1" t="n">
        <v>1</v>
      </c>
      <c r="D4" s="1" t="n">
        <v>2</v>
      </c>
      <c r="E4" s="1" t="n">
        <v>3</v>
      </c>
      <c r="F4" s="1" t="n">
        <v>4</v>
      </c>
      <c r="G4" s="1" t="n">
        <v>5</v>
      </c>
      <c r="H4" s="1" t="n">
        <v>6</v>
      </c>
      <c r="I4" s="1" t="n">
        <v>7</v>
      </c>
      <c r="J4" s="1" t="n">
        <v>8</v>
      </c>
      <c r="K4" s="1" t="n">
        <v>9</v>
      </c>
      <c r="L4" s="1" t="n">
        <v>10</v>
      </c>
      <c r="M4" s="1" t="n">
        <v>11</v>
      </c>
      <c r="N4" s="1" t="n">
        <v>12</v>
      </c>
      <c r="O4" s="1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  <c r="AG4" s="1" t="n">
        <v>31</v>
      </c>
      <c r="AH4" s="1" t="n">
        <v>32</v>
      </c>
      <c r="AI4" s="1" t="n">
        <v>33</v>
      </c>
      <c r="AJ4" s="1" t="n">
        <v>34</v>
      </c>
      <c r="AK4" s="1" t="n">
        <v>35</v>
      </c>
      <c r="AL4" s="1" t="n">
        <v>36</v>
      </c>
      <c r="AM4" s="1" t="s">
        <v>253</v>
      </c>
      <c r="AN4" s="1" t="s">
        <v>254</v>
      </c>
      <c r="AO4" s="1" t="s">
        <v>255</v>
      </c>
      <c r="AP4" s="1" t="s">
        <v>256</v>
      </c>
    </row>
    <row r="5" customFormat="false" ht="15" hidden="false" customHeight="false" outlineLevel="0" collapsed="false">
      <c r="A5" s="0" t="s">
        <v>343</v>
      </c>
      <c r="B5" s="0" t="s">
        <v>344</v>
      </c>
      <c r="C5" s="10" t="n">
        <f aca="false">F_минимум!C9</f>
        <v>0</v>
      </c>
      <c r="D5" s="10" t="n">
        <f aca="false">F_минимум!D9</f>
        <v>1329.4996702464</v>
      </c>
      <c r="E5" s="10" t="n">
        <f aca="false">F_минимум!E9</f>
        <v>3273.61218313553</v>
      </c>
      <c r="F5" s="10" t="n">
        <f aca="false">F_минимум!F9</f>
        <v>5545.5658303475</v>
      </c>
      <c r="G5" s="10" t="n">
        <f aca="false">F_минимум!G9</f>
        <v>8060.57870145032</v>
      </c>
      <c r="H5" s="10" t="n">
        <f aca="false">F_минимум!H9</f>
        <v>10773.3120544284</v>
      </c>
      <c r="I5" s="10" t="n">
        <f aca="false">F_минимум!I9</f>
        <v>13654.7847817376</v>
      </c>
      <c r="J5" s="10" t="n">
        <f aca="false">F_минимум!J9</f>
        <v>16684.5956479491</v>
      </c>
      <c r="K5" s="10" t="n">
        <f aca="false">F_минимум!K9</f>
        <v>19847.4728732352</v>
      </c>
      <c r="L5" s="10" t="n">
        <f aca="false">F_минимум!L9</f>
        <v>23131.4840213674</v>
      </c>
      <c r="M5" s="10" t="n">
        <f aca="false">F_минимум!M9</f>
        <v>26527.005898062</v>
      </c>
      <c r="N5" s="10" t="n">
        <f aca="false">F_минимум!N9</f>
        <v>30026.0860342334</v>
      </c>
      <c r="O5" s="10" t="n">
        <f aca="false">F_минимум!O9</f>
        <v>33622.0239989268</v>
      </c>
      <c r="P5" s="10" t="n">
        <f aca="false">F_минимум!P9</f>
        <v>37309.08446635</v>
      </c>
      <c r="Q5" s="10" t="n">
        <f aca="false">F_минимум!Q9</f>
        <v>41082.2934417828</v>
      </c>
      <c r="R5" s="10" t="n">
        <f aca="false">F_минимум!R9</f>
        <v>44937.2892267333</v>
      </c>
      <c r="S5" s="10" t="n">
        <f aca="false">F_минимум!S9</f>
        <v>48870.2106937965</v>
      </c>
      <c r="T5" s="10" t="n">
        <f aca="false">F_минимум!T9</f>
        <v>52877.6117500049</v>
      </c>
      <c r="U5" s="10" t="n">
        <f aca="false">F_минимум!U9</f>
        <v>56956.3946505673</v>
      </c>
      <c r="V5" s="10" t="n">
        <f aca="false">F_минимум!V9</f>
        <v>61103.7571796536</v>
      </c>
      <c r="W5" s="10" t="n">
        <f aca="false">F_минимум!W9</f>
        <v>65317.1502283332</v>
      </c>
      <c r="X5" s="10" t="n">
        <f aca="false">F_минимум!X9</f>
        <v>69594.243300025</v>
      </c>
      <c r="Y5" s="10" t="n">
        <f aca="false">F_минимум!Y9</f>
        <v>73932.8961513206</v>
      </c>
      <c r="Z5" s="10" t="n">
        <f aca="false">F_минимум!Z9</f>
        <v>78331.1352450241</v>
      </c>
      <c r="AA5" s="10" t="n">
        <f aca="false">F_минимум!AA9</f>
        <v>82787.1340232549</v>
      </c>
      <c r="AB5" s="10" t="n">
        <f aca="false">F_минимум!AB9</f>
        <v>87299.1962461953</v>
      </c>
      <c r="AC5" s="10" t="n">
        <f aca="false">F_минимум!AC9</f>
        <v>91865.7418155208</v>
      </c>
      <c r="AD5" s="10" t="n">
        <f aca="false">F_минимум!AD9</f>
        <v>96485.2946299341</v>
      </c>
      <c r="AE5" s="10" t="n">
        <f aca="false">F_минимум!AE9</f>
        <v>101156.472116495</v>
      </c>
      <c r="AF5" s="10" t="n">
        <f aca="false">F_минимум!AF9</f>
        <v>105877.976154498</v>
      </c>
      <c r="AG5" s="10" t="n">
        <f aca="false">F_минимум!AG9</f>
        <v>110648.585164715</v>
      </c>
      <c r="AH5" s="10" t="n">
        <f aca="false">F_минимум!AH9</f>
        <v>115467.147180254</v>
      </c>
      <c r="AI5" s="10" t="n">
        <f aca="false">F_минимум!AI9</f>
        <v>120332.573749313</v>
      </c>
      <c r="AJ5" s="10" t="n">
        <f aca="false">F_минимум!AJ9</f>
        <v>125243.834546916</v>
      </c>
      <c r="AK5" s="10" t="n">
        <f aca="false">F_минимум!AK9</f>
        <v>130199.95259408</v>
      </c>
      <c r="AL5" s="10" t="n">
        <f aca="false">F_минимум!AL9</f>
        <v>135200</v>
      </c>
      <c r="AM5" s="10" t="n">
        <f aca="false">SUM(C5:N5)</f>
        <v>158853.997696193</v>
      </c>
      <c r="AN5" s="10" t="n">
        <f aca="false">SUM(O5:Z5)</f>
        <v>663934.090332518</v>
      </c>
      <c r="AO5" s="10" t="n">
        <f aca="false">SUM(AA5:AL5)</f>
        <v>1302563.90822118</v>
      </c>
      <c r="AP5" s="10" t="n">
        <f aca="false">SUM(C5:AL5)</f>
        <v>2125351.99624989</v>
      </c>
    </row>
    <row r="6" customFormat="false" ht="15" hidden="false" customHeight="false" outlineLevel="0" collapsed="false">
      <c r="A6" s="0" t="s">
        <v>345</v>
      </c>
      <c r="B6" s="0" t="s">
        <v>346</v>
      </c>
      <c r="C6" s="10" t="n">
        <f aca="false">C_обучение_профи!C8</f>
        <v>0</v>
      </c>
      <c r="D6" s="10" t="n">
        <f aca="false">C_обучение_профи!D8</f>
        <v>0</v>
      </c>
      <c r="E6" s="10" t="n">
        <f aca="false">C_обучение_профи!E8</f>
        <v>0</v>
      </c>
      <c r="F6" s="10" t="n">
        <f aca="false">C_обучение_профи!F8</f>
        <v>0</v>
      </c>
      <c r="G6" s="10" t="n">
        <f aca="false">C_обучение_профи!G8</f>
        <v>0</v>
      </c>
      <c r="H6" s="10" t="n">
        <f aca="false">C_обучение_профи!H8</f>
        <v>0</v>
      </c>
      <c r="I6" s="10" t="n">
        <f aca="false">C_обучение_профи!I8</f>
        <v>0</v>
      </c>
      <c r="J6" s="10" t="n">
        <f aca="false">C_обучение_профи!J8</f>
        <v>0</v>
      </c>
      <c r="K6" s="10" t="n">
        <f aca="false">C_обучение_профи!K8</f>
        <v>0</v>
      </c>
      <c r="L6" s="10" t="n">
        <f aca="false">C_обучение_профи!L8</f>
        <v>1880.8742377238</v>
      </c>
      <c r="M6" s="10" t="n">
        <f aca="false">C_обучение_профи!M8</f>
        <v>4631.25561995607</v>
      </c>
      <c r="N6" s="10" t="n">
        <f aca="false">C_обучение_профи!N8</f>
        <v>7845.44151257209</v>
      </c>
      <c r="O6" s="10" t="n">
        <f aca="false">C_обучение_профи!O8</f>
        <v>11403.4889665623</v>
      </c>
      <c r="P6" s="10" t="n">
        <f aca="false">C_обучение_профи!P8</f>
        <v>15241.2562045827</v>
      </c>
      <c r="Q6" s="10" t="n">
        <f aca="false">C_обучение_профи!Q8</f>
        <v>19317.7429768548</v>
      </c>
      <c r="R6" s="10" t="n">
        <f aca="false">C_обучение_профи!R8</f>
        <v>23604.0871790889</v>
      </c>
      <c r="S6" s="10" t="n">
        <f aca="false">C_обучение_профи!S8</f>
        <v>28078.6834676472</v>
      </c>
      <c r="T6" s="10" t="n">
        <f aca="false">C_обучение_профи!T8</f>
        <v>32724.6507462813</v>
      </c>
      <c r="U6" s="10" t="n">
        <f aca="false">C_обучение_профи!U8</f>
        <v>37528.3748572612</v>
      </c>
      <c r="V6" s="10" t="n">
        <f aca="false">C_обучение_профи!V8</f>
        <v>42478.6052568191</v>
      </c>
      <c r="W6" s="10" t="n">
        <f aca="false">C_обучение_профи!W8</f>
        <v>47565.8626887757</v>
      </c>
      <c r="X6" s="10" t="n">
        <f aca="false">C_обучение_профи!X8</f>
        <v>52782.0332537679</v>
      </c>
      <c r="Y6" s="10" t="n">
        <f aca="false">C_обучение_профи!Y8</f>
        <v>58120.0801252834</v>
      </c>
      <c r="Z6" s="10" t="n">
        <f aca="false">C_обучение_профи!Z8</f>
        <v>63573.8327065861</v>
      </c>
      <c r="AA6" s="10" t="n">
        <f aca="false">C_обучение_профи!AA8</f>
        <v>69137.8285705482</v>
      </c>
      <c r="AB6" s="10" t="n">
        <f aca="false">C_обучение_профи!AB8</f>
        <v>74807.1924489557</v>
      </c>
      <c r="AC6" s="10" t="n">
        <f aca="false">C_обучение_профи!AC8</f>
        <v>80577.5418898956</v>
      </c>
      <c r="AD6" s="10" t="n">
        <f aca="false">C_обучение_профи!AD8</f>
        <v>86444.9125331796</v>
      </c>
      <c r="AE6" s="10" t="n">
        <f aca="false">C_обучение_профи!AE8</f>
        <v>92405.6980948619</v>
      </c>
      <c r="AF6" s="10" t="n">
        <f aca="false">C_обучение_профи!AF8</f>
        <v>98456.6015669936</v>
      </c>
      <c r="AG6" s="10" t="n">
        <f aca="false">C_обучение_профи!AG8</f>
        <v>104594.595097234</v>
      </c>
      <c r="AH6" s="10" t="n">
        <f aca="false">C_обучение_профи!AH8</f>
        <v>110816.886676414</v>
      </c>
      <c r="AI6" s="10" t="n">
        <f aca="false">C_обучение_профи!AI8</f>
        <v>117120.892230435</v>
      </c>
      <c r="AJ6" s="10" t="n">
        <f aca="false">C_обучение_профи!AJ8</f>
        <v>123504.212049208</v>
      </c>
      <c r="AK6" s="10" t="n">
        <f aca="false">C_обучение_профи!AK8</f>
        <v>129964.610730724</v>
      </c>
      <c r="AL6" s="10" t="n">
        <f aca="false">C_обучение_профи!AL8</f>
        <v>136500</v>
      </c>
      <c r="AM6" s="10" t="n">
        <f aca="false">SUM(C6:N6)</f>
        <v>14357.571370252</v>
      </c>
      <c r="AN6" s="10" t="n">
        <f aca="false">SUM(O6:Z6)</f>
        <v>432418.698429511</v>
      </c>
      <c r="AO6" s="10" t="n">
        <f aca="false">SUM(AA6:AL6)</f>
        <v>1224330.97188845</v>
      </c>
      <c r="AP6" s="10" t="n">
        <f aca="false">SUM(C6:AL6)</f>
        <v>1671107.24168821</v>
      </c>
    </row>
    <row r="7" customFormat="false" ht="15" hidden="false" customHeight="false" outlineLevel="0" collapsed="false">
      <c r="A7" s="0" t="s">
        <v>347</v>
      </c>
      <c r="B7" s="0" t="s">
        <v>348</v>
      </c>
      <c r="C7" s="10" t="n">
        <f aca="false">E_B2B!C7</f>
        <v>0</v>
      </c>
      <c r="D7" s="10" t="n">
        <f aca="false">E_B2B!D7</f>
        <v>0</v>
      </c>
      <c r="E7" s="10" t="n">
        <f aca="false">E_B2B!E7</f>
        <v>0</v>
      </c>
      <c r="F7" s="10" t="n">
        <f aca="false">E_B2B!F7</f>
        <v>100000</v>
      </c>
      <c r="G7" s="10" t="n">
        <f aca="false">E_B2B!G7</f>
        <v>100000</v>
      </c>
      <c r="H7" s="10" t="n">
        <f aca="false">E_B2B!H7</f>
        <v>100000</v>
      </c>
      <c r="I7" s="10" t="n">
        <f aca="false">E_B2B!I7</f>
        <v>100000</v>
      </c>
      <c r="J7" s="10" t="n">
        <f aca="false">E_B2B!J7</f>
        <v>100000</v>
      </c>
      <c r="K7" s="10" t="n">
        <f aca="false">E_B2B!K7</f>
        <v>100000</v>
      </c>
      <c r="L7" s="10" t="n">
        <f aca="false">E_B2B!L7</f>
        <v>100000</v>
      </c>
      <c r="M7" s="10" t="n">
        <f aca="false">E_B2B!M7</f>
        <v>100000</v>
      </c>
      <c r="N7" s="10" t="n">
        <f aca="false">E_B2B!N7</f>
        <v>100000</v>
      </c>
      <c r="O7" s="10" t="n">
        <f aca="false">E_B2B!O7</f>
        <v>100000</v>
      </c>
      <c r="P7" s="10" t="n">
        <f aca="false">E_B2B!P7</f>
        <v>100000</v>
      </c>
      <c r="Q7" s="10" t="n">
        <f aca="false">E_B2B!Q7</f>
        <v>100000</v>
      </c>
      <c r="R7" s="10" t="n">
        <f aca="false">E_B2B!R7</f>
        <v>100000</v>
      </c>
      <c r="S7" s="10" t="n">
        <f aca="false">E_B2B!S7</f>
        <v>100000</v>
      </c>
      <c r="T7" s="10" t="n">
        <f aca="false">E_B2B!T7</f>
        <v>100000</v>
      </c>
      <c r="U7" s="10" t="n">
        <f aca="false">E_B2B!U7</f>
        <v>100000</v>
      </c>
      <c r="V7" s="10" t="n">
        <f aca="false">E_B2B!V7</f>
        <v>100000</v>
      </c>
      <c r="W7" s="10" t="n">
        <f aca="false">E_B2B!W7</f>
        <v>100000</v>
      </c>
      <c r="X7" s="10" t="n">
        <f aca="false">E_B2B!X7</f>
        <v>150000</v>
      </c>
      <c r="Y7" s="10" t="n">
        <f aca="false">E_B2B!Y7</f>
        <v>150000</v>
      </c>
      <c r="Z7" s="10" t="n">
        <f aca="false">E_B2B!Z7</f>
        <v>150000</v>
      </c>
      <c r="AA7" s="10" t="n">
        <f aca="false">E_B2B!AA7</f>
        <v>150000</v>
      </c>
      <c r="AB7" s="10" t="n">
        <f aca="false">E_B2B!AB7</f>
        <v>150000</v>
      </c>
      <c r="AC7" s="10" t="n">
        <f aca="false">E_B2B!AC7</f>
        <v>150000</v>
      </c>
      <c r="AD7" s="10" t="n">
        <f aca="false">E_B2B!AD7</f>
        <v>150000</v>
      </c>
      <c r="AE7" s="10" t="n">
        <f aca="false">E_B2B!AE7</f>
        <v>150000</v>
      </c>
      <c r="AF7" s="10" t="n">
        <f aca="false">E_B2B!AF7</f>
        <v>150000</v>
      </c>
      <c r="AG7" s="10" t="n">
        <f aca="false">E_B2B!AG7</f>
        <v>150000</v>
      </c>
      <c r="AH7" s="10" t="n">
        <f aca="false">E_B2B!AH7</f>
        <v>150000</v>
      </c>
      <c r="AI7" s="10" t="n">
        <f aca="false">E_B2B!AI7</f>
        <v>150000</v>
      </c>
      <c r="AJ7" s="10" t="n">
        <f aca="false">E_B2B!AJ7</f>
        <v>150000</v>
      </c>
      <c r="AK7" s="10" t="n">
        <f aca="false">E_B2B!AK7</f>
        <v>150000</v>
      </c>
      <c r="AL7" s="10" t="n">
        <f aca="false">E_B2B!AL7</f>
        <v>150000</v>
      </c>
      <c r="AM7" s="10" t="n">
        <f aca="false">SUM(C7:N7)</f>
        <v>900000</v>
      </c>
      <c r="AN7" s="10" t="n">
        <f aca="false">SUM(O7:Z7)</f>
        <v>1350000</v>
      </c>
      <c r="AO7" s="10" t="n">
        <f aca="false">SUM(AA7:AL7)</f>
        <v>1800000</v>
      </c>
      <c r="AP7" s="10" t="n">
        <f aca="false">SUM(C7:AL7)</f>
        <v>4050000</v>
      </c>
    </row>
    <row r="8" customFormat="false" ht="15" hidden="false" customHeight="false" outlineLevel="0" collapsed="false">
      <c r="A8" s="0" t="s">
        <v>267</v>
      </c>
      <c r="B8" s="0" t="s">
        <v>349</v>
      </c>
      <c r="C8" s="10" t="n">
        <f aca="false">C6+C7+C5*Допущения!$C$5</f>
        <v>0</v>
      </c>
      <c r="D8" s="10" t="n">
        <f aca="false">D6+D7+D5*Допущения!$C$5</f>
        <v>106.359973619712</v>
      </c>
      <c r="E8" s="10" t="n">
        <f aca="false">E6+E7+E5*Допущения!$C$5</f>
        <v>261.888974650842</v>
      </c>
      <c r="F8" s="10" t="n">
        <f aca="false">F6+F7+F5*Допущения!$C$5</f>
        <v>100443.645266428</v>
      </c>
      <c r="G8" s="10" t="n">
        <f aca="false">G6+G7+G5*Допущения!$C$5</f>
        <v>100644.846296116</v>
      </c>
      <c r="H8" s="10" t="n">
        <f aca="false">H6+H7+H5*Допущения!$C$5</f>
        <v>100861.864964354</v>
      </c>
      <c r="I8" s="10" t="n">
        <f aca="false">I6+I7+I5*Допущения!$C$5</f>
        <v>101092.382782539</v>
      </c>
      <c r="J8" s="10" t="n">
        <f aca="false">J6+J7+J5*Допущения!$C$5</f>
        <v>101334.767651836</v>
      </c>
      <c r="K8" s="10" t="n">
        <f aca="false">K6+K7+K5*Допущения!$C$5</f>
        <v>101587.797829859</v>
      </c>
      <c r="L8" s="10" t="n">
        <f aca="false">L6+L7+L5*Допущения!$C$5</f>
        <v>103731.392959433</v>
      </c>
      <c r="M8" s="10" t="n">
        <f aca="false">M6+M7+M5*Допущения!$C$5</f>
        <v>106753.416091801</v>
      </c>
      <c r="N8" s="10" t="n">
        <f aca="false">N6+N7+N5*Допущения!$C$5</f>
        <v>110247.528395311</v>
      </c>
      <c r="O8" s="10" t="n">
        <f aca="false">O6+O7+O5*Допущения!$C$5</f>
        <v>114093.250886476</v>
      </c>
      <c r="P8" s="10" t="n">
        <f aca="false">P6+P7+P5*Допущения!$C$5</f>
        <v>118225.982961891</v>
      </c>
      <c r="Q8" s="10" t="n">
        <f aca="false">Q6+Q7+Q5*Допущения!$C$5</f>
        <v>122604.326452197</v>
      </c>
      <c r="R8" s="10" t="n">
        <f aca="false">R6+R7+R5*Допущения!$C$5</f>
        <v>127199.070317228</v>
      </c>
      <c r="S8" s="10" t="n">
        <f aca="false">S6+S7+S5*Допущения!$C$5</f>
        <v>131988.300323151</v>
      </c>
      <c r="T8" s="10" t="n">
        <f aca="false">T6+T7+T5*Допущения!$C$5</f>
        <v>136954.859686282</v>
      </c>
      <c r="U8" s="10" t="n">
        <f aca="false">U6+U7+U5*Допущения!$C$5</f>
        <v>142084.886429307</v>
      </c>
      <c r="V8" s="10" t="n">
        <f aca="false">V6+V7+V5*Допущения!$C$5</f>
        <v>147366.905831191</v>
      </c>
      <c r="W8" s="10" t="n">
        <f aca="false">W6+W7+W5*Допущения!$C$5</f>
        <v>152791.234707042</v>
      </c>
      <c r="X8" s="10" t="n">
        <f aca="false">X6+X7+X5*Допущения!$C$5</f>
        <v>208349.57271777</v>
      </c>
      <c r="Y8" s="10" t="n">
        <f aca="false">Y6+Y7+Y5*Допущения!$C$5</f>
        <v>214034.711817389</v>
      </c>
      <c r="Z8" s="10" t="n">
        <f aca="false">Z6+Z7+Z5*Допущения!$C$5</f>
        <v>219840.323526188</v>
      </c>
      <c r="AA8" s="10" t="n">
        <f aca="false">AA6+AA7+AA5*Допущения!$C$5</f>
        <v>225760.799292409</v>
      </c>
      <c r="AB8" s="10" t="n">
        <f aca="false">AB6+AB7+AB5*Допущения!$C$5</f>
        <v>231791.128148651</v>
      </c>
      <c r="AC8" s="10" t="n">
        <f aca="false">AC6+AC7+AC5*Допущения!$C$5</f>
        <v>237926.801235137</v>
      </c>
      <c r="AD8" s="10" t="n">
        <f aca="false">AD6+AD7+AD5*Допущения!$C$5</f>
        <v>244163.736103574</v>
      </c>
      <c r="AE8" s="10" t="n">
        <f aca="false">AE6+AE7+AE5*Допущения!$C$5</f>
        <v>250498.215864181</v>
      </c>
      <c r="AF8" s="10" t="n">
        <f aca="false">AF6+AF7+AF5*Допущения!$C$5</f>
        <v>256926.839659353</v>
      </c>
      <c r="AG8" s="10" t="n">
        <f aca="false">AG6+AG7+AG5*Допущения!$C$5</f>
        <v>263446.481910411</v>
      </c>
      <c r="AH8" s="10" t="n">
        <f aca="false">AH6+AH7+AH5*Допущения!$C$5</f>
        <v>270054.258450834</v>
      </c>
      <c r="AI8" s="10" t="n">
        <f aca="false">AI6+AI7+AI5*Допущения!$C$5</f>
        <v>276747.49813038</v>
      </c>
      <c r="AJ8" s="10" t="n">
        <f aca="false">AJ6+AJ7+AJ5*Допущения!$C$5</f>
        <v>283523.718812961</v>
      </c>
      <c r="AK8" s="10" t="n">
        <f aca="false">AK6+AK7+AK5*Допущения!$C$5</f>
        <v>290380.60693825</v>
      </c>
      <c r="AL8" s="10" t="n">
        <f aca="false">AL6+AL7+AL5*Допущения!$C$5</f>
        <v>297316</v>
      </c>
      <c r="AM8" s="10" t="n">
        <f aca="false">SUM(C8:N8)</f>
        <v>927065.891185947</v>
      </c>
      <c r="AN8" s="10" t="n">
        <f aca="false">SUM(O8:Z8)</f>
        <v>1835533.42565611</v>
      </c>
      <c r="AO8" s="10" t="n">
        <f aca="false">SUM(AA8:AL8)</f>
        <v>3128536.08454614</v>
      </c>
      <c r="AP8" s="10" t="n">
        <f aca="false">SUM(C8:AL8)</f>
        <v>5891135.4013882</v>
      </c>
    </row>
    <row r="9" customFormat="false" ht="15" hidden="false" customHeight="false" outlineLevel="0" collapsed="false">
      <c r="A9" s="0" t="s">
        <v>275</v>
      </c>
      <c r="B9" s="0" t="s">
        <v>350</v>
      </c>
      <c r="C9" s="10" t="n">
        <f aca="false">F_минимум!C10+C_обучение_профи!C9+E_B2B!C8</f>
        <v>0</v>
      </c>
      <c r="D9" s="10" t="n">
        <f aca="false">F_минимум!D10+C_обучение_профи!D9+E_B2B!D8</f>
        <v>116.193551062363</v>
      </c>
      <c r="E9" s="10" t="n">
        <f aca="false">F_минимум!E10+C_обучение_профи!E9+E_B2B!E8</f>
        <v>286.102082514271</v>
      </c>
      <c r="F9" s="10" t="n">
        <f aca="false">F_минимум!F10+C_обучение_профи!F9+E_B2B!F8</f>
        <v>24484.662765173</v>
      </c>
      <c r="G9" s="10" t="n">
        <f aca="false">F_минимум!G10+C_обучение_профи!G9+E_B2B!G8</f>
        <v>24704.4659610676</v>
      </c>
      <c r="H9" s="10" t="n">
        <f aca="false">F_минимум!H10+C_обучение_профи!H9+E_B2B!H8</f>
        <v>24941.5492251119</v>
      </c>
      <c r="I9" s="10" t="n">
        <f aca="false">F_минимум!I10+C_обучение_профи!I9+E_B2B!I8</f>
        <v>25193.379711398</v>
      </c>
      <c r="J9" s="10" t="n">
        <f aca="false">F_минимум!J10+C_обучение_профи!J9+E_B2B!J8</f>
        <v>25458.1744243799</v>
      </c>
      <c r="K9" s="10" t="n">
        <f aca="false">F_минимум!K10+C_обучение_профи!K9+E_B2B!K8</f>
        <v>25734.59866472</v>
      </c>
      <c r="L9" s="10" t="n">
        <f aca="false">F_минимум!L10+C_обучение_профи!L9+E_B2B!L8</f>
        <v>27789.631363316</v>
      </c>
      <c r="M9" s="10" t="n">
        <f aca="false">F_минимум!M10+C_обучение_профи!M9+E_B2B!M8</f>
        <v>30671.7464195302</v>
      </c>
      <c r="N9" s="10" t="n">
        <f aca="false">F_минимум!N10+C_обучение_профи!N9+E_B2B!N8</f>
        <v>33998.8883397209</v>
      </c>
      <c r="O9" s="10" t="n">
        <f aca="false">F_минимум!O10+C_обучение_профи!O9+E_B2B!O8</f>
        <v>37657.7251579423</v>
      </c>
      <c r="P9" s="10" t="n">
        <f aca="false">F_минимум!P10+C_обучение_профи!P9+E_B2B!P8</f>
        <v>41587.4623563787</v>
      </c>
      <c r="Q9" s="10" t="n">
        <f aca="false">F_минимум!Q10+C_обучение_профи!Q9+E_B2B!Q8</f>
        <v>45749.1249907591</v>
      </c>
      <c r="R9" s="10" t="n">
        <f aca="false">F_минимум!R10+C_обучение_профи!R9+E_B2B!R8</f>
        <v>50115.2014860883</v>
      </c>
      <c r="S9" s="10" t="n">
        <f aca="false">F_минимум!S10+C_обучение_профи!S9+E_B2B!S8</f>
        <v>54665.0453705196</v>
      </c>
      <c r="T9" s="10" t="n">
        <f aca="false">F_минимум!T10+C_обучение_профи!T9+E_B2B!T8</f>
        <v>59382.4872372889</v>
      </c>
      <c r="U9" s="10" t="n">
        <f aca="false">F_минимум!U10+C_обучение_профи!U9+E_B2B!U8</f>
        <v>64254.4590462331</v>
      </c>
      <c r="V9" s="10" t="n">
        <f aca="false">F_минимум!V10+C_обучение_профи!V9+E_B2B!V8</f>
        <v>69270.1403824957</v>
      </c>
      <c r="W9" s="10" t="n">
        <f aca="false">F_минимум!W10+C_обучение_профи!W9+E_B2B!W8</f>
        <v>74420.3979621975</v>
      </c>
      <c r="X9" s="10" t="n">
        <f aca="false">F_минимум!X10+C_обучение_профи!X9+E_B2B!X8</f>
        <v>126697.40104281</v>
      </c>
      <c r="Y9" s="10" t="n">
        <f aca="false">F_минимум!Y10+C_обучение_профи!Y9+E_B2B!Y8</f>
        <v>132094.347957737</v>
      </c>
      <c r="Z9" s="10" t="n">
        <f aca="false">F_минимум!Z10+C_обучение_профи!Z9+E_B2B!Z8</f>
        <v>137605.265865901</v>
      </c>
      <c r="AA9" s="10" t="n">
        <f aca="false">F_минимум!AA10+C_обучение_профи!AA9+E_B2B!AA8</f>
        <v>143224.860451129</v>
      </c>
      <c r="AB9" s="10" t="n">
        <f aca="false">F_минимум!AB10+C_обучение_профи!AB9+E_B2B!AB8</f>
        <v>148948.400715961</v>
      </c>
      <c r="AC9" s="10" t="n">
        <f aca="false">F_минимум!AC10+C_обучение_профи!AC9+E_B2B!AC8</f>
        <v>154771.629060616</v>
      </c>
      <c r="AD9" s="10" t="n">
        <f aca="false">F_минимум!AD10+C_обучение_профи!AD9+E_B2B!AD8</f>
        <v>160690.689980503</v>
      </c>
      <c r="AE9" s="10" t="n">
        <f aca="false">F_минимум!AE10+C_обучение_профи!AE9+E_B2B!AE8</f>
        <v>166702.072736748</v>
      </c>
      <c r="AF9" s="10" t="n">
        <f aca="false">F_минимум!AF10+C_обучение_профи!AF9+E_B2B!AF8</f>
        <v>172802.564690737</v>
      </c>
      <c r="AG9" s="10" t="n">
        <f aca="false">F_минимум!AG10+C_обучение_профи!AG9+E_B2B!AG8</f>
        <v>178989.212899582</v>
      </c>
      <c r="AH9" s="10" t="n">
        <f aca="false">F_минимум!AH10+C_обучение_профи!AH9+E_B2B!AH8</f>
        <v>185259.292196849</v>
      </c>
      <c r="AI9" s="10" t="n">
        <f aca="false">F_минимум!AI10+C_обучение_профи!AI9+E_B2B!AI8</f>
        <v>191610.278426061</v>
      </c>
      <c r="AJ9" s="10" t="n">
        <f aca="false">F_минимум!AJ10+C_обучение_профи!AJ9+E_B2B!AJ8</f>
        <v>198039.825812989</v>
      </c>
      <c r="AK9" s="10" t="n">
        <f aca="false">F_минимум!AK10+C_обучение_профи!AK9+E_B2B!AK8</f>
        <v>204545.747695251</v>
      </c>
      <c r="AL9" s="10" t="n">
        <f aca="false">F_минимум!AL10+C_обучение_профи!AL9+E_B2B!AL8</f>
        <v>211126</v>
      </c>
      <c r="AM9" s="10" t="n">
        <f aca="false">SUM(C9:N9)</f>
        <v>243379.392507994</v>
      </c>
      <c r="AN9" s="10" t="n">
        <f aca="false">SUM(O9:Z9)</f>
        <v>893499.058856351</v>
      </c>
      <c r="AO9" s="10" t="n">
        <f aca="false">SUM(AA9:AL9)</f>
        <v>2116710.57466642</v>
      </c>
      <c r="AP9" s="10" t="n">
        <f aca="false">SUM(C9:AL9)</f>
        <v>3253589.02603077</v>
      </c>
    </row>
    <row r="10" customFormat="false" ht="15" hidden="false" customHeight="false" outlineLevel="0" collapsed="false">
      <c r="A10" s="0" t="s">
        <v>277</v>
      </c>
      <c r="B10" s="0" t="s">
        <v>351</v>
      </c>
      <c r="C10" s="10" t="n">
        <f aca="false">F_минимум!C11+C_обучение_профи!C10</f>
        <v>0</v>
      </c>
      <c r="D10" s="10" t="n">
        <f aca="false">F_минимум!D11+C_обучение_профи!D10</f>
        <v>9440.23434494486</v>
      </c>
      <c r="E10" s="10" t="n">
        <f aca="false">F_минимум!E11+C_обучение_профи!E10</f>
        <v>13804.3492039465</v>
      </c>
      <c r="F10" s="10" t="n">
        <f aca="false">F_минимум!F11+C_обучение_профи!F10</f>
        <v>16132.2152464756</v>
      </c>
      <c r="G10" s="10" t="n">
        <f aca="false">F_минимум!G11+C_обучение_профи!G10</f>
        <v>17858.0795581265</v>
      </c>
      <c r="H10" s="10" t="n">
        <f aca="false">F_минимум!H11+C_обучение_профи!H10</f>
        <v>19262.0119738089</v>
      </c>
      <c r="I10" s="10" t="n">
        <f aca="false">F_минимум!I11+C_обучение_профи!I10</f>
        <v>20460.1613773433</v>
      </c>
      <c r="J10" s="10" t="n">
        <f aca="false">F_минимум!J11+C_обучение_профи!J10</f>
        <v>21513.4499375963</v>
      </c>
      <c r="K10" s="10" t="n">
        <f aca="false">F_минимум!K11+C_обучение_профи!K10</f>
        <v>22458.2998245168</v>
      </c>
      <c r="L10" s="10" t="n">
        <f aca="false">F_минимум!L11+C_обучение_профи!L10</f>
        <v>25199.2965913252</v>
      </c>
      <c r="M10" s="10" t="n">
        <f aca="false">F_минимум!M11+C_обучение_профи!M10</f>
        <v>28741.47012903</v>
      </c>
      <c r="N10" s="10" t="n">
        <f aca="false">F_минимум!N11+C_обучение_профи!N10</f>
        <v>32690.9809410085</v>
      </c>
      <c r="O10" s="10" t="n">
        <f aca="false">F_минимум!O11+C_обучение_профи!O10</f>
        <v>36936.776289829</v>
      </c>
      <c r="P10" s="10" t="n">
        <f aca="false">F_минимум!P11+C_обучение_профи!P10</f>
        <v>41421.5672158716</v>
      </c>
      <c r="Q10" s="10" t="n">
        <f aca="false">F_минимум!Q11+C_обучение_профи!Q10</f>
        <v>46109.7593704604</v>
      </c>
      <c r="R10" s="10" t="n">
        <f aca="false">F_минимум!R11+C_обучение_профи!R10</f>
        <v>50976.8383148323</v>
      </c>
      <c r="S10" s="10" t="n">
        <f aca="false">F_минимум!S11+C_обучение_профи!S10</f>
        <v>56004.7530562617</v>
      </c>
      <c r="T10" s="10" t="n">
        <f aca="false">F_минимум!T11+C_обучение_профи!T10</f>
        <v>61179.5694885897</v>
      </c>
      <c r="U10" s="10" t="n">
        <f aca="false">F_минимум!U11+C_обучение_профи!U10</f>
        <v>66490.14693226</v>
      </c>
      <c r="V10" s="10" t="n">
        <f aca="false">F_минимум!V11+C_обучение_профи!V10</f>
        <v>71927.3332740002</v>
      </c>
      <c r="W10" s="10" t="n">
        <f aca="false">F_минимум!W11+C_обучение_профи!W10</f>
        <v>77483.4464663826</v>
      </c>
      <c r="X10" s="10" t="n">
        <f aca="false">F_минимум!X11+C_обучение_профи!X10</f>
        <v>83151.924887082</v>
      </c>
      <c r="Y10" s="10" t="n">
        <f aca="false">F_минимум!Y11+C_обучение_профи!Y10</f>
        <v>88927.0826196901</v>
      </c>
      <c r="Z10" s="10" t="n">
        <f aca="false">F_минимум!Z11+C_обучение_профи!Z10</f>
        <v>94803.9327802207</v>
      </c>
      <c r="AA10" s="10" t="n">
        <f aca="false">F_минимум!AA11+C_обучение_профи!AA10</f>
        <v>100778.056581654</v>
      </c>
      <c r="AB10" s="10" t="n">
        <f aca="false">F_минимум!AB11+C_обучение_профи!AB10</f>
        <v>106845.504091136</v>
      </c>
      <c r="AC10" s="10" t="n">
        <f aca="false">F_минимум!AC11+C_обучение_профи!AC10</f>
        <v>113002.717530077</v>
      </c>
      <c r="AD10" s="10" t="n">
        <f aca="false">F_минимум!AD11+C_обучение_профи!AD10</f>
        <v>119246.470978718</v>
      </c>
      <c r="AE10" s="10" t="n">
        <f aca="false">F_минимум!AE11+C_обучение_профи!AE10</f>
        <v>125573.822259789</v>
      </c>
      <c r="AF10" s="10" t="n">
        <f aca="false">F_минимум!AF11+C_обучение_профи!AF10</f>
        <v>131982.07402619</v>
      </c>
      <c r="AG10" s="10" t="n">
        <f aca="false">F_минимум!AG11+C_обучение_профи!AG10</f>
        <v>138468.74191534</v>
      </c>
      <c r="AH10" s="10" t="n">
        <f aca="false">F_минимум!AH11+C_обучение_профи!AH10</f>
        <v>145031.528206868</v>
      </c>
      <c r="AI10" s="10" t="n">
        <f aca="false">F_минимум!AI11+C_обучение_профи!AI10</f>
        <v>151668.29982139</v>
      </c>
      <c r="AJ10" s="10" t="n">
        <f aca="false">F_минимум!AJ11+C_обучение_профи!AJ10</f>
        <v>158377.069783664</v>
      </c>
      <c r="AK10" s="10" t="n">
        <f aca="false">F_минимум!AK11+C_обучение_профи!AK10</f>
        <v>165155.98147982</v>
      </c>
      <c r="AL10" s="10" t="n">
        <f aca="false">F_минимум!AL11+C_обучение_профи!AL10</f>
        <v>172003.295189963</v>
      </c>
      <c r="AM10" s="10" t="n">
        <f aca="false">SUM(C10:N10)</f>
        <v>227560.549128122</v>
      </c>
      <c r="AN10" s="10" t="n">
        <f aca="false">SUM(O10:Z10)</f>
        <v>775413.13069548</v>
      </c>
      <c r="AO10" s="10" t="n">
        <f aca="false">SUM(AA10:AL10)</f>
        <v>1628133.56186461</v>
      </c>
      <c r="AP10" s="10" t="n">
        <f aca="false">SUM(C10:AL10)</f>
        <v>2631107.24168821</v>
      </c>
    </row>
    <row r="11" customFormat="false" ht="15" hidden="false" customHeight="false" outlineLevel="0" collapsed="false">
      <c r="A11" s="0" t="s">
        <v>279</v>
      </c>
      <c r="B11" s="0" t="s">
        <v>280</v>
      </c>
      <c r="C11" s="10" t="n">
        <f aca="false">Допущения!$C$17+IF(C$4&gt;=2,Допущения!$C$65+Допущения!$C$76,0)+Допущения!$C$85</f>
        <v>290000</v>
      </c>
      <c r="D11" s="10" t="n">
        <f aca="false">Допущения!$C$17+IF(D$4&gt;=2,Допущения!$C$65+Допущения!$C$76,0)+Допущения!$C$85</f>
        <v>620000</v>
      </c>
      <c r="E11" s="10" t="n">
        <f aca="false">Допущения!$C$17+IF(E$4&gt;=2,Допущения!$C$65+Допущения!$C$76,0)+Допущения!$C$85</f>
        <v>620000</v>
      </c>
      <c r="F11" s="10" t="n">
        <f aca="false">Допущения!$C$17+IF(F$4&gt;=2,Допущения!$C$65+Допущения!$C$76,0)+Допущения!$C$85</f>
        <v>620000</v>
      </c>
      <c r="G11" s="10" t="n">
        <f aca="false">Допущения!$C$17+IF(G$4&gt;=2,Допущения!$C$65+Допущения!$C$76,0)+Допущения!$C$85</f>
        <v>620000</v>
      </c>
      <c r="H11" s="10" t="n">
        <f aca="false">Допущения!$C$17+IF(H$4&gt;=2,Допущения!$C$65+Допущения!$C$76,0)+Допущения!$C$85</f>
        <v>620000</v>
      </c>
      <c r="I11" s="10" t="n">
        <f aca="false">Допущения!$C$17+IF(I$4&gt;=2,Допущения!$C$65+Допущения!$C$76,0)+Допущения!$C$85</f>
        <v>620000</v>
      </c>
      <c r="J11" s="10" t="n">
        <f aca="false">Допущения!$C$17+IF(J$4&gt;=2,Допущения!$C$65+Допущения!$C$76,0)+Допущения!$C$85</f>
        <v>620000</v>
      </c>
      <c r="K11" s="10" t="n">
        <f aca="false">Допущения!$C$17+IF(K$4&gt;=2,Допущения!$C$65+Допущения!$C$76,0)+Допущения!$C$85</f>
        <v>620000</v>
      </c>
      <c r="L11" s="10" t="n">
        <f aca="false">Допущения!$C$17+IF(L$4&gt;=2,Допущения!$C$65+Допущения!$C$76,0)+Допущения!$C$85</f>
        <v>620000</v>
      </c>
      <c r="M11" s="10" t="n">
        <f aca="false">Допущения!$C$17+IF(M$4&gt;=2,Допущения!$C$65+Допущения!$C$76,0)+Допущения!$C$85</f>
        <v>620000</v>
      </c>
      <c r="N11" s="10" t="n">
        <f aca="false">Допущения!$C$17+IF(N$4&gt;=2,Допущения!$C$65+Допущения!$C$76,0)+Допущения!$C$85</f>
        <v>620000</v>
      </c>
      <c r="O11" s="10" t="n">
        <f aca="false">Допущения!$C$17+IF(O$4&gt;=2,Допущения!$C$65+Допущения!$C$76,0)+Допущения!$C$85</f>
        <v>620000</v>
      </c>
      <c r="P11" s="10" t="n">
        <f aca="false">Допущения!$C$17+IF(P$4&gt;=2,Допущения!$C$65+Допущения!$C$76,0)+Допущения!$C$85</f>
        <v>620000</v>
      </c>
      <c r="Q11" s="10" t="n">
        <f aca="false">Допущения!$C$17+IF(Q$4&gt;=2,Допущения!$C$65+Допущения!$C$76,0)+Допущения!$C$85</f>
        <v>620000</v>
      </c>
      <c r="R11" s="10" t="n">
        <f aca="false">Допущения!$C$17+IF(R$4&gt;=2,Допущения!$C$65+Допущения!$C$76,0)+Допущения!$C$85</f>
        <v>620000</v>
      </c>
      <c r="S11" s="10" t="n">
        <f aca="false">Допущения!$C$17+IF(S$4&gt;=2,Допущения!$C$65+Допущения!$C$76,0)+Допущения!$C$85</f>
        <v>620000</v>
      </c>
      <c r="T11" s="10" t="n">
        <f aca="false">Допущения!$C$17+IF(T$4&gt;=2,Допущения!$C$65+Допущения!$C$76,0)+Допущения!$C$85</f>
        <v>620000</v>
      </c>
      <c r="U11" s="10" t="n">
        <f aca="false">Допущения!$C$17+IF(U$4&gt;=2,Допущения!$C$65+Допущения!$C$76,0)+Допущения!$C$85</f>
        <v>620000</v>
      </c>
      <c r="V11" s="10" t="n">
        <f aca="false">Допущения!$C$17+IF(V$4&gt;=2,Допущения!$C$65+Допущения!$C$76,0)+Допущения!$C$85</f>
        <v>620000</v>
      </c>
      <c r="W11" s="10" t="n">
        <f aca="false">Допущения!$C$17+IF(W$4&gt;=2,Допущения!$C$65+Допущения!$C$76,0)+Допущения!$C$85</f>
        <v>620000</v>
      </c>
      <c r="X11" s="10" t="n">
        <f aca="false">Допущения!$C$17+IF(X$4&gt;=2,Допущения!$C$65+Допущения!$C$76,0)+Допущения!$C$85</f>
        <v>620000</v>
      </c>
      <c r="Y11" s="10" t="n">
        <f aca="false">Допущения!$C$17+IF(Y$4&gt;=2,Допущения!$C$65+Допущения!$C$76,0)+Допущения!$C$85</f>
        <v>620000</v>
      </c>
      <c r="Z11" s="10" t="n">
        <f aca="false">Допущения!$C$17+IF(Z$4&gt;=2,Допущения!$C$65+Допущения!$C$76,0)+Допущения!$C$85</f>
        <v>620000</v>
      </c>
      <c r="AA11" s="10" t="n">
        <f aca="false">Допущения!$C$17+IF(AA$4&gt;=2,Допущения!$C$65+Допущения!$C$76,0)+Допущения!$C$85</f>
        <v>620000</v>
      </c>
      <c r="AB11" s="10" t="n">
        <f aca="false">Допущения!$C$17+IF(AB$4&gt;=2,Допущения!$C$65+Допущения!$C$76,0)+Допущения!$C$85</f>
        <v>620000</v>
      </c>
      <c r="AC11" s="10" t="n">
        <f aca="false">Допущения!$C$17+IF(AC$4&gt;=2,Допущения!$C$65+Допущения!$C$76,0)+Допущения!$C$85</f>
        <v>620000</v>
      </c>
      <c r="AD11" s="10" t="n">
        <f aca="false">Допущения!$C$17+IF(AD$4&gt;=2,Допущения!$C$65+Допущения!$C$76,0)+Допущения!$C$85</f>
        <v>620000</v>
      </c>
      <c r="AE11" s="10" t="n">
        <f aca="false">Допущения!$C$17+IF(AE$4&gt;=2,Допущения!$C$65+Допущения!$C$76,0)+Допущения!$C$85</f>
        <v>620000</v>
      </c>
      <c r="AF11" s="10" t="n">
        <f aca="false">Допущения!$C$17+IF(AF$4&gt;=2,Допущения!$C$65+Допущения!$C$76,0)+Допущения!$C$85</f>
        <v>620000</v>
      </c>
      <c r="AG11" s="10" t="n">
        <f aca="false">Допущения!$C$17+IF(AG$4&gt;=2,Допущения!$C$65+Допущения!$C$76,0)+Допущения!$C$85</f>
        <v>620000</v>
      </c>
      <c r="AH11" s="10" t="n">
        <f aca="false">Допущения!$C$17+IF(AH$4&gt;=2,Допущения!$C$65+Допущения!$C$76,0)+Допущения!$C$85</f>
        <v>620000</v>
      </c>
      <c r="AI11" s="10" t="n">
        <f aca="false">Допущения!$C$17+IF(AI$4&gt;=2,Допущения!$C$65+Допущения!$C$76,0)+Допущения!$C$85</f>
        <v>620000</v>
      </c>
      <c r="AJ11" s="10" t="n">
        <f aca="false">Допущения!$C$17+IF(AJ$4&gt;=2,Допущения!$C$65+Допущения!$C$76,0)+Допущения!$C$85</f>
        <v>620000</v>
      </c>
      <c r="AK11" s="10" t="n">
        <f aca="false">Допущения!$C$17+IF(AK$4&gt;=2,Допущения!$C$65+Допущения!$C$76,0)+Допущения!$C$85</f>
        <v>620000</v>
      </c>
      <c r="AL11" s="10" t="n">
        <f aca="false">Допущения!$C$17+IF(AL$4&gt;=2,Допущения!$C$65+Допущения!$C$76,0)+Допущения!$C$85</f>
        <v>620000</v>
      </c>
      <c r="AM11" s="10" t="n">
        <f aca="false">SUM(C11:N11)</f>
        <v>7110000</v>
      </c>
      <c r="AN11" s="10" t="n">
        <f aca="false">SUM(O11:Z11)</f>
        <v>7440000</v>
      </c>
      <c r="AO11" s="10" t="n">
        <f aca="false">SUM(AA11:AL11)</f>
        <v>7440000</v>
      </c>
      <c r="AP11" s="10" t="n">
        <f aca="false">SUM(C11:AL11)</f>
        <v>21990000</v>
      </c>
    </row>
    <row r="12" customFormat="false" ht="15" hidden="false" customHeight="false" outlineLevel="0" collapsed="false">
      <c r="A12" s="1" t="s">
        <v>281</v>
      </c>
      <c r="B12" s="1" t="s">
        <v>282</v>
      </c>
      <c r="C12" s="11" t="n">
        <f aca="false">C9-C11-C10</f>
        <v>-290000</v>
      </c>
      <c r="D12" s="11" t="n">
        <f aca="false">D9-D11-D10</f>
        <v>-629324.040793883</v>
      </c>
      <c r="E12" s="11" t="n">
        <f aca="false">E9-E11-E10</f>
        <v>-633518.247121432</v>
      </c>
      <c r="F12" s="11" t="n">
        <f aca="false">F9-F11-F10</f>
        <v>-611647.552481303</v>
      </c>
      <c r="G12" s="11" t="n">
        <f aca="false">G9-G11-G10</f>
        <v>-613153.613597059</v>
      </c>
      <c r="H12" s="11" t="n">
        <f aca="false">H9-H11-H10</f>
        <v>-614320.462748697</v>
      </c>
      <c r="I12" s="11" t="n">
        <f aca="false">I9-I11-I10</f>
        <v>-615266.781665945</v>
      </c>
      <c r="J12" s="11" t="n">
        <f aca="false">J9-J11-J10</f>
        <v>-616055.275513216</v>
      </c>
      <c r="K12" s="11" t="n">
        <f aca="false">K9-K11-K10</f>
        <v>-616723.701159797</v>
      </c>
      <c r="L12" s="11" t="n">
        <f aca="false">L9-L11-L10</f>
        <v>-617409.665228009</v>
      </c>
      <c r="M12" s="11" t="n">
        <f aca="false">M9-M11-M10</f>
        <v>-618069.7237095</v>
      </c>
      <c r="N12" s="11" t="n">
        <f aca="false">N9-N11-N10</f>
        <v>-618692.092601288</v>
      </c>
      <c r="O12" s="11" t="n">
        <f aca="false">O9-O11-O10</f>
        <v>-619279.051131887</v>
      </c>
      <c r="P12" s="11" t="n">
        <f aca="false">P9-P11-P10</f>
        <v>-619834.104859493</v>
      </c>
      <c r="Q12" s="11" t="n">
        <f aca="false">Q9-Q11-Q10</f>
        <v>-620360.634379701</v>
      </c>
      <c r="R12" s="11" t="n">
        <f aca="false">R9-R11-R10</f>
        <v>-620861.636828744</v>
      </c>
      <c r="S12" s="11" t="n">
        <f aca="false">S9-S11-S10</f>
        <v>-621339.707685742</v>
      </c>
      <c r="T12" s="11" t="n">
        <f aca="false">T9-T11-T10</f>
        <v>-621797.082251301</v>
      </c>
      <c r="U12" s="11" t="n">
        <f aca="false">U9-U11-U10</f>
        <v>-622235.687886027</v>
      </c>
      <c r="V12" s="11" t="n">
        <f aca="false">V9-V11-V10</f>
        <v>-622657.192891504</v>
      </c>
      <c r="W12" s="11" t="n">
        <f aca="false">W9-W11-W10</f>
        <v>-623063.048504185</v>
      </c>
      <c r="X12" s="11" t="n">
        <f aca="false">X9-X11-X10</f>
        <v>-576454.523844272</v>
      </c>
      <c r="Y12" s="11" t="n">
        <f aca="false">Y9-Y11-Y10</f>
        <v>-576832.734661953</v>
      </c>
      <c r="Z12" s="11" t="n">
        <f aca="false">Z9-Z11-Z10</f>
        <v>-577198.66691432</v>
      </c>
      <c r="AA12" s="11" t="n">
        <f aca="false">AA9-AA11-AA10</f>
        <v>-577553.196130526</v>
      </c>
      <c r="AB12" s="11" t="n">
        <f aca="false">AB9-AB11-AB10</f>
        <v>-577897.103375175</v>
      </c>
      <c r="AC12" s="11" t="n">
        <f aca="false">AC9-AC11-AC10</f>
        <v>-578231.088469461</v>
      </c>
      <c r="AD12" s="11" t="n">
        <f aca="false">AD9-AD11-AD10</f>
        <v>-578555.780998215</v>
      </c>
      <c r="AE12" s="11" t="n">
        <f aca="false">AE9-AE11-AE10</f>
        <v>-578871.749523042</v>
      </c>
      <c r="AF12" s="11" t="n">
        <f aca="false">AF9-AF11-AF10</f>
        <v>-579179.509335453</v>
      </c>
      <c r="AG12" s="11" t="n">
        <f aca="false">AG9-AG11-AG10</f>
        <v>-579479.529015758</v>
      </c>
      <c r="AH12" s="11" t="n">
        <f aca="false">AH9-AH11-AH10</f>
        <v>-579772.236010019</v>
      </c>
      <c r="AI12" s="11" t="n">
        <f aca="false">AI9-AI11-AI10</f>
        <v>-580058.021395329</v>
      </c>
      <c r="AJ12" s="11" t="n">
        <f aca="false">AJ9-AJ11-AJ10</f>
        <v>-580337.243970676</v>
      </c>
      <c r="AK12" s="11" t="n">
        <f aca="false">AK9-AK11-AK10</f>
        <v>-580610.23378457</v>
      </c>
      <c r="AL12" s="11" t="n">
        <f aca="false">AL9-AL11-AL10</f>
        <v>-580877.295189963</v>
      </c>
      <c r="AM12" s="11" t="n">
        <f aca="false">SUM(C12:N12)</f>
        <v>-7094181.15662013</v>
      </c>
      <c r="AN12" s="11" t="n">
        <f aca="false">SUM(O12:Z12)</f>
        <v>-7321914.07183913</v>
      </c>
      <c r="AO12" s="11" t="n">
        <f aca="false">SUM(AA12:AL12)</f>
        <v>-6951422.98719819</v>
      </c>
      <c r="AP12" s="11" t="n">
        <f aca="false">SUM(C12:AL12)</f>
        <v>-21367518.2156574</v>
      </c>
    </row>
    <row r="13" customFormat="false" ht="15" hidden="false" customHeight="false" outlineLevel="0" collapsed="false">
      <c r="A13" s="0" t="s">
        <v>283</v>
      </c>
      <c r="B13" s="0" t="s">
        <v>284</v>
      </c>
      <c r="C13" s="10" t="n">
        <f aca="false">IF(C$4=1,Допущения!$C$19+Допущения!$C$77+Допущения!$C$86,0)+C_обучение_профи!C13</f>
        <v>600000</v>
      </c>
      <c r="D13" s="10" t="n">
        <f aca="false">IF(D$4=1,Допущения!$C$19+Допущения!$C$77+Допущения!$C$86,0)+C_обучение_профи!D13</f>
        <v>0</v>
      </c>
      <c r="E13" s="10" t="n">
        <f aca="false">IF(E$4=1,Допущения!$C$19+Допущения!$C$77+Допущения!$C$86,0)+C_обучение_профи!E13</f>
        <v>0</v>
      </c>
      <c r="F13" s="10" t="n">
        <f aca="false">IF(F$4=1,Допущения!$C$19+Допущения!$C$77+Допущения!$C$86,0)+C_обучение_профи!F13</f>
        <v>0</v>
      </c>
      <c r="G13" s="10" t="n">
        <f aca="false">IF(G$4=1,Допущения!$C$19+Допущения!$C$77+Допущения!$C$86,0)+C_обучение_профи!G13</f>
        <v>0</v>
      </c>
      <c r="H13" s="10" t="n">
        <f aca="false">IF(H$4=1,Допущения!$C$19+Допущения!$C$77+Допущения!$C$86,0)+C_обучение_профи!H13</f>
        <v>375000</v>
      </c>
      <c r="I13" s="10" t="n">
        <f aca="false">IF(I$4=1,Допущения!$C$19+Допущения!$C$77+Допущения!$C$86,0)+C_обучение_профи!I13</f>
        <v>375000</v>
      </c>
      <c r="J13" s="10" t="n">
        <f aca="false">IF(J$4=1,Допущения!$C$19+Допущения!$C$77+Допущения!$C$86,0)+C_обучение_профи!J13</f>
        <v>375000</v>
      </c>
      <c r="K13" s="10" t="n">
        <f aca="false">IF(K$4=1,Допущения!$C$19+Допущения!$C$77+Допущения!$C$86,0)+C_обучение_профи!K13</f>
        <v>375000</v>
      </c>
      <c r="L13" s="10" t="n">
        <f aca="false">IF(L$4=1,Допущения!$C$19+Допущения!$C$77+Допущения!$C$86,0)+C_обучение_профи!L13</f>
        <v>0</v>
      </c>
      <c r="M13" s="10" t="n">
        <f aca="false">IF(M$4=1,Допущения!$C$19+Допущения!$C$77+Допущения!$C$86,0)+C_обучение_профи!M13</f>
        <v>0</v>
      </c>
      <c r="N13" s="10" t="n">
        <f aca="false">IF(N$4=1,Допущения!$C$19+Допущения!$C$77+Допущения!$C$86,0)+C_обучение_профи!N13</f>
        <v>0</v>
      </c>
      <c r="O13" s="10" t="n">
        <f aca="false">IF(O$4=1,Допущения!$C$19+Допущения!$C$77+Допущения!$C$86,0)+C_обучение_профи!O13</f>
        <v>0</v>
      </c>
      <c r="P13" s="10" t="n">
        <f aca="false">IF(P$4=1,Допущения!$C$19+Допущения!$C$77+Допущения!$C$86,0)+C_обучение_профи!P13</f>
        <v>0</v>
      </c>
      <c r="Q13" s="10" t="n">
        <f aca="false">IF(Q$4=1,Допущения!$C$19+Допущения!$C$77+Допущения!$C$86,0)+C_обучение_профи!Q13</f>
        <v>0</v>
      </c>
      <c r="R13" s="10" t="n">
        <f aca="false">IF(R$4=1,Допущения!$C$19+Допущения!$C$77+Допущения!$C$86,0)+C_обучение_профи!R13</f>
        <v>0</v>
      </c>
      <c r="S13" s="10" t="n">
        <f aca="false">IF(S$4=1,Допущения!$C$19+Допущения!$C$77+Допущения!$C$86,0)+C_обучение_профи!S13</f>
        <v>0</v>
      </c>
      <c r="T13" s="10" t="n">
        <f aca="false">IF(T$4=1,Допущения!$C$19+Допущения!$C$77+Допущения!$C$86,0)+C_обучение_профи!T13</f>
        <v>0</v>
      </c>
      <c r="U13" s="10" t="n">
        <f aca="false">IF(U$4=1,Допущения!$C$19+Допущения!$C$77+Допущения!$C$86,0)+C_обучение_профи!U13</f>
        <v>0</v>
      </c>
      <c r="V13" s="10" t="n">
        <f aca="false">IF(V$4=1,Допущения!$C$19+Допущения!$C$77+Допущения!$C$86,0)+C_обучение_профи!V13</f>
        <v>0</v>
      </c>
      <c r="W13" s="10" t="n">
        <f aca="false">IF(W$4=1,Допущения!$C$19+Допущения!$C$77+Допущения!$C$86,0)+C_обучение_профи!W13</f>
        <v>0</v>
      </c>
      <c r="X13" s="10" t="n">
        <f aca="false">IF(X$4=1,Допущения!$C$19+Допущения!$C$77+Допущения!$C$86,0)+C_обучение_профи!X13</f>
        <v>0</v>
      </c>
      <c r="Y13" s="10" t="n">
        <f aca="false">IF(Y$4=1,Допущения!$C$19+Допущения!$C$77+Допущения!$C$86,0)+C_обучение_профи!Y13</f>
        <v>0</v>
      </c>
      <c r="Z13" s="10" t="n">
        <f aca="false">IF(Z$4=1,Допущения!$C$19+Допущения!$C$77+Допущения!$C$86,0)+C_обучение_профи!Z13</f>
        <v>0</v>
      </c>
      <c r="AA13" s="10" t="n">
        <f aca="false">IF(AA$4=1,Допущения!$C$19+Допущения!$C$77+Допущения!$C$86,0)+C_обучение_профи!AA13</f>
        <v>0</v>
      </c>
      <c r="AB13" s="10" t="n">
        <f aca="false">IF(AB$4=1,Допущения!$C$19+Допущения!$C$77+Допущения!$C$86,0)+C_обучение_профи!AB13</f>
        <v>0</v>
      </c>
      <c r="AC13" s="10" t="n">
        <f aca="false">IF(AC$4=1,Допущения!$C$19+Допущения!$C$77+Допущения!$C$86,0)+C_обучение_профи!AC13</f>
        <v>0</v>
      </c>
      <c r="AD13" s="10" t="n">
        <f aca="false">IF(AD$4=1,Допущения!$C$19+Допущения!$C$77+Допущения!$C$86,0)+C_обучение_профи!AD13</f>
        <v>0</v>
      </c>
      <c r="AE13" s="10" t="n">
        <f aca="false">IF(AE$4=1,Допущения!$C$19+Допущения!$C$77+Допущения!$C$86,0)+C_обучение_профи!AE13</f>
        <v>0</v>
      </c>
      <c r="AF13" s="10" t="n">
        <f aca="false">IF(AF$4=1,Допущения!$C$19+Допущения!$C$77+Допущения!$C$86,0)+C_обучение_профи!AF13</f>
        <v>0</v>
      </c>
      <c r="AG13" s="10" t="n">
        <f aca="false">IF(AG$4=1,Допущения!$C$19+Допущения!$C$77+Допущения!$C$86,0)+C_обучение_профи!AG13</f>
        <v>0</v>
      </c>
      <c r="AH13" s="10" t="n">
        <f aca="false">IF(AH$4=1,Допущения!$C$19+Допущения!$C$77+Допущения!$C$86,0)+C_обучение_профи!AH13</f>
        <v>0</v>
      </c>
      <c r="AI13" s="10" t="n">
        <f aca="false">IF(AI$4=1,Допущения!$C$19+Допущения!$C$77+Допущения!$C$86,0)+C_обучение_профи!AI13</f>
        <v>0</v>
      </c>
      <c r="AJ13" s="10" t="n">
        <f aca="false">IF(AJ$4=1,Допущения!$C$19+Допущения!$C$77+Допущения!$C$86,0)+C_обучение_профи!AJ13</f>
        <v>0</v>
      </c>
      <c r="AK13" s="10" t="n">
        <f aca="false">IF(AK$4=1,Допущения!$C$19+Допущения!$C$77+Допущения!$C$86,0)+C_обучение_профи!AK13</f>
        <v>0</v>
      </c>
      <c r="AL13" s="10" t="n">
        <f aca="false">IF(AL$4=1,Допущения!$C$19+Допущения!$C$77+Допущения!$C$86,0)+C_обучение_профи!AL13</f>
        <v>0</v>
      </c>
      <c r="AM13" s="10" t="n">
        <f aca="false">SUM(C13:N13)</f>
        <v>2100000</v>
      </c>
      <c r="AN13" s="10" t="n">
        <f aca="false">SUM(O13:Z13)</f>
        <v>0</v>
      </c>
      <c r="AO13" s="10" t="n">
        <f aca="false">SUM(AA13:AL13)</f>
        <v>0</v>
      </c>
      <c r="AP13" s="10" t="n">
        <f aca="false">SUM(C13:AL13)</f>
        <v>2100000</v>
      </c>
    </row>
    <row r="14" customFormat="false" ht="15" hidden="false" customHeight="false" outlineLevel="0" collapsed="false">
      <c r="A14" s="1" t="s">
        <v>285</v>
      </c>
      <c r="B14" s="1" t="s">
        <v>286</v>
      </c>
      <c r="C14" s="11" t="n">
        <f aca="false">C12-C13</f>
        <v>-890000</v>
      </c>
      <c r="D14" s="11" t="n">
        <f aca="false">D12-D13</f>
        <v>-629324.040793883</v>
      </c>
      <c r="E14" s="11" t="n">
        <f aca="false">E12-E13</f>
        <v>-633518.247121432</v>
      </c>
      <c r="F14" s="11" t="n">
        <f aca="false">F12-F13</f>
        <v>-611647.552481303</v>
      </c>
      <c r="G14" s="11" t="n">
        <f aca="false">G12-G13</f>
        <v>-613153.613597059</v>
      </c>
      <c r="H14" s="11" t="n">
        <f aca="false">H12-H13</f>
        <v>-989320.462748697</v>
      </c>
      <c r="I14" s="11" t="n">
        <f aca="false">I12-I13</f>
        <v>-990266.781665945</v>
      </c>
      <c r="J14" s="11" t="n">
        <f aca="false">J12-J13</f>
        <v>-991055.275513216</v>
      </c>
      <c r="K14" s="11" t="n">
        <f aca="false">K12-K13</f>
        <v>-991723.701159797</v>
      </c>
      <c r="L14" s="11" t="n">
        <f aca="false">L12-L13</f>
        <v>-617409.665228009</v>
      </c>
      <c r="M14" s="11" t="n">
        <f aca="false">M12-M13</f>
        <v>-618069.7237095</v>
      </c>
      <c r="N14" s="11" t="n">
        <f aca="false">N12-N13</f>
        <v>-618692.092601288</v>
      </c>
      <c r="O14" s="11" t="n">
        <f aca="false">O12-O13</f>
        <v>-619279.051131887</v>
      </c>
      <c r="P14" s="11" t="n">
        <f aca="false">P12-P13</f>
        <v>-619834.104859493</v>
      </c>
      <c r="Q14" s="11" t="n">
        <f aca="false">Q12-Q13</f>
        <v>-620360.634379701</v>
      </c>
      <c r="R14" s="11" t="n">
        <f aca="false">R12-R13</f>
        <v>-620861.636828744</v>
      </c>
      <c r="S14" s="11" t="n">
        <f aca="false">S12-S13</f>
        <v>-621339.707685742</v>
      </c>
      <c r="T14" s="11" t="n">
        <f aca="false">T12-T13</f>
        <v>-621797.082251301</v>
      </c>
      <c r="U14" s="11" t="n">
        <f aca="false">U12-U13</f>
        <v>-622235.687886027</v>
      </c>
      <c r="V14" s="11" t="n">
        <f aca="false">V12-V13</f>
        <v>-622657.192891504</v>
      </c>
      <c r="W14" s="11" t="n">
        <f aca="false">W12-W13</f>
        <v>-623063.048504185</v>
      </c>
      <c r="X14" s="11" t="n">
        <f aca="false">X12-X13</f>
        <v>-576454.523844272</v>
      </c>
      <c r="Y14" s="11" t="n">
        <f aca="false">Y12-Y13</f>
        <v>-576832.734661953</v>
      </c>
      <c r="Z14" s="11" t="n">
        <f aca="false">Z12-Z13</f>
        <v>-577198.66691432</v>
      </c>
      <c r="AA14" s="11" t="n">
        <f aca="false">AA12-AA13</f>
        <v>-577553.196130526</v>
      </c>
      <c r="AB14" s="11" t="n">
        <f aca="false">AB12-AB13</f>
        <v>-577897.103375175</v>
      </c>
      <c r="AC14" s="11" t="n">
        <f aca="false">AC12-AC13</f>
        <v>-578231.088469461</v>
      </c>
      <c r="AD14" s="11" t="n">
        <f aca="false">AD12-AD13</f>
        <v>-578555.780998215</v>
      </c>
      <c r="AE14" s="11" t="n">
        <f aca="false">AE12-AE13</f>
        <v>-578871.749523042</v>
      </c>
      <c r="AF14" s="11" t="n">
        <f aca="false">AF12-AF13</f>
        <v>-579179.509335453</v>
      </c>
      <c r="AG14" s="11" t="n">
        <f aca="false">AG12-AG13</f>
        <v>-579479.529015758</v>
      </c>
      <c r="AH14" s="11" t="n">
        <f aca="false">AH12-AH13</f>
        <v>-579772.236010019</v>
      </c>
      <c r="AI14" s="11" t="n">
        <f aca="false">AI12-AI13</f>
        <v>-580058.021395329</v>
      </c>
      <c r="AJ14" s="11" t="n">
        <f aca="false">AJ12-AJ13</f>
        <v>-580337.243970676</v>
      </c>
      <c r="AK14" s="11" t="n">
        <f aca="false">AK12-AK13</f>
        <v>-580610.23378457</v>
      </c>
      <c r="AL14" s="11" t="n">
        <f aca="false">AL12-AL13</f>
        <v>-580877.295189963</v>
      </c>
      <c r="AM14" s="11" t="n">
        <f aca="false">SUM(C14:N14)</f>
        <v>-9194181.15662013</v>
      </c>
      <c r="AN14" s="11" t="n">
        <f aca="false">SUM(O14:Z14)</f>
        <v>-7321914.07183913</v>
      </c>
      <c r="AO14" s="11" t="n">
        <f aca="false">SUM(AA14:AL14)</f>
        <v>-6951422.98719819</v>
      </c>
      <c r="AP14" s="11" t="n">
        <f aca="false">SUM(C14:AL14)</f>
        <v>-23467518.2156574</v>
      </c>
    </row>
    <row r="15" customFormat="false" ht="15" hidden="false" customHeight="false" outlineLevel="0" collapsed="false">
      <c r="A15" s="1" t="s">
        <v>287</v>
      </c>
      <c r="B15" s="1" t="s">
        <v>288</v>
      </c>
      <c r="C15" s="11" t="n">
        <f aca="false">0+C14</f>
        <v>-890000</v>
      </c>
      <c r="D15" s="11" t="n">
        <f aca="false">C15+D14</f>
        <v>-1519324.04079388</v>
      </c>
      <c r="E15" s="11" t="n">
        <f aca="false">D15+E14</f>
        <v>-2152842.28791531</v>
      </c>
      <c r="F15" s="11" t="n">
        <f aca="false">E15+F14</f>
        <v>-2764489.84039662</v>
      </c>
      <c r="G15" s="11" t="n">
        <f aca="false">F15+G14</f>
        <v>-3377643.45399368</v>
      </c>
      <c r="H15" s="11" t="n">
        <f aca="false">G15+H14</f>
        <v>-4366963.91674237</v>
      </c>
      <c r="I15" s="11" t="n">
        <f aca="false">H15+I14</f>
        <v>-5357230.69840832</v>
      </c>
      <c r="J15" s="11" t="n">
        <f aca="false">I15+J14</f>
        <v>-6348285.97392154</v>
      </c>
      <c r="K15" s="11" t="n">
        <f aca="false">J15+K14</f>
        <v>-7340009.67508133</v>
      </c>
      <c r="L15" s="11" t="n">
        <f aca="false">K15+L14</f>
        <v>-7957419.34030934</v>
      </c>
      <c r="M15" s="11" t="n">
        <f aca="false">L15+M14</f>
        <v>-8575489.06401884</v>
      </c>
      <c r="N15" s="11" t="n">
        <f aca="false">M15+N14</f>
        <v>-9194181.15662013</v>
      </c>
      <c r="O15" s="11" t="n">
        <f aca="false">N15+O14</f>
        <v>-9813460.20775202</v>
      </c>
      <c r="P15" s="11" t="n">
        <f aca="false">O15+P14</f>
        <v>-10433294.3126115</v>
      </c>
      <c r="Q15" s="11" t="n">
        <f aca="false">P15+Q14</f>
        <v>-11053654.9469912</v>
      </c>
      <c r="R15" s="11" t="n">
        <f aca="false">Q15+R14</f>
        <v>-11674516.58382</v>
      </c>
      <c r="S15" s="11" t="n">
        <f aca="false">R15+S14</f>
        <v>-12295856.2915057</v>
      </c>
      <c r="T15" s="11" t="n">
        <f aca="false">S15+T14</f>
        <v>-12917653.373757</v>
      </c>
      <c r="U15" s="11" t="n">
        <f aca="false">T15+U14</f>
        <v>-13539889.061643</v>
      </c>
      <c r="V15" s="11" t="n">
        <f aca="false">U15+V14</f>
        <v>-14162546.2545345</v>
      </c>
      <c r="W15" s="11" t="n">
        <f aca="false">V15+W14</f>
        <v>-14785609.3030387</v>
      </c>
      <c r="X15" s="11" t="n">
        <f aca="false">W15+X14</f>
        <v>-15362063.826883</v>
      </c>
      <c r="Y15" s="11" t="n">
        <f aca="false">X15+Y14</f>
        <v>-15938896.5615449</v>
      </c>
      <c r="Z15" s="11" t="n">
        <f aca="false">Y15+Z14</f>
        <v>-16516095.2284593</v>
      </c>
      <c r="AA15" s="11" t="n">
        <f aca="false">Z15+AA14</f>
        <v>-17093648.4245898</v>
      </c>
      <c r="AB15" s="11" t="n">
        <f aca="false">AA15+AB14</f>
        <v>-17671545.527965</v>
      </c>
      <c r="AC15" s="11" t="n">
        <f aca="false">AB15+AC14</f>
        <v>-18249776.6164344</v>
      </c>
      <c r="AD15" s="11" t="n">
        <f aca="false">AC15+AD14</f>
        <v>-18828332.3974326</v>
      </c>
      <c r="AE15" s="11" t="n">
        <f aca="false">AD15+AE14</f>
        <v>-19407204.1469557</v>
      </c>
      <c r="AF15" s="11" t="n">
        <f aca="false">AE15+AF14</f>
        <v>-19986383.6562911</v>
      </c>
      <c r="AG15" s="11" t="n">
        <f aca="false">AF15+AG14</f>
        <v>-20565863.1853069</v>
      </c>
      <c r="AH15" s="11" t="n">
        <f aca="false">AG15+AH14</f>
        <v>-21145635.4213169</v>
      </c>
      <c r="AI15" s="11" t="n">
        <f aca="false">AH15+AI14</f>
        <v>-21725693.4427122</v>
      </c>
      <c r="AJ15" s="11" t="n">
        <f aca="false">AI15+AJ14</f>
        <v>-22306030.6866829</v>
      </c>
      <c r="AK15" s="11" t="n">
        <f aca="false">AJ15+AK14</f>
        <v>-22886640.9204675</v>
      </c>
      <c r="AL15" s="11" t="n">
        <f aca="false">AK15+AL14</f>
        <v>-23467518.2156574</v>
      </c>
      <c r="AM15" s="11" t="n">
        <f aca="false">N15</f>
        <v>-9194181.15662013</v>
      </c>
      <c r="AN15" s="11" t="n">
        <f aca="false">Z15</f>
        <v>-16516095.2284593</v>
      </c>
      <c r="AO15" s="11" t="n">
        <f aca="false">AL15</f>
        <v>-23467518.2156574</v>
      </c>
      <c r="AP15" s="1"/>
    </row>
    <row r="16" customFormat="false" ht="15" hidden="false" customHeight="false" outlineLevel="0" collapsed="false">
      <c r="A16" s="0" t="s">
        <v>289</v>
      </c>
      <c r="B16" s="0" t="s">
        <v>290</v>
      </c>
      <c r="C16" s="0" t="n">
        <f aca="false">IF(AND(C12&gt;0,COUNTIF(C12:AL12,"&lt;=0")=0),C$4,99)</f>
        <v>99</v>
      </c>
      <c r="D16" s="0" t="n">
        <f aca="false">IF(AND(D12&gt;0,COUNTIF(D12:AL12,"&lt;=0")=0),D$4,99)</f>
        <v>99</v>
      </c>
      <c r="E16" s="0" t="n">
        <f aca="false">IF(AND(E12&gt;0,COUNTIF(E12:AL12,"&lt;=0")=0),E$4,99)</f>
        <v>99</v>
      </c>
      <c r="F16" s="0" t="n">
        <f aca="false">IF(AND(F12&gt;0,COUNTIF(F12:AL12,"&lt;=0")=0),F$4,99)</f>
        <v>99</v>
      </c>
      <c r="G16" s="0" t="n">
        <f aca="false">IF(AND(G12&gt;0,COUNTIF(G12:AL12,"&lt;=0")=0),G$4,99)</f>
        <v>99</v>
      </c>
      <c r="H16" s="0" t="n">
        <f aca="false">IF(AND(H12&gt;0,COUNTIF(H12:AL12,"&lt;=0")=0),H$4,99)</f>
        <v>99</v>
      </c>
      <c r="I16" s="0" t="n">
        <f aca="false">IF(AND(I12&gt;0,COUNTIF(I12:AL12,"&lt;=0")=0),I$4,99)</f>
        <v>99</v>
      </c>
      <c r="J16" s="0" t="n">
        <f aca="false">IF(AND(J12&gt;0,COUNTIF(J12:AL12,"&lt;=0")=0),J$4,99)</f>
        <v>99</v>
      </c>
      <c r="K16" s="0" t="n">
        <f aca="false">IF(AND(K12&gt;0,COUNTIF(K12:AL12,"&lt;=0")=0),K$4,99)</f>
        <v>99</v>
      </c>
      <c r="L16" s="0" t="n">
        <f aca="false">IF(AND(L12&gt;0,COUNTIF(L12:AL12,"&lt;=0")=0),L$4,99)</f>
        <v>99</v>
      </c>
      <c r="M16" s="0" t="n">
        <f aca="false">IF(AND(M12&gt;0,COUNTIF(M12:AL12,"&lt;=0")=0),M$4,99)</f>
        <v>99</v>
      </c>
      <c r="N16" s="0" t="n">
        <f aca="false">IF(AND(N12&gt;0,COUNTIF(N12:AL12,"&lt;=0")=0),N$4,99)</f>
        <v>99</v>
      </c>
      <c r="O16" s="0" t="n">
        <f aca="false">IF(AND(O12&gt;0,COUNTIF(O12:AL12,"&lt;=0")=0),O$4,99)</f>
        <v>99</v>
      </c>
      <c r="P16" s="0" t="n">
        <f aca="false">IF(AND(P12&gt;0,COUNTIF(P12:AL12,"&lt;=0")=0),P$4,99)</f>
        <v>99</v>
      </c>
      <c r="Q16" s="0" t="n">
        <f aca="false">IF(AND(Q12&gt;0,COUNTIF(Q12:AL12,"&lt;=0")=0),Q$4,99)</f>
        <v>99</v>
      </c>
      <c r="R16" s="0" t="n">
        <f aca="false">IF(AND(R12&gt;0,COUNTIF(R12:AL12,"&lt;=0")=0),R$4,99)</f>
        <v>99</v>
      </c>
      <c r="S16" s="0" t="n">
        <f aca="false">IF(AND(S12&gt;0,COUNTIF(S12:AL12,"&lt;=0")=0),S$4,99)</f>
        <v>99</v>
      </c>
      <c r="T16" s="0" t="n">
        <f aca="false">IF(AND(T12&gt;0,COUNTIF(T12:AL12,"&lt;=0")=0),T$4,99)</f>
        <v>99</v>
      </c>
      <c r="U16" s="0" t="n">
        <f aca="false">IF(AND(U12&gt;0,COUNTIF(U12:AL12,"&lt;=0")=0),U$4,99)</f>
        <v>99</v>
      </c>
      <c r="V16" s="0" t="n">
        <f aca="false">IF(AND(V12&gt;0,COUNTIF(V12:AL12,"&lt;=0")=0),V$4,99)</f>
        <v>99</v>
      </c>
      <c r="W16" s="0" t="n">
        <f aca="false">IF(AND(W12&gt;0,COUNTIF(W12:AL12,"&lt;=0")=0),W$4,99)</f>
        <v>99</v>
      </c>
      <c r="X16" s="0" t="n">
        <f aca="false">IF(AND(X12&gt;0,COUNTIF(X12:AL12,"&lt;=0")=0),X$4,99)</f>
        <v>99</v>
      </c>
      <c r="Y16" s="0" t="n">
        <f aca="false">IF(AND(Y12&gt;0,COUNTIF(Y12:AL12,"&lt;=0")=0),Y$4,99)</f>
        <v>99</v>
      </c>
      <c r="Z16" s="0" t="n">
        <f aca="false">IF(AND(Z12&gt;0,COUNTIF(Z12:AL12,"&lt;=0")=0),Z$4,99)</f>
        <v>99</v>
      </c>
      <c r="AA16" s="0" t="n">
        <f aca="false">IF(AND(AA12&gt;0,COUNTIF(AA12:AL12,"&lt;=0")=0),AA$4,99)</f>
        <v>99</v>
      </c>
      <c r="AB16" s="0" t="n">
        <f aca="false">IF(AND(AB12&gt;0,COUNTIF(AB12:AL12,"&lt;=0")=0),AB$4,99)</f>
        <v>99</v>
      </c>
      <c r="AC16" s="0" t="n">
        <f aca="false">IF(AND(AC12&gt;0,COUNTIF(AC12:AL12,"&lt;=0")=0),AC$4,99)</f>
        <v>99</v>
      </c>
      <c r="AD16" s="0" t="n">
        <f aca="false">IF(AND(AD12&gt;0,COUNTIF(AD12:AL12,"&lt;=0")=0),AD$4,99)</f>
        <v>99</v>
      </c>
      <c r="AE16" s="0" t="n">
        <f aca="false">IF(AND(AE12&gt;0,COUNTIF(AE12:AL12,"&lt;=0")=0),AE$4,99)</f>
        <v>99</v>
      </c>
      <c r="AF16" s="0" t="n">
        <f aca="false">IF(AND(AF12&gt;0,COUNTIF(AF12:AL12,"&lt;=0")=0),AF$4,99)</f>
        <v>99</v>
      </c>
      <c r="AG16" s="0" t="n">
        <f aca="false">IF(AND(AG12&gt;0,COUNTIF(AG12:AL12,"&lt;=0")=0),AG$4,99)</f>
        <v>99</v>
      </c>
      <c r="AH16" s="0" t="n">
        <f aca="false">IF(AND(AH12&gt;0,COUNTIF(AH12:AL12,"&lt;=0")=0),AH$4,99)</f>
        <v>99</v>
      </c>
      <c r="AI16" s="0" t="n">
        <f aca="false">IF(AND(AI12&gt;0,COUNTIF(AI12:AL12,"&lt;=0")=0),AI$4,99)</f>
        <v>99</v>
      </c>
      <c r="AJ16" s="0" t="n">
        <f aca="false">IF(AND(AJ12&gt;0,COUNTIF(AJ12:AL12,"&lt;=0")=0),AJ$4,99)</f>
        <v>99</v>
      </c>
      <c r="AK16" s="0" t="n">
        <f aca="false">IF(AND(AK12&gt;0,COUNTIF(AK12:AL12,"&lt;=0")=0),AK$4,99)</f>
        <v>99</v>
      </c>
      <c r="AL16" s="0" t="n">
        <f aca="false">IF(AND(AL12&gt;0,COUNTIF(AL12:AL12,"&lt;=0")=0),AL$4,99)</f>
        <v>99</v>
      </c>
    </row>
    <row r="17" customFormat="false" ht="15" hidden="false" customHeight="false" outlineLevel="0" collapsed="false">
      <c r="A17" s="0" t="s">
        <v>291</v>
      </c>
      <c r="B17" s="0" t="s">
        <v>292</v>
      </c>
      <c r="C17" s="0" t="n">
        <f aca="false">IF(AND(C15&gt;=0,COUNTIF(C15:AL15,"&lt;0")=0),C$4,99)</f>
        <v>99</v>
      </c>
      <c r="D17" s="0" t="n">
        <f aca="false">IF(AND(D15&gt;=0,COUNTIF(D15:AL15,"&lt;0")=0),D$4,99)</f>
        <v>99</v>
      </c>
      <c r="E17" s="0" t="n">
        <f aca="false">IF(AND(E15&gt;=0,COUNTIF(E15:AL15,"&lt;0")=0),E$4,99)</f>
        <v>99</v>
      </c>
      <c r="F17" s="0" t="n">
        <f aca="false">IF(AND(F15&gt;=0,COUNTIF(F15:AL15,"&lt;0")=0),F$4,99)</f>
        <v>99</v>
      </c>
      <c r="G17" s="0" t="n">
        <f aca="false">IF(AND(G15&gt;=0,COUNTIF(G15:AL15,"&lt;0")=0),G$4,99)</f>
        <v>99</v>
      </c>
      <c r="H17" s="0" t="n">
        <f aca="false">IF(AND(H15&gt;=0,COUNTIF(H15:AL15,"&lt;0")=0),H$4,99)</f>
        <v>99</v>
      </c>
      <c r="I17" s="0" t="n">
        <f aca="false">IF(AND(I15&gt;=0,COUNTIF(I15:AL15,"&lt;0")=0),I$4,99)</f>
        <v>99</v>
      </c>
      <c r="J17" s="0" t="n">
        <f aca="false">IF(AND(J15&gt;=0,COUNTIF(J15:AL15,"&lt;0")=0),J$4,99)</f>
        <v>99</v>
      </c>
      <c r="K17" s="0" t="n">
        <f aca="false">IF(AND(K15&gt;=0,COUNTIF(K15:AL15,"&lt;0")=0),K$4,99)</f>
        <v>99</v>
      </c>
      <c r="L17" s="0" t="n">
        <f aca="false">IF(AND(L15&gt;=0,COUNTIF(L15:AL15,"&lt;0")=0),L$4,99)</f>
        <v>99</v>
      </c>
      <c r="M17" s="0" t="n">
        <f aca="false">IF(AND(M15&gt;=0,COUNTIF(M15:AL15,"&lt;0")=0),M$4,99)</f>
        <v>99</v>
      </c>
      <c r="N17" s="0" t="n">
        <f aca="false">IF(AND(N15&gt;=0,COUNTIF(N15:AL15,"&lt;0")=0),N$4,99)</f>
        <v>99</v>
      </c>
      <c r="O17" s="0" t="n">
        <f aca="false">IF(AND(O15&gt;=0,COUNTIF(O15:AL15,"&lt;0")=0),O$4,99)</f>
        <v>99</v>
      </c>
      <c r="P17" s="0" t="n">
        <f aca="false">IF(AND(P15&gt;=0,COUNTIF(P15:AL15,"&lt;0")=0),P$4,99)</f>
        <v>99</v>
      </c>
      <c r="Q17" s="0" t="n">
        <f aca="false">IF(AND(Q15&gt;=0,COUNTIF(Q15:AL15,"&lt;0")=0),Q$4,99)</f>
        <v>99</v>
      </c>
      <c r="R17" s="0" t="n">
        <f aca="false">IF(AND(R15&gt;=0,COUNTIF(R15:AL15,"&lt;0")=0),R$4,99)</f>
        <v>99</v>
      </c>
      <c r="S17" s="0" t="n">
        <f aca="false">IF(AND(S15&gt;=0,COUNTIF(S15:AL15,"&lt;0")=0),S$4,99)</f>
        <v>99</v>
      </c>
      <c r="T17" s="0" t="n">
        <f aca="false">IF(AND(T15&gt;=0,COUNTIF(T15:AL15,"&lt;0")=0),T$4,99)</f>
        <v>99</v>
      </c>
      <c r="U17" s="0" t="n">
        <f aca="false">IF(AND(U15&gt;=0,COUNTIF(U15:AL15,"&lt;0")=0),U$4,99)</f>
        <v>99</v>
      </c>
      <c r="V17" s="0" t="n">
        <f aca="false">IF(AND(V15&gt;=0,COUNTIF(V15:AL15,"&lt;0")=0),V$4,99)</f>
        <v>99</v>
      </c>
      <c r="W17" s="0" t="n">
        <f aca="false">IF(AND(W15&gt;=0,COUNTIF(W15:AL15,"&lt;0")=0),W$4,99)</f>
        <v>99</v>
      </c>
      <c r="X17" s="0" t="n">
        <f aca="false">IF(AND(X15&gt;=0,COUNTIF(X15:AL15,"&lt;0")=0),X$4,99)</f>
        <v>99</v>
      </c>
      <c r="Y17" s="0" t="n">
        <f aca="false">IF(AND(Y15&gt;=0,COUNTIF(Y15:AL15,"&lt;0")=0),Y$4,99)</f>
        <v>99</v>
      </c>
      <c r="Z17" s="0" t="n">
        <f aca="false">IF(AND(Z15&gt;=0,COUNTIF(Z15:AL15,"&lt;0")=0),Z$4,99)</f>
        <v>99</v>
      </c>
      <c r="AA17" s="0" t="n">
        <f aca="false">IF(AND(AA15&gt;=0,COUNTIF(AA15:AL15,"&lt;0")=0),AA$4,99)</f>
        <v>99</v>
      </c>
      <c r="AB17" s="0" t="n">
        <f aca="false">IF(AND(AB15&gt;=0,COUNTIF(AB15:AL15,"&lt;0")=0),AB$4,99)</f>
        <v>99</v>
      </c>
      <c r="AC17" s="0" t="n">
        <f aca="false">IF(AND(AC15&gt;=0,COUNTIF(AC15:AL15,"&lt;0")=0),AC$4,99)</f>
        <v>99</v>
      </c>
      <c r="AD17" s="0" t="n">
        <f aca="false">IF(AND(AD15&gt;=0,COUNTIF(AD15:AL15,"&lt;0")=0),AD$4,99)</f>
        <v>99</v>
      </c>
      <c r="AE17" s="0" t="n">
        <f aca="false">IF(AND(AE15&gt;=0,COUNTIF(AE15:AL15,"&lt;0")=0),AE$4,99)</f>
        <v>99</v>
      </c>
      <c r="AF17" s="0" t="n">
        <f aca="false">IF(AND(AF15&gt;=0,COUNTIF(AF15:AL15,"&lt;0")=0),AF$4,99)</f>
        <v>99</v>
      </c>
      <c r="AG17" s="0" t="n">
        <f aca="false">IF(AND(AG15&gt;=0,COUNTIF(AG15:AL15,"&lt;0")=0),AG$4,99)</f>
        <v>99</v>
      </c>
      <c r="AH17" s="0" t="n">
        <f aca="false">IF(AND(AH15&gt;=0,COUNTIF(AH15:AL15,"&lt;0")=0),AH$4,99)</f>
        <v>99</v>
      </c>
      <c r="AI17" s="0" t="n">
        <f aca="false">IF(AND(AI15&gt;=0,COUNTIF(AI15:AL15,"&lt;0")=0),AI$4,99)</f>
        <v>99</v>
      </c>
      <c r="AJ17" s="0" t="n">
        <f aca="false">IF(AND(AJ15&gt;=0,COUNTIF(AJ15:AL15,"&lt;0")=0),AJ$4,99)</f>
        <v>99</v>
      </c>
      <c r="AK17" s="0" t="n">
        <f aca="false">IF(AND(AK15&gt;=0,COUNTIF(AK15:AL15,"&lt;0")=0),AK$4,99)</f>
        <v>99</v>
      </c>
      <c r="AL17" s="0" t="n">
        <f aca="false">IF(AND(AL15&gt;=0,COUNTIF(AL15:AL15,"&lt;0")=0),AL$4,99)</f>
        <v>99</v>
      </c>
    </row>
    <row r="19" customFormat="false" ht="15" hidden="false" customHeight="false" outlineLevel="0" collapsed="false">
      <c r="A19" s="1" t="s">
        <v>293</v>
      </c>
      <c r="B19" s="1" t="s">
        <v>252</v>
      </c>
      <c r="C19" s="1" t="n">
        <v>1</v>
      </c>
      <c r="D19" s="1" t="n">
        <v>2</v>
      </c>
      <c r="E19" s="1" t="n">
        <v>3</v>
      </c>
      <c r="F19" s="1" t="n">
        <v>4</v>
      </c>
      <c r="G19" s="1" t="n">
        <v>5</v>
      </c>
      <c r="H19" s="1" t="n">
        <v>6</v>
      </c>
      <c r="I19" s="1" t="n">
        <v>7</v>
      </c>
      <c r="J19" s="1" t="n">
        <v>8</v>
      </c>
      <c r="K19" s="1" t="n">
        <v>9</v>
      </c>
      <c r="L19" s="1" t="n">
        <v>10</v>
      </c>
      <c r="M19" s="1" t="n">
        <v>11</v>
      </c>
      <c r="N19" s="1" t="n">
        <v>12</v>
      </c>
      <c r="O19" s="1" t="n">
        <v>13</v>
      </c>
      <c r="P19" s="1" t="n">
        <v>14</v>
      </c>
      <c r="Q19" s="1" t="n">
        <v>15</v>
      </c>
      <c r="R19" s="1" t="n">
        <v>16</v>
      </c>
      <c r="S19" s="1" t="n">
        <v>17</v>
      </c>
      <c r="T19" s="1" t="n">
        <v>18</v>
      </c>
      <c r="U19" s="1" t="n">
        <v>19</v>
      </c>
      <c r="V19" s="1" t="n">
        <v>20</v>
      </c>
      <c r="W19" s="1" t="n">
        <v>21</v>
      </c>
      <c r="X19" s="1" t="n">
        <v>22</v>
      </c>
      <c r="Y19" s="1" t="n">
        <v>23</v>
      </c>
      <c r="Z19" s="1" t="n">
        <v>24</v>
      </c>
      <c r="AA19" s="1" t="n">
        <v>25</v>
      </c>
      <c r="AB19" s="1" t="n">
        <v>26</v>
      </c>
      <c r="AC19" s="1" t="n">
        <v>27</v>
      </c>
      <c r="AD19" s="1" t="n">
        <v>28</v>
      </c>
      <c r="AE19" s="1" t="n">
        <v>29</v>
      </c>
      <c r="AF19" s="1" t="n">
        <v>30</v>
      </c>
      <c r="AG19" s="1" t="n">
        <v>31</v>
      </c>
      <c r="AH19" s="1" t="n">
        <v>32</v>
      </c>
      <c r="AI19" s="1" t="n">
        <v>33</v>
      </c>
      <c r="AJ19" s="1" t="n">
        <v>34</v>
      </c>
      <c r="AK19" s="1" t="n">
        <v>35</v>
      </c>
      <c r="AL19" s="1" t="n">
        <v>36</v>
      </c>
      <c r="AM19" s="1" t="s">
        <v>253</v>
      </c>
      <c r="AN19" s="1" t="s">
        <v>254</v>
      </c>
      <c r="AO19" s="1" t="s">
        <v>255</v>
      </c>
      <c r="AP19" s="1" t="s">
        <v>256</v>
      </c>
    </row>
    <row r="20" customFormat="false" ht="15" hidden="false" customHeight="false" outlineLevel="0" collapsed="false">
      <c r="A20" s="0" t="s">
        <v>343</v>
      </c>
      <c r="B20" s="0" t="s">
        <v>344</v>
      </c>
      <c r="C20" s="10" t="n">
        <f aca="false">F_минимум!C25</f>
        <v>0</v>
      </c>
      <c r="D20" s="10" t="n">
        <f aca="false">F_минимум!D25</f>
        <v>19519.0180326103</v>
      </c>
      <c r="E20" s="10" t="n">
        <f aca="false">F_минимум!E25</f>
        <v>44842.9278104338</v>
      </c>
      <c r="F20" s="10" t="n">
        <f aca="false">F_минимум!F25</f>
        <v>72946.3340224075</v>
      </c>
      <c r="G20" s="10" t="n">
        <f aca="false">F_минимум!G25</f>
        <v>103021.994818192</v>
      </c>
      <c r="H20" s="10" t="n">
        <f aca="false">F_минимум!H25</f>
        <v>134654.840710944</v>
      </c>
      <c r="I20" s="10" t="n">
        <f aca="false">F_минимум!I25</f>
        <v>167586.667789207</v>
      </c>
      <c r="J20" s="10" t="n">
        <f aca="false">F_минимум!J25</f>
        <v>201639.500672444</v>
      </c>
      <c r="K20" s="10" t="n">
        <f aca="false">F_минимум!K25</f>
        <v>236682.391952341</v>
      </c>
      <c r="L20" s="10" t="n">
        <f aca="false">F_минимум!L25</f>
        <v>272614.515669723</v>
      </c>
      <c r="M20" s="10" t="n">
        <f aca="false">F_минимум!M25</f>
        <v>309355.588034097</v>
      </c>
      <c r="N20" s="10" t="n">
        <f aca="false">F_минимум!N25</f>
        <v>346840.007929531</v>
      </c>
      <c r="O20" s="10" t="n">
        <f aca="false">F_минимум!O25</f>
        <v>385013.059217794</v>
      </c>
      <c r="P20" s="10" t="n">
        <f aca="false">F_минимум!P25</f>
        <v>423828.335000059</v>
      </c>
      <c r="Q20" s="10" t="n">
        <f aca="false">F_минимум!Q25</f>
        <v>463245.925449721</v>
      </c>
      <c r="R20" s="10" t="n">
        <f aca="false">F_минимум!R25</f>
        <v>503231.103727865</v>
      </c>
      <c r="S20" s="10" t="n">
        <f aca="false">F_минимум!S25</f>
        <v>543753.348584834</v>
      </c>
      <c r="T20" s="10" t="n">
        <f aca="false">F_минимум!T25</f>
        <v>584785.601491906</v>
      </c>
      <c r="U20" s="10" t="n">
        <f aca="false">F_минимум!U25</f>
        <v>626303.691396249</v>
      </c>
      <c r="V20" s="10" t="n">
        <f aca="false">F_минимум!V25</f>
        <v>668285.881974692</v>
      </c>
      <c r="W20" s="10" t="n">
        <f aca="false">F_минимум!W25</f>
        <v>710712.510167816</v>
      </c>
      <c r="X20" s="10" t="n">
        <f aca="false">F_минимум!X25</f>
        <v>753565.693908863</v>
      </c>
      <c r="Y20" s="10" t="n">
        <f aca="false">F_минимум!Y25</f>
        <v>796829.093111622</v>
      </c>
      <c r="Z20" s="10" t="n">
        <f aca="false">F_минимум!Z25</f>
        <v>840487.712214692</v>
      </c>
      <c r="AA20" s="10" t="n">
        <f aca="false">F_минимум!AA25</f>
        <v>884527.735551713</v>
      </c>
      <c r="AB20" s="10" t="n">
        <f aca="false">F_минимум!AB25</f>
        <v>928936.38894112</v>
      </c>
      <c r="AC20" s="10" t="n">
        <f aca="false">F_минимум!AC25</f>
        <v>973701.822431399</v>
      </c>
      <c r="AD20" s="10" t="n">
        <f aca="false">F_минимум!AD25</f>
        <v>1018813.01027422</v>
      </c>
      <c r="AE20" s="10" t="n">
        <f aca="false">F_минимум!AE25</f>
        <v>1064259.66504635</v>
      </c>
      <c r="AF20" s="10" t="n">
        <f aca="false">F_минимум!AF25</f>
        <v>1110032.16348245</v>
      </c>
      <c r="AG20" s="10" t="n">
        <f aca="false">F_минимум!AG25</f>
        <v>1156121.48207108</v>
      </c>
      <c r="AH20" s="10" t="n">
        <f aca="false">F_минимум!AH25</f>
        <v>1202519.14084434</v>
      </c>
      <c r="AI20" s="10" t="n">
        <f aca="false">F_минимум!AI25</f>
        <v>1249217.15408706</v>
      </c>
      <c r="AJ20" s="10" t="n">
        <f aca="false">F_минимум!AJ25</f>
        <v>1296207.98692292</v>
      </c>
      <c r="AK20" s="10" t="n">
        <f aca="false">F_минимум!AK25</f>
        <v>1343484.51691941</v>
      </c>
      <c r="AL20" s="10" t="n">
        <f aca="false">F_минимум!AL25</f>
        <v>1391040</v>
      </c>
      <c r="AM20" s="10" t="n">
        <f aca="false">SUM(C20:N20)</f>
        <v>1909703.78744193</v>
      </c>
      <c r="AN20" s="10" t="n">
        <f aca="false">SUM(O20:Z20)</f>
        <v>7300041.95624611</v>
      </c>
      <c r="AO20" s="10" t="n">
        <f aca="false">SUM(AA20:AL20)</f>
        <v>13618861.0665721</v>
      </c>
      <c r="AP20" s="10" t="n">
        <f aca="false">SUM(C20:AL20)</f>
        <v>22828606.8102601</v>
      </c>
    </row>
    <row r="21" customFormat="false" ht="15" hidden="false" customHeight="false" outlineLevel="0" collapsed="false">
      <c r="A21" s="0" t="s">
        <v>345</v>
      </c>
      <c r="B21" s="0" t="s">
        <v>346</v>
      </c>
      <c r="C21" s="10" t="n">
        <f aca="false">C_обучение_профи!C23</f>
        <v>0</v>
      </c>
      <c r="D21" s="10" t="n">
        <f aca="false">C_обучение_профи!D23</f>
        <v>0</v>
      </c>
      <c r="E21" s="10" t="n">
        <f aca="false">C_обучение_профи!E23</f>
        <v>0</v>
      </c>
      <c r="F21" s="10" t="n">
        <f aca="false">C_обучение_профи!F23</f>
        <v>0</v>
      </c>
      <c r="G21" s="10" t="n">
        <f aca="false">C_обучение_профи!G23</f>
        <v>0</v>
      </c>
      <c r="H21" s="10" t="n">
        <f aca="false">C_обучение_профи!H23</f>
        <v>0</v>
      </c>
      <c r="I21" s="10" t="n">
        <f aca="false">C_обучение_профи!I23</f>
        <v>13675.3834710272</v>
      </c>
      <c r="J21" s="10" t="n">
        <f aca="false">C_обучение_профи!J23</f>
        <v>31417.7809942452</v>
      </c>
      <c r="K21" s="10" t="n">
        <f aca="false">C_обучение_профи!K23</f>
        <v>51107.5449028957</v>
      </c>
      <c r="L21" s="10" t="n">
        <f aca="false">C_обучение_профи!L23</f>
        <v>72179.106691493</v>
      </c>
      <c r="M21" s="10" t="n">
        <f aca="false">C_обучение_профи!M23</f>
        <v>94341.6610341632</v>
      </c>
      <c r="N21" s="10" t="n">
        <f aca="false">C_обучение_профи!N23</f>
        <v>117414.305515787</v>
      </c>
      <c r="O21" s="10" t="n">
        <f aca="false">C_обучение_профи!O23</f>
        <v>141272.34730739</v>
      </c>
      <c r="P21" s="10" t="n">
        <f aca="false">C_обучение_профи!P23</f>
        <v>165824.042243347</v>
      </c>
      <c r="Q21" s="10" t="n">
        <f aca="false">C_обучение_профи!Q23</f>
        <v>190998.749799979</v>
      </c>
      <c r="R21" s="10" t="n">
        <f aca="false">C_обучение_профи!R23</f>
        <v>216740.221675262</v>
      </c>
      <c r="S21" s="10" t="n">
        <f aca="false">C_обучение_профи!S23</f>
        <v>243002.496519347</v>
      </c>
      <c r="T21" s="10" t="n">
        <f aca="false">C_обучение_профи!T23</f>
        <v>269747.239198207</v>
      </c>
      <c r="U21" s="10" t="n">
        <f aca="false">C_обучение_профи!U23</f>
        <v>296941.936183952</v>
      </c>
      <c r="V21" s="10" t="n">
        <f aca="false">C_обучение_профи!V23</f>
        <v>324558.625917137</v>
      </c>
      <c r="W21" s="10" t="n">
        <f aca="false">C_обучение_профи!W23</f>
        <v>352572.97813493</v>
      </c>
      <c r="X21" s="10" t="n">
        <f aca="false">C_обучение_профи!X23</f>
        <v>380963.609087783</v>
      </c>
      <c r="Y21" s="10" t="n">
        <f aca="false">C_обучение_профи!Y23</f>
        <v>409711.561072196</v>
      </c>
      <c r="Z21" s="10" t="n">
        <f aca="false">C_обучение_профи!Z23</f>
        <v>438799.899403453</v>
      </c>
      <c r="AA21" s="10" t="n">
        <f aca="false">C_обучение_профи!AA23</f>
        <v>468213.395213272</v>
      </c>
      <c r="AB21" s="10" t="n">
        <f aca="false">C_обучение_профи!AB23</f>
        <v>497938.272200133</v>
      </c>
      <c r="AC21" s="10" t="n">
        <f aca="false">C_обучение_профи!AC23</f>
        <v>527962.001858773</v>
      </c>
      <c r="AD21" s="10" t="n">
        <f aca="false">C_обучение_профи!AD23</f>
        <v>558273.136023893</v>
      </c>
      <c r="AE21" s="10" t="n">
        <f aca="false">C_обучение_профи!AE23</f>
        <v>588861.168529038</v>
      </c>
      <c r="AF21" s="10" t="n">
        <f aca="false">C_обучение_профи!AF23</f>
        <v>619716.419863944</v>
      </c>
      <c r="AG21" s="10" t="n">
        <f aca="false">C_обучение_профи!AG23</f>
        <v>650829.940201773</v>
      </c>
      <c r="AH21" s="10" t="n">
        <f aca="false">C_обучение_профи!AH23</f>
        <v>682193.427248281</v>
      </c>
      <c r="AI21" s="10" t="n">
        <f aca="false">C_обучение_профи!AI23</f>
        <v>713799.156161152</v>
      </c>
      <c r="AJ21" s="10" t="n">
        <f aca="false">C_обучение_профи!AJ23</f>
        <v>745639.919382226</v>
      </c>
      <c r="AK21" s="10" t="n">
        <f aca="false">C_обучение_профи!AK23</f>
        <v>777708.974674608</v>
      </c>
      <c r="AL21" s="10" t="n">
        <f aca="false">C_обучение_профи!AL23</f>
        <v>810000</v>
      </c>
      <c r="AM21" s="10" t="n">
        <f aca="false">SUM(C21:N21)</f>
        <v>380135.782609611</v>
      </c>
      <c r="AN21" s="10" t="n">
        <f aca="false">SUM(O21:Z21)</f>
        <v>3431133.70654298</v>
      </c>
      <c r="AO21" s="10" t="n">
        <f aca="false">SUM(AA21:AL21)</f>
        <v>7641135.81135709</v>
      </c>
      <c r="AP21" s="10" t="n">
        <f aca="false">SUM(C21:AL21)</f>
        <v>11452405.3005097</v>
      </c>
    </row>
    <row r="22" customFormat="false" ht="15" hidden="false" customHeight="false" outlineLevel="0" collapsed="false">
      <c r="A22" s="0" t="s">
        <v>347</v>
      </c>
      <c r="B22" s="0" t="s">
        <v>348</v>
      </c>
      <c r="C22" s="10" t="n">
        <f aca="false">E_B2B!C21</f>
        <v>0</v>
      </c>
      <c r="D22" s="10" t="n">
        <f aca="false">E_B2B!D21</f>
        <v>0</v>
      </c>
      <c r="E22" s="10" t="n">
        <f aca="false">E_B2B!E21</f>
        <v>150000</v>
      </c>
      <c r="F22" s="10" t="n">
        <f aca="false">E_B2B!F21</f>
        <v>150000</v>
      </c>
      <c r="G22" s="10" t="n">
        <f aca="false">E_B2B!G21</f>
        <v>150000</v>
      </c>
      <c r="H22" s="10" t="n">
        <f aca="false">E_B2B!H21</f>
        <v>150000</v>
      </c>
      <c r="I22" s="10" t="n">
        <f aca="false">E_B2B!I21</f>
        <v>150000</v>
      </c>
      <c r="J22" s="10" t="n">
        <f aca="false">E_B2B!J21</f>
        <v>150000</v>
      </c>
      <c r="K22" s="10" t="n">
        <f aca="false">E_B2B!K21</f>
        <v>150000</v>
      </c>
      <c r="L22" s="10" t="n">
        <f aca="false">E_B2B!L21</f>
        <v>150000</v>
      </c>
      <c r="M22" s="10" t="n">
        <f aca="false">E_B2B!M21</f>
        <v>250000</v>
      </c>
      <c r="N22" s="10" t="n">
        <f aca="false">E_B2B!N21</f>
        <v>250000</v>
      </c>
      <c r="O22" s="10" t="n">
        <f aca="false">E_B2B!O21</f>
        <v>250000</v>
      </c>
      <c r="P22" s="10" t="n">
        <f aca="false">E_B2B!P21</f>
        <v>250000</v>
      </c>
      <c r="Q22" s="10" t="n">
        <f aca="false">E_B2B!Q21</f>
        <v>250000</v>
      </c>
      <c r="R22" s="10" t="n">
        <f aca="false">E_B2B!R21</f>
        <v>250000</v>
      </c>
      <c r="S22" s="10" t="n">
        <f aca="false">E_B2B!S21</f>
        <v>250000</v>
      </c>
      <c r="T22" s="10" t="n">
        <f aca="false">E_B2B!T21</f>
        <v>250000</v>
      </c>
      <c r="U22" s="10" t="n">
        <f aca="false">E_B2B!U21</f>
        <v>250000</v>
      </c>
      <c r="V22" s="10" t="n">
        <f aca="false">E_B2B!V21</f>
        <v>400000</v>
      </c>
      <c r="W22" s="10" t="n">
        <f aca="false">E_B2B!W21</f>
        <v>500000</v>
      </c>
      <c r="X22" s="10" t="n">
        <f aca="false">E_B2B!X21</f>
        <v>500000</v>
      </c>
      <c r="Y22" s="10" t="n">
        <f aca="false">E_B2B!Y21</f>
        <v>500000</v>
      </c>
      <c r="Z22" s="10" t="n">
        <f aca="false">E_B2B!Z21</f>
        <v>500000</v>
      </c>
      <c r="AA22" s="10" t="n">
        <f aca="false">E_B2B!AA21</f>
        <v>500000</v>
      </c>
      <c r="AB22" s="10" t="n">
        <f aca="false">E_B2B!AB21</f>
        <v>500000</v>
      </c>
      <c r="AC22" s="10" t="n">
        <f aca="false">E_B2B!AC21</f>
        <v>500000</v>
      </c>
      <c r="AD22" s="10" t="n">
        <f aca="false">E_B2B!AD21</f>
        <v>500000</v>
      </c>
      <c r="AE22" s="10" t="n">
        <f aca="false">E_B2B!AE21</f>
        <v>500000</v>
      </c>
      <c r="AF22" s="10" t="n">
        <f aca="false">E_B2B!AF21</f>
        <v>500000</v>
      </c>
      <c r="AG22" s="10" t="n">
        <f aca="false">E_B2B!AG21</f>
        <v>600000</v>
      </c>
      <c r="AH22" s="10" t="n">
        <f aca="false">E_B2B!AH21</f>
        <v>600000</v>
      </c>
      <c r="AI22" s="10" t="n">
        <f aca="false">E_B2B!AI21</f>
        <v>600000</v>
      </c>
      <c r="AJ22" s="10" t="n">
        <f aca="false">E_B2B!AJ21</f>
        <v>600000</v>
      </c>
      <c r="AK22" s="10" t="n">
        <f aca="false">E_B2B!AK21</f>
        <v>600000</v>
      </c>
      <c r="AL22" s="10" t="n">
        <f aca="false">E_B2B!AL21</f>
        <v>600000</v>
      </c>
      <c r="AM22" s="10" t="n">
        <f aca="false">SUM(C22:N22)</f>
        <v>1700000</v>
      </c>
      <c r="AN22" s="10" t="n">
        <f aca="false">SUM(O22:Z22)</f>
        <v>4150000</v>
      </c>
      <c r="AO22" s="10" t="n">
        <f aca="false">SUM(AA22:AL22)</f>
        <v>6600000</v>
      </c>
      <c r="AP22" s="10" t="n">
        <f aca="false">SUM(C22:AL22)</f>
        <v>12450000</v>
      </c>
    </row>
    <row r="23" customFormat="false" ht="15" hidden="false" customHeight="false" outlineLevel="0" collapsed="false">
      <c r="A23" s="0" t="s">
        <v>267</v>
      </c>
      <c r="B23" s="0" t="s">
        <v>349</v>
      </c>
      <c r="C23" s="10" t="n">
        <f aca="false">C21+C22+C20*Допущения!$D$5</f>
        <v>0</v>
      </c>
      <c r="D23" s="10" t="n">
        <f aca="false">D21+D22+D20*Допущения!$D$5</f>
        <v>2342.28216391323</v>
      </c>
      <c r="E23" s="10" t="n">
        <f aca="false">E21+E22+E20*Допущения!$D$5</f>
        <v>155381.151337252</v>
      </c>
      <c r="F23" s="10" t="n">
        <f aca="false">F21+F22+F20*Допущения!$D$5</f>
        <v>158753.560082689</v>
      </c>
      <c r="G23" s="10" t="n">
        <f aca="false">G21+G22+G20*Допущения!$D$5</f>
        <v>162362.639378183</v>
      </c>
      <c r="H23" s="10" t="n">
        <f aca="false">H21+H22+H20*Допущения!$D$5</f>
        <v>166158.580885313</v>
      </c>
      <c r="I23" s="10" t="n">
        <f aca="false">I21+I22+I20*Допущения!$D$5</f>
        <v>183785.783605732</v>
      </c>
      <c r="J23" s="10" t="n">
        <f aca="false">J21+J22+J20*Допущения!$D$5</f>
        <v>205614.521074938</v>
      </c>
      <c r="K23" s="10" t="n">
        <f aca="false">K21+K22+K20*Допущения!$D$5</f>
        <v>229509.431937177</v>
      </c>
      <c r="L23" s="10" t="n">
        <f aca="false">L21+L22+L20*Допущения!$D$5</f>
        <v>254892.84857186</v>
      </c>
      <c r="M23" s="10" t="n">
        <f aca="false">M21+M22+M20*Допущения!$D$5</f>
        <v>381464.331598255</v>
      </c>
      <c r="N23" s="10" t="n">
        <f aca="false">N21+N22+N20*Допущения!$D$5</f>
        <v>409035.10646733</v>
      </c>
      <c r="O23" s="10" t="n">
        <f aca="false">O21+O22+O20*Допущения!$D$5</f>
        <v>437473.914413525</v>
      </c>
      <c r="P23" s="10" t="n">
        <f aca="false">P21+P22+P20*Допущения!$D$5</f>
        <v>466683.442443354</v>
      </c>
      <c r="Q23" s="10" t="n">
        <f aca="false">Q21+Q22+Q20*Допущения!$D$5</f>
        <v>496588.260853946</v>
      </c>
      <c r="R23" s="10" t="n">
        <f aca="false">R21+R22+R20*Допущения!$D$5</f>
        <v>527127.954122606</v>
      </c>
      <c r="S23" s="10" t="n">
        <f aca="false">S21+S22+S20*Допущения!$D$5</f>
        <v>558252.898349527</v>
      </c>
      <c r="T23" s="10" t="n">
        <f aca="false">T21+T22+T20*Допущения!$D$5</f>
        <v>589921.511377236</v>
      </c>
      <c r="U23" s="10" t="n">
        <f aca="false">U21+U22+U20*Допущения!$D$5</f>
        <v>622098.379151502</v>
      </c>
      <c r="V23" s="10" t="n">
        <f aca="false">V21+V22+V20*Допущения!$D$5</f>
        <v>804752.9317541</v>
      </c>
      <c r="W23" s="10" t="n">
        <f aca="false">W21+W22+W20*Допущения!$D$5</f>
        <v>937858.479355068</v>
      </c>
      <c r="X23" s="10" t="n">
        <f aca="false">X21+X22+X20*Допущения!$D$5</f>
        <v>971391.492356847</v>
      </c>
      <c r="Y23" s="10" t="n">
        <f aca="false">Y21+Y22+Y20*Допущения!$D$5</f>
        <v>1005331.05224559</v>
      </c>
      <c r="Z23" s="10" t="n">
        <f aca="false">Z21+Z22+Z20*Допущения!$D$5</f>
        <v>1039658.42486922</v>
      </c>
      <c r="AA23" s="10" t="n">
        <f aca="false">AA21+AA22+AA20*Допущения!$D$5</f>
        <v>1074356.72347948</v>
      </c>
      <c r="AB23" s="10" t="n">
        <f aca="false">AB21+AB22+AB20*Допущения!$D$5</f>
        <v>1109410.63887307</v>
      </c>
      <c r="AC23" s="10" t="n">
        <f aca="false">AC21+AC22+AC20*Допущения!$D$5</f>
        <v>1144806.22055054</v>
      </c>
      <c r="AD23" s="10" t="n">
        <f aca="false">AD21+AD22+AD20*Допущения!$D$5</f>
        <v>1180530.6972568</v>
      </c>
      <c r="AE23" s="10" t="n">
        <f aca="false">AE21+AE22+AE20*Допущения!$D$5</f>
        <v>1216572.3283346</v>
      </c>
      <c r="AF23" s="10" t="n">
        <f aca="false">AF21+AF22+AF20*Допущения!$D$5</f>
        <v>1252920.27948184</v>
      </c>
      <c r="AG23" s="10" t="n">
        <f aca="false">AG21+AG22+AG20*Допущения!$D$5</f>
        <v>1389564.5180503</v>
      </c>
      <c r="AH23" s="10" t="n">
        <f aca="false">AH21+AH22+AH20*Допущения!$D$5</f>
        <v>1426495.7241496</v>
      </c>
      <c r="AI23" s="10" t="n">
        <f aca="false">AI21+AI22+AI20*Допущения!$D$5</f>
        <v>1463705.2146516</v>
      </c>
      <c r="AJ23" s="10" t="n">
        <f aca="false">AJ21+AJ22+AJ20*Допущения!$D$5</f>
        <v>1501184.87781298</v>
      </c>
      <c r="AK23" s="10" t="n">
        <f aca="false">AK21+AK22+AK20*Допущения!$D$5</f>
        <v>1538927.11670494</v>
      </c>
      <c r="AL23" s="10" t="n">
        <f aca="false">AL21+AL22+AL20*Допущения!$D$5</f>
        <v>1576924.8</v>
      </c>
      <c r="AM23" s="10" t="n">
        <f aca="false">SUM(C23:N23)</f>
        <v>2309300.23710264</v>
      </c>
      <c r="AN23" s="10" t="n">
        <f aca="false">SUM(O23:Z23)</f>
        <v>8457138.74129252</v>
      </c>
      <c r="AO23" s="10" t="n">
        <f aca="false">SUM(AA23:AL23)</f>
        <v>15875399.1393457</v>
      </c>
      <c r="AP23" s="10" t="n">
        <f aca="false">SUM(C23:AL23)</f>
        <v>26641838.1177409</v>
      </c>
    </row>
    <row r="24" customFormat="false" ht="15" hidden="false" customHeight="false" outlineLevel="0" collapsed="false">
      <c r="A24" s="0" t="s">
        <v>275</v>
      </c>
      <c r="B24" s="0" t="s">
        <v>350</v>
      </c>
      <c r="C24" s="10" t="n">
        <f aca="false">F_минимум!C26+C_обучение_профи!C24+E_B2B!C22</f>
        <v>0</v>
      </c>
      <c r="D24" s="10" t="n">
        <f aca="false">F_минимум!D26+C_обучение_профи!D24+E_B2B!D22</f>
        <v>2409.63557327352</v>
      </c>
      <c r="E24" s="10" t="n">
        <f aca="false">F_минимум!E26+C_обучение_профи!E24+E_B2B!E22</f>
        <v>56535.8888383233</v>
      </c>
      <c r="F24" s="10" t="n">
        <f aca="false">F_минимум!F26+C_обучение_профи!F24+E_B2B!F22</f>
        <v>60005.272760475</v>
      </c>
      <c r="G24" s="10" t="n">
        <f aca="false">F_минимум!G26+C_обучение_профи!G24+E_B2B!G22</f>
        <v>63718.1328040567</v>
      </c>
      <c r="H24" s="10" t="n">
        <f aca="false">F_минимум!H26+C_обучение_профи!H24+E_B2B!H22</f>
        <v>67623.2283687879</v>
      </c>
      <c r="I24" s="10" t="n">
        <f aca="false">F_минимум!I26+C_обучение_профи!I24+E_B2B!I22</f>
        <v>84543.54447528</v>
      </c>
      <c r="J24" s="10" t="n">
        <f aca="false">F_минимум!J26+C_обучение_профи!J24+E_B2B!J22</f>
        <v>105425.242692414</v>
      </c>
      <c r="K24" s="10" t="n">
        <f aca="false">F_минимум!K26+C_обучение_профи!K24+E_B2B!K22</f>
        <v>128259.68867003</v>
      </c>
      <c r="L24" s="10" t="n">
        <f aca="false">F_минимум!L26+C_обучение_профи!L24+E_B2B!L22</f>
        <v>152502.800982205</v>
      </c>
      <c r="M24" s="10" t="n">
        <f aca="false">F_минимум!M26+C_обучение_профи!M24+E_B2B!M22</f>
        <v>271871.311536047</v>
      </c>
      <c r="N24" s="10" t="n">
        <f aca="false">F_минимум!N26+C_обучение_профи!N24+E_B2B!N22</f>
        <v>298187.073560571</v>
      </c>
      <c r="O24" s="10" t="n">
        <f aca="false">F_минимум!O26+C_обучение_профи!O24+E_B2B!O22</f>
        <v>325326.121053404</v>
      </c>
      <c r="P24" s="10" t="n">
        <f aca="false">F_минимум!P26+C_обучение_профи!P24+E_B2B!P22</f>
        <v>353196.485536773</v>
      </c>
      <c r="Q24" s="10" t="n">
        <f aca="false">F_минимум!Q26+C_обучение_профи!Q24+E_B2B!Q22</f>
        <v>381726.838024159</v>
      </c>
      <c r="R24" s="10" t="n">
        <f aca="false">F_минимум!R26+C_обучение_профи!R24+E_B2B!R22</f>
        <v>410860.018060627</v>
      </c>
      <c r="S24" s="10" t="n">
        <f aca="false">F_минимум!S26+C_обучение_профи!S24+E_B2B!S22</f>
        <v>440549.054109039</v>
      </c>
      <c r="T24" s="10" t="n">
        <f aca="false">F_минимум!T26+C_обучение_профи!T24+E_B2B!T22</f>
        <v>470754.570750298</v>
      </c>
      <c r="U24" s="10" t="n">
        <f aca="false">F_минимум!U26+C_обучение_профи!U24+E_B2B!U22</f>
        <v>501443.02133587</v>
      </c>
      <c r="V24" s="10" t="n">
        <f aca="false">F_минимум!V26+C_обучение_профи!V24+E_B2B!V22</f>
        <v>583585.438636528</v>
      </c>
      <c r="W24" s="10" t="n">
        <f aca="false">F_минимум!W26+C_обучение_профи!W24+E_B2B!W22</f>
        <v>709156.524787634</v>
      </c>
      <c r="X24" s="10" t="n">
        <f aca="false">F_минимум!X26+C_обучение_профи!X24+E_B2B!X22</f>
        <v>741133.971511749</v>
      </c>
      <c r="Y24" s="10" t="n">
        <f aca="false">F_минимум!Y26+C_обучение_профи!Y24+E_B2B!Y22</f>
        <v>773497.941373225</v>
      </c>
      <c r="Z24" s="10" t="n">
        <f aca="false">F_минимум!Z26+C_обучение_профи!Z24+E_B2B!Z22</f>
        <v>806230.664556543</v>
      </c>
      <c r="AA24" s="10" t="n">
        <f aca="false">F_минимум!AA26+C_обучение_профи!AA24+E_B2B!AA22</f>
        <v>839316.12037245</v>
      </c>
      <c r="AB24" s="10" t="n">
        <f aca="false">F_минимум!AB26+C_обучение_профи!AB24+E_B2B!AB22</f>
        <v>872739.782116426</v>
      </c>
      <c r="AC24" s="10" t="n">
        <f aca="false">F_минимум!AC26+C_обучение_профи!AC24+E_B2B!AC22</f>
        <v>906488.41010924</v>
      </c>
      <c r="AD24" s="10" t="n">
        <f aca="false">F_минимум!AD26+C_обучение_профи!AD24+E_B2B!AD22</f>
        <v>940549.881939652</v>
      </c>
      <c r="AE24" s="10" t="n">
        <f aca="false">F_минимум!AE26+C_обучение_профи!AE24+E_B2B!AE22</f>
        <v>974913.051822051</v>
      </c>
      <c r="AF24" s="10" t="n">
        <f aca="false">F_минимум!AF26+C_обучение_профи!AF24+E_B2B!AF22</f>
        <v>1009567.63301837</v>
      </c>
      <c r="AG24" s="10" t="n">
        <f aca="false">F_минимум!AG26+C_обучение_профи!AG24+E_B2B!AG22</f>
        <v>1138504.09873299</v>
      </c>
      <c r="AH24" s="10" t="n">
        <f aca="false">F_минимум!AH26+C_обучение_профи!AH24+E_B2B!AH22</f>
        <v>1173713.59795171</v>
      </c>
      <c r="AI24" s="10" t="n">
        <f aca="false">F_минимум!AI26+C_обучение_профи!AI24+E_B2B!AI22</f>
        <v>1209187.88348099</v>
      </c>
      <c r="AJ24" s="10" t="n">
        <f aca="false">F_минимум!AJ26+C_обучение_профи!AJ24+E_B2B!AJ22</f>
        <v>1244919.25003073</v>
      </c>
      <c r="AK24" s="10" t="n">
        <f aca="false">F_минимум!AK26+C_обучение_профи!AK24+E_B2B!AK22</f>
        <v>1280900.48062929</v>
      </c>
      <c r="AL24" s="10" t="n">
        <f aca="false">F_минимум!AL26+C_обучение_профи!AL24+E_B2B!AL22</f>
        <v>1317124.8</v>
      </c>
      <c r="AM24" s="10" t="n">
        <f aca="false">SUM(C24:N24)</f>
        <v>1291081.82026146</v>
      </c>
      <c r="AN24" s="10" t="n">
        <f aca="false">SUM(O24:Z24)</f>
        <v>6497460.64973585</v>
      </c>
      <c r="AO24" s="10" t="n">
        <f aca="false">SUM(AA24:AL24)</f>
        <v>12907924.9902039</v>
      </c>
      <c r="AP24" s="10" t="n">
        <f aca="false">SUM(C24:AL24)</f>
        <v>20696467.4602012</v>
      </c>
    </row>
    <row r="25" customFormat="false" ht="15" hidden="false" customHeight="false" outlineLevel="0" collapsed="false">
      <c r="A25" s="0" t="s">
        <v>277</v>
      </c>
      <c r="B25" s="0" t="s">
        <v>351</v>
      </c>
      <c r="C25" s="10" t="n">
        <f aca="false">F_минимум!C27+C_обучение_профи!C25</f>
        <v>0</v>
      </c>
      <c r="D25" s="10" t="n">
        <f aca="false">F_минимум!D27+C_обучение_профи!D25</f>
        <v>21216.3239484894</v>
      </c>
      <c r="E25" s="10" t="n">
        <f aca="false">F_минимум!E27+C_обучение_профи!E25</f>
        <v>27525.9888889386</v>
      </c>
      <c r="F25" s="10" t="n">
        <f aca="false">F_минимум!F27+C_обучение_профи!F25</f>
        <v>30547.1806651888</v>
      </c>
      <c r="G25" s="10" t="n">
        <f aca="false">F_минимум!G27+C_обучение_профи!G25</f>
        <v>32690.935647592</v>
      </c>
      <c r="H25" s="10" t="n">
        <f aca="false">F_минимум!H27+C_обучение_профи!H25</f>
        <v>34383.5281442951</v>
      </c>
      <c r="I25" s="10" t="n">
        <f aca="false">F_минимум!I27+C_обучение_профи!I25</f>
        <v>42633.1559510178</v>
      </c>
      <c r="J25" s="10" t="n">
        <f aca="false">F_минимум!J27+C_обучение_профи!J25</f>
        <v>52722.8392832497</v>
      </c>
      <c r="K25" s="10" t="n">
        <f aca="false">F_минимум!K27+C_обучение_профи!K25</f>
        <v>63643.8716687265</v>
      </c>
      <c r="L25" s="10" t="n">
        <f aca="false">F_минимум!L27+C_обучение_профи!L25</f>
        <v>75146.2095602925</v>
      </c>
      <c r="M25" s="10" t="n">
        <f aca="false">F_минимум!M27+C_обучение_профи!M25</f>
        <v>87106.7787392276</v>
      </c>
      <c r="N25" s="10" t="n">
        <f aca="false">F_минимум!N27+C_обучение_профи!N25</f>
        <v>99451.087426843</v>
      </c>
      <c r="O25" s="10" t="n">
        <f aca="false">F_минимум!O27+C_обучение_профи!O25</f>
        <v>112128.620706155</v>
      </c>
      <c r="P25" s="10" t="n">
        <f aca="false">F_минимум!P27+C_обучение_профи!P25</f>
        <v>125102.538276309</v>
      </c>
      <c r="Q25" s="10" t="n">
        <f aca="false">F_минимум!Q27+C_обучение_профи!Q25</f>
        <v>138344.581910492</v>
      </c>
      <c r="R25" s="10" t="n">
        <f aca="false">F_минимум!R27+C_обучение_профи!R25</f>
        <v>151832.261139962</v>
      </c>
      <c r="S25" s="10" t="n">
        <f aca="false">F_минимум!S27+C_обучение_профи!S25</f>
        <v>165547.166582467</v>
      </c>
      <c r="T25" s="10" t="n">
        <f aca="false">F_минимум!T27+C_обучение_профи!T25</f>
        <v>179473.894498094</v>
      </c>
      <c r="U25" s="10" t="n">
        <f aca="false">F_минимум!U27+C_обучение_профи!U25</f>
        <v>193599.326683653</v>
      </c>
      <c r="V25" s="10" t="n">
        <f aca="false">F_минимум!V27+C_обучение_профи!V25</f>
        <v>207912.128804703</v>
      </c>
      <c r="W25" s="10" t="n">
        <f aca="false">F_минимум!W27+C_обучение_профи!W25</f>
        <v>222402.389277382</v>
      </c>
      <c r="X25" s="10" t="n">
        <f aca="false">F_минимум!X27+C_обучение_профи!X25</f>
        <v>237061.352088508</v>
      </c>
      <c r="Y25" s="10" t="n">
        <f aca="false">F_минимум!Y27+C_обучение_профи!Y25</f>
        <v>251881.21445214</v>
      </c>
      <c r="Z25" s="10" t="n">
        <f aca="false">F_минимум!Z27+C_обучение_профи!Z25</f>
        <v>266854.970465933</v>
      </c>
      <c r="AA25" s="10" t="n">
        <f aca="false">F_минимум!AA27+C_обучение_профи!AA25</f>
        <v>281976.288190354</v>
      </c>
      <c r="AB25" s="10" t="n">
        <f aca="false">F_минимум!AB27+C_обучение_профи!AB25</f>
        <v>297239.411523336</v>
      </c>
      <c r="AC25" s="10" t="n">
        <f aca="false">F_минимум!AC27+C_обучение_профи!AC25</f>
        <v>312639.080810124</v>
      </c>
      <c r="AD25" s="10" t="n">
        <f aca="false">F_минимум!AD27+C_обучение_профи!AD25</f>
        <v>328170.4678411</v>
      </c>
      <c r="AE25" s="10" t="n">
        <f aca="false">F_минимум!AE27+C_обучение_профи!AE25</f>
        <v>343829.122060309</v>
      </c>
      <c r="AF25" s="10" t="n">
        <f aca="false">F_минимум!AF27+C_обучение_профи!AF25</f>
        <v>359610.925623394</v>
      </c>
      <c r="AG25" s="10" t="n">
        <f aca="false">F_минимум!AG27+C_обучение_профи!AG25</f>
        <v>375512.055523307</v>
      </c>
      <c r="AH25" s="10" t="n">
        <f aca="false">F_минимум!AH27+C_обучение_профи!AH25</f>
        <v>391528.951421164</v>
      </c>
      <c r="AI25" s="10" t="n">
        <f aca="false">F_минимум!AI27+C_обучение_профи!AI25</f>
        <v>407658.288127005</v>
      </c>
      <c r="AJ25" s="10" t="n">
        <f aca="false">F_минимум!AJ27+C_обучение_профи!AJ25</f>
        <v>423896.951904012</v>
      </c>
      <c r="AK25" s="10" t="n">
        <f aca="false">F_минимум!AK27+C_обучение_профи!AK25</f>
        <v>440242.019942178</v>
      </c>
      <c r="AL25" s="10" t="n">
        <f aca="false">F_минимум!AL27+C_обучение_профи!AL25</f>
        <v>456690.742478904</v>
      </c>
      <c r="AM25" s="10" t="n">
        <f aca="false">SUM(C25:N25)</f>
        <v>567067.899923861</v>
      </c>
      <c r="AN25" s="10" t="n">
        <f aca="false">SUM(O25:Z25)</f>
        <v>2252140.4448858</v>
      </c>
      <c r="AO25" s="10" t="n">
        <f aca="false">SUM(AA25:AL25)</f>
        <v>4418994.30544519</v>
      </c>
      <c r="AP25" s="10" t="n">
        <f aca="false">SUM(C25:AL25)</f>
        <v>7238202.65025485</v>
      </c>
    </row>
    <row r="26" customFormat="false" ht="15" hidden="false" customHeight="false" outlineLevel="0" collapsed="false">
      <c r="A26" s="0" t="s">
        <v>279</v>
      </c>
      <c r="B26" s="0" t="s">
        <v>280</v>
      </c>
      <c r="C26" s="10" t="n">
        <f aca="false">Допущения!$D$17+IF(C$19&gt;=2,Допущения!$D$65+Допущения!$D$76,0)+Допущения!$D$85</f>
        <v>230000</v>
      </c>
      <c r="D26" s="10" t="n">
        <f aca="false">Допущения!$D$17+IF(D$19&gt;=2,Допущения!$D$65+Допущения!$D$76,0)+Допущения!$D$85</f>
        <v>510000</v>
      </c>
      <c r="E26" s="10" t="n">
        <f aca="false">Допущения!$D$17+IF(E$19&gt;=2,Допущения!$D$65+Допущения!$D$76,0)+Допущения!$D$85</f>
        <v>510000</v>
      </c>
      <c r="F26" s="10" t="n">
        <f aca="false">Допущения!$D$17+IF(F$19&gt;=2,Допущения!$D$65+Допущения!$D$76,0)+Допущения!$D$85</f>
        <v>510000</v>
      </c>
      <c r="G26" s="10" t="n">
        <f aca="false">Допущения!$D$17+IF(G$19&gt;=2,Допущения!$D$65+Допущения!$D$76,0)+Допущения!$D$85</f>
        <v>510000</v>
      </c>
      <c r="H26" s="10" t="n">
        <f aca="false">Допущения!$D$17+IF(H$19&gt;=2,Допущения!$D$65+Допущения!$D$76,0)+Допущения!$D$85</f>
        <v>510000</v>
      </c>
      <c r="I26" s="10" t="n">
        <f aca="false">Допущения!$D$17+IF(I$19&gt;=2,Допущения!$D$65+Допущения!$D$76,0)+Допущения!$D$85</f>
        <v>510000</v>
      </c>
      <c r="J26" s="10" t="n">
        <f aca="false">Допущения!$D$17+IF(J$19&gt;=2,Допущения!$D$65+Допущения!$D$76,0)+Допущения!$D$85</f>
        <v>510000</v>
      </c>
      <c r="K26" s="10" t="n">
        <f aca="false">Допущения!$D$17+IF(K$19&gt;=2,Допущения!$D$65+Допущения!$D$76,0)+Допущения!$D$85</f>
        <v>510000</v>
      </c>
      <c r="L26" s="10" t="n">
        <f aca="false">Допущения!$D$17+IF(L$19&gt;=2,Допущения!$D$65+Допущения!$D$76,0)+Допущения!$D$85</f>
        <v>510000</v>
      </c>
      <c r="M26" s="10" t="n">
        <f aca="false">Допущения!$D$17+IF(M$19&gt;=2,Допущения!$D$65+Допущения!$D$76,0)+Допущения!$D$85</f>
        <v>510000</v>
      </c>
      <c r="N26" s="10" t="n">
        <f aca="false">Допущения!$D$17+IF(N$19&gt;=2,Допущения!$D$65+Допущения!$D$76,0)+Допущения!$D$85</f>
        <v>510000</v>
      </c>
      <c r="O26" s="10" t="n">
        <f aca="false">Допущения!$D$17+IF(O$19&gt;=2,Допущения!$D$65+Допущения!$D$76,0)+Допущения!$D$85</f>
        <v>510000</v>
      </c>
      <c r="P26" s="10" t="n">
        <f aca="false">Допущения!$D$17+IF(P$19&gt;=2,Допущения!$D$65+Допущения!$D$76,0)+Допущения!$D$85</f>
        <v>510000</v>
      </c>
      <c r="Q26" s="10" t="n">
        <f aca="false">Допущения!$D$17+IF(Q$19&gt;=2,Допущения!$D$65+Допущения!$D$76,0)+Допущения!$D$85</f>
        <v>510000</v>
      </c>
      <c r="R26" s="10" t="n">
        <f aca="false">Допущения!$D$17+IF(R$19&gt;=2,Допущения!$D$65+Допущения!$D$76,0)+Допущения!$D$85</f>
        <v>510000</v>
      </c>
      <c r="S26" s="10" t="n">
        <f aca="false">Допущения!$D$17+IF(S$19&gt;=2,Допущения!$D$65+Допущения!$D$76,0)+Допущения!$D$85</f>
        <v>510000</v>
      </c>
      <c r="T26" s="10" t="n">
        <f aca="false">Допущения!$D$17+IF(T$19&gt;=2,Допущения!$D$65+Допущения!$D$76,0)+Допущения!$D$85</f>
        <v>510000</v>
      </c>
      <c r="U26" s="10" t="n">
        <f aca="false">Допущения!$D$17+IF(U$19&gt;=2,Допущения!$D$65+Допущения!$D$76,0)+Допущения!$D$85</f>
        <v>510000</v>
      </c>
      <c r="V26" s="10" t="n">
        <f aca="false">Допущения!$D$17+IF(V$19&gt;=2,Допущения!$D$65+Допущения!$D$76,0)+Допущения!$D$85</f>
        <v>510000</v>
      </c>
      <c r="W26" s="10" t="n">
        <f aca="false">Допущения!$D$17+IF(W$19&gt;=2,Допущения!$D$65+Допущения!$D$76,0)+Допущения!$D$85</f>
        <v>510000</v>
      </c>
      <c r="X26" s="10" t="n">
        <f aca="false">Допущения!$D$17+IF(X$19&gt;=2,Допущения!$D$65+Допущения!$D$76,0)+Допущения!$D$85</f>
        <v>510000</v>
      </c>
      <c r="Y26" s="10" t="n">
        <f aca="false">Допущения!$D$17+IF(Y$19&gt;=2,Допущения!$D$65+Допущения!$D$76,0)+Допущения!$D$85</f>
        <v>510000</v>
      </c>
      <c r="Z26" s="10" t="n">
        <f aca="false">Допущения!$D$17+IF(Z$19&gt;=2,Допущения!$D$65+Допущения!$D$76,0)+Допущения!$D$85</f>
        <v>510000</v>
      </c>
      <c r="AA26" s="10" t="n">
        <f aca="false">Допущения!$D$17+IF(AA$19&gt;=2,Допущения!$D$65+Допущения!$D$76,0)+Допущения!$D$85</f>
        <v>510000</v>
      </c>
      <c r="AB26" s="10" t="n">
        <f aca="false">Допущения!$D$17+IF(AB$19&gt;=2,Допущения!$D$65+Допущения!$D$76,0)+Допущения!$D$85</f>
        <v>510000</v>
      </c>
      <c r="AC26" s="10" t="n">
        <f aca="false">Допущения!$D$17+IF(AC$19&gt;=2,Допущения!$D$65+Допущения!$D$76,0)+Допущения!$D$85</f>
        <v>510000</v>
      </c>
      <c r="AD26" s="10" t="n">
        <f aca="false">Допущения!$D$17+IF(AD$19&gt;=2,Допущения!$D$65+Допущения!$D$76,0)+Допущения!$D$85</f>
        <v>510000</v>
      </c>
      <c r="AE26" s="10" t="n">
        <f aca="false">Допущения!$D$17+IF(AE$19&gt;=2,Допущения!$D$65+Допущения!$D$76,0)+Допущения!$D$85</f>
        <v>510000</v>
      </c>
      <c r="AF26" s="10" t="n">
        <f aca="false">Допущения!$D$17+IF(AF$19&gt;=2,Допущения!$D$65+Допущения!$D$76,0)+Допущения!$D$85</f>
        <v>510000</v>
      </c>
      <c r="AG26" s="10" t="n">
        <f aca="false">Допущения!$D$17+IF(AG$19&gt;=2,Допущения!$D$65+Допущения!$D$76,0)+Допущения!$D$85</f>
        <v>510000</v>
      </c>
      <c r="AH26" s="10" t="n">
        <f aca="false">Допущения!$D$17+IF(AH$19&gt;=2,Допущения!$D$65+Допущения!$D$76,0)+Допущения!$D$85</f>
        <v>510000</v>
      </c>
      <c r="AI26" s="10" t="n">
        <f aca="false">Допущения!$D$17+IF(AI$19&gt;=2,Допущения!$D$65+Допущения!$D$76,0)+Допущения!$D$85</f>
        <v>510000</v>
      </c>
      <c r="AJ26" s="10" t="n">
        <f aca="false">Допущения!$D$17+IF(AJ$19&gt;=2,Допущения!$D$65+Допущения!$D$76,0)+Допущения!$D$85</f>
        <v>510000</v>
      </c>
      <c r="AK26" s="10" t="n">
        <f aca="false">Допущения!$D$17+IF(AK$19&gt;=2,Допущения!$D$65+Допущения!$D$76,0)+Допущения!$D$85</f>
        <v>510000</v>
      </c>
      <c r="AL26" s="10" t="n">
        <f aca="false">Допущения!$D$17+IF(AL$19&gt;=2,Допущения!$D$65+Допущения!$D$76,0)+Допущения!$D$85</f>
        <v>510000</v>
      </c>
      <c r="AM26" s="10" t="n">
        <f aca="false">SUM(C26:N26)</f>
        <v>5840000</v>
      </c>
      <c r="AN26" s="10" t="n">
        <f aca="false">SUM(O26:Z26)</f>
        <v>6120000</v>
      </c>
      <c r="AO26" s="10" t="n">
        <f aca="false">SUM(AA26:AL26)</f>
        <v>6120000</v>
      </c>
      <c r="AP26" s="10" t="n">
        <f aca="false">SUM(C26:AL26)</f>
        <v>18080000</v>
      </c>
    </row>
    <row r="27" customFormat="false" ht="15" hidden="false" customHeight="false" outlineLevel="0" collapsed="false">
      <c r="A27" s="1" t="s">
        <v>281</v>
      </c>
      <c r="B27" s="1" t="s">
        <v>282</v>
      </c>
      <c r="C27" s="11" t="n">
        <f aca="false">C24-C26-C25</f>
        <v>-230000</v>
      </c>
      <c r="D27" s="11" t="n">
        <f aca="false">D24-D26-D25</f>
        <v>-528806.688375216</v>
      </c>
      <c r="E27" s="11" t="n">
        <f aca="false">E24-E26-E25</f>
        <v>-480990.100050615</v>
      </c>
      <c r="F27" s="11" t="n">
        <f aca="false">F24-F26-F25</f>
        <v>-480541.907904714</v>
      </c>
      <c r="G27" s="11" t="n">
        <f aca="false">G24-G26-G25</f>
        <v>-478972.802843535</v>
      </c>
      <c r="H27" s="11" t="n">
        <f aca="false">H24-H26-H25</f>
        <v>-476760.299775507</v>
      </c>
      <c r="I27" s="11" t="n">
        <f aca="false">I24-I26-I25</f>
        <v>-468089.611475738</v>
      </c>
      <c r="J27" s="11" t="n">
        <f aca="false">J24-J26-J25</f>
        <v>-457297.596590835</v>
      </c>
      <c r="K27" s="11" t="n">
        <f aca="false">K24-K26-K25</f>
        <v>-445384.182998697</v>
      </c>
      <c r="L27" s="11" t="n">
        <f aca="false">L24-L26-L25</f>
        <v>-432643.408578088</v>
      </c>
      <c r="M27" s="11" t="n">
        <f aca="false">M24-M26-M25</f>
        <v>-325235.467203181</v>
      </c>
      <c r="N27" s="11" t="n">
        <f aca="false">N24-N26-N25</f>
        <v>-311264.013866272</v>
      </c>
      <c r="O27" s="11" t="n">
        <f aca="false">O24-O26-O25</f>
        <v>-296802.499652751</v>
      </c>
      <c r="P27" s="11" t="n">
        <f aca="false">P24-P26-P25</f>
        <v>-281906.052739536</v>
      </c>
      <c r="Q27" s="11" t="n">
        <f aca="false">Q24-Q26-Q25</f>
        <v>-266617.743886333</v>
      </c>
      <c r="R27" s="11" t="n">
        <f aca="false">R24-R26-R25</f>
        <v>-250972.243079335</v>
      </c>
      <c r="S27" s="11" t="n">
        <f aca="false">S24-S26-S25</f>
        <v>-234998.112473428</v>
      </c>
      <c r="T27" s="11" t="n">
        <f aca="false">T24-T26-T25</f>
        <v>-218719.323747796</v>
      </c>
      <c r="U27" s="11" t="n">
        <f aca="false">U24-U26-U25</f>
        <v>-202156.305347783</v>
      </c>
      <c r="V27" s="11" t="n">
        <f aca="false">V24-V26-V25</f>
        <v>-134326.690168175</v>
      </c>
      <c r="W27" s="11" t="n">
        <f aca="false">W24-W26-W25</f>
        <v>-23245.8644897482</v>
      </c>
      <c r="X27" s="11" t="n">
        <f aca="false">X24-X26-X25</f>
        <v>-5927.38057675972</v>
      </c>
      <c r="Y27" s="11" t="n">
        <f aca="false">Y24-Y26-Y25</f>
        <v>11616.7269210849</v>
      </c>
      <c r="Z27" s="11" t="n">
        <f aca="false">Z24-Z26-Z25</f>
        <v>29375.6940906103</v>
      </c>
      <c r="AA27" s="11" t="n">
        <f aca="false">AA24-AA26-AA25</f>
        <v>47339.8321820954</v>
      </c>
      <c r="AB27" s="11" t="n">
        <f aca="false">AB24-AB26-AB25</f>
        <v>65500.37059309</v>
      </c>
      <c r="AC27" s="11" t="n">
        <f aca="false">AC24-AC26-AC25</f>
        <v>83849.3292991156</v>
      </c>
      <c r="AD27" s="11" t="n">
        <f aca="false">AD24-AD26-AD25</f>
        <v>102379.414098553</v>
      </c>
      <c r="AE27" s="11" t="n">
        <f aca="false">AE24-AE26-AE25</f>
        <v>121083.929761742</v>
      </c>
      <c r="AF27" s="11" t="n">
        <f aca="false">AF24-AF26-AF25</f>
        <v>139956.707394981</v>
      </c>
      <c r="AG27" s="11" t="n">
        <f aca="false">AG24-AG26-AG25</f>
        <v>252992.043209683</v>
      </c>
      <c r="AH27" s="11" t="n">
        <f aca="false">AH24-AH26-AH25</f>
        <v>272184.646530548</v>
      </c>
      <c r="AI27" s="11" t="n">
        <f aca="false">AI24-AI26-AI25</f>
        <v>291529.595353983</v>
      </c>
      <c r="AJ27" s="11" t="n">
        <f aca="false">AJ24-AJ26-AJ25</f>
        <v>311022.298126718</v>
      </c>
      <c r="AK27" s="11" t="n">
        <f aca="false">AK24-AK26-AK25</f>
        <v>330658.460687111</v>
      </c>
      <c r="AL27" s="11" t="n">
        <f aca="false">AL24-AL26-AL25</f>
        <v>350434.057521096</v>
      </c>
      <c r="AM27" s="11" t="n">
        <f aca="false">SUM(C27:N27)</f>
        <v>-5115986.0796624</v>
      </c>
      <c r="AN27" s="11" t="n">
        <f aca="false">SUM(O27:Z27)</f>
        <v>-1874679.79514995</v>
      </c>
      <c r="AO27" s="11" t="n">
        <f aca="false">SUM(AA27:AL27)</f>
        <v>2368930.68475872</v>
      </c>
      <c r="AP27" s="11" t="n">
        <f aca="false">SUM(C27:AL27)</f>
        <v>-4621735.19005363</v>
      </c>
    </row>
    <row r="28" customFormat="false" ht="15" hidden="false" customHeight="false" outlineLevel="0" collapsed="false">
      <c r="A28" s="0" t="s">
        <v>283</v>
      </c>
      <c r="B28" s="0" t="s">
        <v>284</v>
      </c>
      <c r="C28" s="10" t="n">
        <f aca="false">IF(C$19=1,Допущения!$D$19+Допущения!$D$77+Допущения!$D$86,0)+C_обучение_профи!C28</f>
        <v>400000</v>
      </c>
      <c r="D28" s="10" t="n">
        <f aca="false">IF(D$19=1,Допущения!$D$19+Допущения!$D$77+Допущения!$D$86,0)+C_обучение_профи!D28</f>
        <v>0</v>
      </c>
      <c r="E28" s="10" t="n">
        <f aca="false">IF(E$19=1,Допущения!$D$19+Допущения!$D$77+Допущения!$D$86,0)+C_обучение_профи!E28</f>
        <v>250000</v>
      </c>
      <c r="F28" s="10" t="n">
        <f aca="false">IF(F$19=1,Допущения!$D$19+Допущения!$D$77+Допущения!$D$86,0)+C_обучение_профи!F28</f>
        <v>250000</v>
      </c>
      <c r="G28" s="10" t="n">
        <f aca="false">IF(G$19=1,Допущения!$D$19+Допущения!$D$77+Допущения!$D$86,0)+C_обучение_профи!G28</f>
        <v>250000</v>
      </c>
      <c r="H28" s="10" t="n">
        <f aca="false">IF(H$19=1,Допущения!$D$19+Допущения!$D$77+Допущения!$D$86,0)+C_обучение_профи!H28</f>
        <v>250000</v>
      </c>
      <c r="I28" s="10" t="n">
        <f aca="false">IF(I$19=1,Допущения!$D$19+Допущения!$D$77+Допущения!$D$86,0)+C_обучение_профи!I28</f>
        <v>0</v>
      </c>
      <c r="J28" s="10" t="n">
        <f aca="false">IF(J$19=1,Допущения!$D$19+Допущения!$D$77+Допущения!$D$86,0)+C_обучение_профи!J28</f>
        <v>0</v>
      </c>
      <c r="K28" s="10" t="n">
        <f aca="false">IF(K$19=1,Допущения!$D$19+Допущения!$D$77+Допущения!$D$86,0)+C_обучение_профи!K28</f>
        <v>0</v>
      </c>
      <c r="L28" s="10" t="n">
        <f aca="false">IF(L$19=1,Допущения!$D$19+Допущения!$D$77+Допущения!$D$86,0)+C_обучение_профи!L28</f>
        <v>0</v>
      </c>
      <c r="M28" s="10" t="n">
        <f aca="false">IF(M$19=1,Допущения!$D$19+Допущения!$D$77+Допущения!$D$86,0)+C_обучение_профи!M28</f>
        <v>0</v>
      </c>
      <c r="N28" s="10" t="n">
        <f aca="false">IF(N$19=1,Допущения!$D$19+Допущения!$D$77+Допущения!$D$86,0)+C_обучение_профи!N28</f>
        <v>0</v>
      </c>
      <c r="O28" s="10" t="n">
        <f aca="false">IF(O$19=1,Допущения!$D$19+Допущения!$D$77+Допущения!$D$86,0)+C_обучение_профи!O28</f>
        <v>0</v>
      </c>
      <c r="P28" s="10" t="n">
        <f aca="false">IF(P$19=1,Допущения!$D$19+Допущения!$D$77+Допущения!$D$86,0)+C_обучение_профи!P28</f>
        <v>0</v>
      </c>
      <c r="Q28" s="10" t="n">
        <f aca="false">IF(Q$19=1,Допущения!$D$19+Допущения!$D$77+Допущения!$D$86,0)+C_обучение_профи!Q28</f>
        <v>0</v>
      </c>
      <c r="R28" s="10" t="n">
        <f aca="false">IF(R$19=1,Допущения!$D$19+Допущения!$D$77+Допущения!$D$86,0)+C_обучение_профи!R28</f>
        <v>0</v>
      </c>
      <c r="S28" s="10" t="n">
        <f aca="false">IF(S$19=1,Допущения!$D$19+Допущения!$D$77+Допущения!$D$86,0)+C_обучение_профи!S28</f>
        <v>0</v>
      </c>
      <c r="T28" s="10" t="n">
        <f aca="false">IF(T$19=1,Допущения!$D$19+Допущения!$D$77+Допущения!$D$86,0)+C_обучение_профи!T28</f>
        <v>0</v>
      </c>
      <c r="U28" s="10" t="n">
        <f aca="false">IF(U$19=1,Допущения!$D$19+Допущения!$D$77+Допущения!$D$86,0)+C_обучение_профи!U28</f>
        <v>0</v>
      </c>
      <c r="V28" s="10" t="n">
        <f aca="false">IF(V$19=1,Допущения!$D$19+Допущения!$D$77+Допущения!$D$86,0)+C_обучение_профи!V28</f>
        <v>0</v>
      </c>
      <c r="W28" s="10" t="n">
        <f aca="false">IF(W$19=1,Допущения!$D$19+Допущения!$D$77+Допущения!$D$86,0)+C_обучение_профи!W28</f>
        <v>0</v>
      </c>
      <c r="X28" s="10" t="n">
        <f aca="false">IF(X$19=1,Допущения!$D$19+Допущения!$D$77+Допущения!$D$86,0)+C_обучение_профи!X28</f>
        <v>0</v>
      </c>
      <c r="Y28" s="10" t="n">
        <f aca="false">IF(Y$19=1,Допущения!$D$19+Допущения!$D$77+Допущения!$D$86,0)+C_обучение_профи!Y28</f>
        <v>0</v>
      </c>
      <c r="Z28" s="10" t="n">
        <f aca="false">IF(Z$19=1,Допущения!$D$19+Допущения!$D$77+Допущения!$D$86,0)+C_обучение_профи!Z28</f>
        <v>0</v>
      </c>
      <c r="AA28" s="10" t="n">
        <f aca="false">IF(AA$19=1,Допущения!$D$19+Допущения!$D$77+Допущения!$D$86,0)+C_обучение_профи!AA28</f>
        <v>0</v>
      </c>
      <c r="AB28" s="10" t="n">
        <f aca="false">IF(AB$19=1,Допущения!$D$19+Допущения!$D$77+Допущения!$D$86,0)+C_обучение_профи!AB28</f>
        <v>0</v>
      </c>
      <c r="AC28" s="10" t="n">
        <f aca="false">IF(AC$19=1,Допущения!$D$19+Допущения!$D$77+Допущения!$D$86,0)+C_обучение_профи!AC28</f>
        <v>0</v>
      </c>
      <c r="AD28" s="10" t="n">
        <f aca="false">IF(AD$19=1,Допущения!$D$19+Допущения!$D$77+Допущения!$D$86,0)+C_обучение_профи!AD28</f>
        <v>0</v>
      </c>
      <c r="AE28" s="10" t="n">
        <f aca="false">IF(AE$19=1,Допущения!$D$19+Допущения!$D$77+Допущения!$D$86,0)+C_обучение_профи!AE28</f>
        <v>0</v>
      </c>
      <c r="AF28" s="10" t="n">
        <f aca="false">IF(AF$19=1,Допущения!$D$19+Допущения!$D$77+Допущения!$D$86,0)+C_обучение_профи!AF28</f>
        <v>0</v>
      </c>
      <c r="AG28" s="10" t="n">
        <f aca="false">IF(AG$19=1,Допущения!$D$19+Допущения!$D$77+Допущения!$D$86,0)+C_обучение_профи!AG28</f>
        <v>0</v>
      </c>
      <c r="AH28" s="10" t="n">
        <f aca="false">IF(AH$19=1,Допущения!$D$19+Допущения!$D$77+Допущения!$D$86,0)+C_обучение_профи!AH28</f>
        <v>0</v>
      </c>
      <c r="AI28" s="10" t="n">
        <f aca="false">IF(AI$19=1,Допущения!$D$19+Допущения!$D$77+Допущения!$D$86,0)+C_обучение_профи!AI28</f>
        <v>0</v>
      </c>
      <c r="AJ28" s="10" t="n">
        <f aca="false">IF(AJ$19=1,Допущения!$D$19+Допущения!$D$77+Допущения!$D$86,0)+C_обучение_профи!AJ28</f>
        <v>0</v>
      </c>
      <c r="AK28" s="10" t="n">
        <f aca="false">IF(AK$19=1,Допущения!$D$19+Допущения!$D$77+Допущения!$D$86,0)+C_обучение_профи!AK28</f>
        <v>0</v>
      </c>
      <c r="AL28" s="10" t="n">
        <f aca="false">IF(AL$19=1,Допущения!$D$19+Допущения!$D$77+Допущения!$D$86,0)+C_обучение_профи!AL28</f>
        <v>0</v>
      </c>
      <c r="AM28" s="10" t="n">
        <f aca="false">SUM(C28:N28)</f>
        <v>1400000</v>
      </c>
      <c r="AN28" s="10" t="n">
        <f aca="false">SUM(O28:Z28)</f>
        <v>0</v>
      </c>
      <c r="AO28" s="10" t="n">
        <f aca="false">SUM(AA28:AL28)</f>
        <v>0</v>
      </c>
      <c r="AP28" s="10" t="n">
        <f aca="false">SUM(C28:AL28)</f>
        <v>1400000</v>
      </c>
    </row>
    <row r="29" customFormat="false" ht="15" hidden="false" customHeight="false" outlineLevel="0" collapsed="false">
      <c r="A29" s="1" t="s">
        <v>285</v>
      </c>
      <c r="B29" s="1" t="s">
        <v>286</v>
      </c>
      <c r="C29" s="11" t="n">
        <f aca="false">C27-C28</f>
        <v>-630000</v>
      </c>
      <c r="D29" s="11" t="n">
        <f aca="false">D27-D28</f>
        <v>-528806.688375216</v>
      </c>
      <c r="E29" s="11" t="n">
        <f aca="false">E27-E28</f>
        <v>-730990.100050615</v>
      </c>
      <c r="F29" s="11" t="n">
        <f aca="false">F27-F28</f>
        <v>-730541.907904714</v>
      </c>
      <c r="G29" s="11" t="n">
        <f aca="false">G27-G28</f>
        <v>-728972.802843535</v>
      </c>
      <c r="H29" s="11" t="n">
        <f aca="false">H27-H28</f>
        <v>-726760.299775507</v>
      </c>
      <c r="I29" s="11" t="n">
        <f aca="false">I27-I28</f>
        <v>-468089.611475738</v>
      </c>
      <c r="J29" s="11" t="n">
        <f aca="false">J27-J28</f>
        <v>-457297.596590835</v>
      </c>
      <c r="K29" s="11" t="n">
        <f aca="false">K27-K28</f>
        <v>-445384.182998697</v>
      </c>
      <c r="L29" s="11" t="n">
        <f aca="false">L27-L28</f>
        <v>-432643.408578088</v>
      </c>
      <c r="M29" s="11" t="n">
        <f aca="false">M27-M28</f>
        <v>-325235.467203181</v>
      </c>
      <c r="N29" s="11" t="n">
        <f aca="false">N27-N28</f>
        <v>-311264.013866272</v>
      </c>
      <c r="O29" s="11" t="n">
        <f aca="false">O27-O28</f>
        <v>-296802.499652751</v>
      </c>
      <c r="P29" s="11" t="n">
        <f aca="false">P27-P28</f>
        <v>-281906.052739536</v>
      </c>
      <c r="Q29" s="11" t="n">
        <f aca="false">Q27-Q28</f>
        <v>-266617.743886333</v>
      </c>
      <c r="R29" s="11" t="n">
        <f aca="false">R27-R28</f>
        <v>-250972.243079335</v>
      </c>
      <c r="S29" s="11" t="n">
        <f aca="false">S27-S28</f>
        <v>-234998.112473428</v>
      </c>
      <c r="T29" s="11" t="n">
        <f aca="false">T27-T28</f>
        <v>-218719.323747796</v>
      </c>
      <c r="U29" s="11" t="n">
        <f aca="false">U27-U28</f>
        <v>-202156.305347783</v>
      </c>
      <c r="V29" s="11" t="n">
        <f aca="false">V27-V28</f>
        <v>-134326.690168175</v>
      </c>
      <c r="W29" s="11" t="n">
        <f aca="false">W27-W28</f>
        <v>-23245.8644897482</v>
      </c>
      <c r="X29" s="11" t="n">
        <f aca="false">X27-X28</f>
        <v>-5927.38057675972</v>
      </c>
      <c r="Y29" s="11" t="n">
        <f aca="false">Y27-Y28</f>
        <v>11616.7269210849</v>
      </c>
      <c r="Z29" s="11" t="n">
        <f aca="false">Z27-Z28</f>
        <v>29375.6940906103</v>
      </c>
      <c r="AA29" s="11" t="n">
        <f aca="false">AA27-AA28</f>
        <v>47339.8321820954</v>
      </c>
      <c r="AB29" s="11" t="n">
        <f aca="false">AB27-AB28</f>
        <v>65500.37059309</v>
      </c>
      <c r="AC29" s="11" t="n">
        <f aca="false">AC27-AC28</f>
        <v>83849.3292991156</v>
      </c>
      <c r="AD29" s="11" t="n">
        <f aca="false">AD27-AD28</f>
        <v>102379.414098553</v>
      </c>
      <c r="AE29" s="11" t="n">
        <f aca="false">AE27-AE28</f>
        <v>121083.929761742</v>
      </c>
      <c r="AF29" s="11" t="n">
        <f aca="false">AF27-AF28</f>
        <v>139956.707394981</v>
      </c>
      <c r="AG29" s="11" t="n">
        <f aca="false">AG27-AG28</f>
        <v>252992.043209683</v>
      </c>
      <c r="AH29" s="11" t="n">
        <f aca="false">AH27-AH28</f>
        <v>272184.646530548</v>
      </c>
      <c r="AI29" s="11" t="n">
        <f aca="false">AI27-AI28</f>
        <v>291529.595353983</v>
      </c>
      <c r="AJ29" s="11" t="n">
        <f aca="false">AJ27-AJ28</f>
        <v>311022.298126718</v>
      </c>
      <c r="AK29" s="11" t="n">
        <f aca="false">AK27-AK28</f>
        <v>330658.460687111</v>
      </c>
      <c r="AL29" s="11" t="n">
        <f aca="false">AL27-AL28</f>
        <v>350434.057521096</v>
      </c>
      <c r="AM29" s="11" t="n">
        <f aca="false">SUM(C29:N29)</f>
        <v>-6515986.0796624</v>
      </c>
      <c r="AN29" s="11" t="n">
        <f aca="false">SUM(O29:Z29)</f>
        <v>-1874679.79514995</v>
      </c>
      <c r="AO29" s="11" t="n">
        <f aca="false">SUM(AA29:AL29)</f>
        <v>2368930.68475872</v>
      </c>
      <c r="AP29" s="11" t="n">
        <f aca="false">SUM(C29:AL29)</f>
        <v>-6021735.19005363</v>
      </c>
    </row>
    <row r="30" customFormat="false" ht="15" hidden="false" customHeight="false" outlineLevel="0" collapsed="false">
      <c r="A30" s="1" t="s">
        <v>287</v>
      </c>
      <c r="B30" s="1" t="s">
        <v>288</v>
      </c>
      <c r="C30" s="11" t="n">
        <f aca="false">0+C29</f>
        <v>-630000</v>
      </c>
      <c r="D30" s="11" t="n">
        <f aca="false">C30+D29</f>
        <v>-1158806.68837522</v>
      </c>
      <c r="E30" s="11" t="n">
        <f aca="false">D30+E29</f>
        <v>-1889796.78842583</v>
      </c>
      <c r="F30" s="11" t="n">
        <f aca="false">E30+F29</f>
        <v>-2620338.69633055</v>
      </c>
      <c r="G30" s="11" t="n">
        <f aca="false">F30+G29</f>
        <v>-3349311.49917408</v>
      </c>
      <c r="H30" s="11" t="n">
        <f aca="false">G30+H29</f>
        <v>-4076071.79894959</v>
      </c>
      <c r="I30" s="11" t="n">
        <f aca="false">H30+I29</f>
        <v>-4544161.41042533</v>
      </c>
      <c r="J30" s="11" t="n">
        <f aca="false">I30+J29</f>
        <v>-5001459.00701616</v>
      </c>
      <c r="K30" s="11" t="n">
        <f aca="false">J30+K29</f>
        <v>-5446843.19001486</v>
      </c>
      <c r="L30" s="11" t="n">
        <f aca="false">K30+L29</f>
        <v>-5879486.59859295</v>
      </c>
      <c r="M30" s="11" t="n">
        <f aca="false">L30+M29</f>
        <v>-6204722.06579613</v>
      </c>
      <c r="N30" s="11" t="n">
        <f aca="false">M30+N29</f>
        <v>-6515986.0796624</v>
      </c>
      <c r="O30" s="11" t="n">
        <f aca="false">N30+O29</f>
        <v>-6812788.57931515</v>
      </c>
      <c r="P30" s="11" t="n">
        <f aca="false">O30+P29</f>
        <v>-7094694.63205469</v>
      </c>
      <c r="Q30" s="11" t="n">
        <f aca="false">P30+Q29</f>
        <v>-7361312.37594102</v>
      </c>
      <c r="R30" s="11" t="n">
        <f aca="false">Q30+R29</f>
        <v>-7612284.61902035</v>
      </c>
      <c r="S30" s="11" t="n">
        <f aca="false">R30+S29</f>
        <v>-7847282.73149378</v>
      </c>
      <c r="T30" s="11" t="n">
        <f aca="false">S30+T29</f>
        <v>-8066002.05524158</v>
      </c>
      <c r="U30" s="11" t="n">
        <f aca="false">T30+U29</f>
        <v>-8268158.36058936</v>
      </c>
      <c r="V30" s="11" t="n">
        <f aca="false">U30+V29</f>
        <v>-8402485.05075754</v>
      </c>
      <c r="W30" s="11" t="n">
        <f aca="false">V30+W29</f>
        <v>-8425730.91524729</v>
      </c>
      <c r="X30" s="11" t="n">
        <f aca="false">W30+X29</f>
        <v>-8431658.29582405</v>
      </c>
      <c r="Y30" s="11" t="n">
        <f aca="false">X30+Y29</f>
        <v>-8420041.56890296</v>
      </c>
      <c r="Z30" s="11" t="n">
        <f aca="false">Y30+Z29</f>
        <v>-8390665.87481235</v>
      </c>
      <c r="AA30" s="11" t="n">
        <f aca="false">Z30+AA29</f>
        <v>-8343326.04263025</v>
      </c>
      <c r="AB30" s="11" t="n">
        <f aca="false">AA30+AB29</f>
        <v>-8277825.67203717</v>
      </c>
      <c r="AC30" s="11" t="n">
        <f aca="false">AB30+AC29</f>
        <v>-8193976.34273805</v>
      </c>
      <c r="AD30" s="11" t="n">
        <f aca="false">AC30+AD29</f>
        <v>-8091596.9286395</v>
      </c>
      <c r="AE30" s="11" t="n">
        <f aca="false">AD30+AE29</f>
        <v>-7970512.99887775</v>
      </c>
      <c r="AF30" s="11" t="n">
        <f aca="false">AE30+AF29</f>
        <v>-7830556.29148277</v>
      </c>
      <c r="AG30" s="11" t="n">
        <f aca="false">AF30+AG29</f>
        <v>-7577564.24827309</v>
      </c>
      <c r="AH30" s="11" t="n">
        <f aca="false">AG30+AH29</f>
        <v>-7305379.60174254</v>
      </c>
      <c r="AI30" s="11" t="n">
        <f aca="false">AH30+AI29</f>
        <v>-7013850.00638856</v>
      </c>
      <c r="AJ30" s="11" t="n">
        <f aca="false">AI30+AJ29</f>
        <v>-6702827.70826184</v>
      </c>
      <c r="AK30" s="11" t="n">
        <f aca="false">AJ30+AK29</f>
        <v>-6372169.24757473</v>
      </c>
      <c r="AL30" s="11" t="n">
        <f aca="false">AK30+AL29</f>
        <v>-6021735.19005364</v>
      </c>
      <c r="AM30" s="11" t="n">
        <f aca="false">N30</f>
        <v>-6515986.0796624</v>
      </c>
      <c r="AN30" s="11" t="n">
        <f aca="false">Z30</f>
        <v>-8390665.87481235</v>
      </c>
      <c r="AO30" s="11" t="n">
        <f aca="false">AL30</f>
        <v>-6021735.19005364</v>
      </c>
      <c r="AP30" s="1"/>
    </row>
    <row r="31" customFormat="false" ht="15" hidden="false" customHeight="false" outlineLevel="0" collapsed="false">
      <c r="A31" s="0" t="s">
        <v>289</v>
      </c>
      <c r="B31" s="0" t="s">
        <v>290</v>
      </c>
      <c r="C31" s="0" t="n">
        <f aca="false">IF(AND(C27&gt;0,COUNTIF(C27:AL27,"&lt;=0")=0),C$19,99)</f>
        <v>99</v>
      </c>
      <c r="D31" s="0" t="n">
        <f aca="false">IF(AND(D27&gt;0,COUNTIF(D27:AL27,"&lt;=0")=0),D$19,99)</f>
        <v>99</v>
      </c>
      <c r="E31" s="0" t="n">
        <f aca="false">IF(AND(E27&gt;0,COUNTIF(E27:AL27,"&lt;=0")=0),E$19,99)</f>
        <v>99</v>
      </c>
      <c r="F31" s="0" t="n">
        <f aca="false">IF(AND(F27&gt;0,COUNTIF(F27:AL27,"&lt;=0")=0),F$19,99)</f>
        <v>99</v>
      </c>
      <c r="G31" s="0" t="n">
        <f aca="false">IF(AND(G27&gt;0,COUNTIF(G27:AL27,"&lt;=0")=0),G$19,99)</f>
        <v>99</v>
      </c>
      <c r="H31" s="0" t="n">
        <f aca="false">IF(AND(H27&gt;0,COUNTIF(H27:AL27,"&lt;=0")=0),H$19,99)</f>
        <v>99</v>
      </c>
      <c r="I31" s="0" t="n">
        <f aca="false">IF(AND(I27&gt;0,COUNTIF(I27:AL27,"&lt;=0")=0),I$19,99)</f>
        <v>99</v>
      </c>
      <c r="J31" s="0" t="n">
        <f aca="false">IF(AND(J27&gt;0,COUNTIF(J27:AL27,"&lt;=0")=0),J$19,99)</f>
        <v>99</v>
      </c>
      <c r="K31" s="0" t="n">
        <f aca="false">IF(AND(K27&gt;0,COUNTIF(K27:AL27,"&lt;=0")=0),K$19,99)</f>
        <v>99</v>
      </c>
      <c r="L31" s="0" t="n">
        <f aca="false">IF(AND(L27&gt;0,COUNTIF(L27:AL27,"&lt;=0")=0),L$19,99)</f>
        <v>99</v>
      </c>
      <c r="M31" s="0" t="n">
        <f aca="false">IF(AND(M27&gt;0,COUNTIF(M27:AL27,"&lt;=0")=0),M$19,99)</f>
        <v>99</v>
      </c>
      <c r="N31" s="0" t="n">
        <f aca="false">IF(AND(N27&gt;0,COUNTIF(N27:AL27,"&lt;=0")=0),N$19,99)</f>
        <v>99</v>
      </c>
      <c r="O31" s="0" t="n">
        <f aca="false">IF(AND(O27&gt;0,COUNTIF(O27:AL27,"&lt;=0")=0),O$19,99)</f>
        <v>99</v>
      </c>
      <c r="P31" s="0" t="n">
        <f aca="false">IF(AND(P27&gt;0,COUNTIF(P27:AL27,"&lt;=0")=0),P$19,99)</f>
        <v>99</v>
      </c>
      <c r="Q31" s="0" t="n">
        <f aca="false">IF(AND(Q27&gt;0,COUNTIF(Q27:AL27,"&lt;=0")=0),Q$19,99)</f>
        <v>99</v>
      </c>
      <c r="R31" s="0" t="n">
        <f aca="false">IF(AND(R27&gt;0,COUNTIF(R27:AL27,"&lt;=0")=0),R$19,99)</f>
        <v>99</v>
      </c>
      <c r="S31" s="0" t="n">
        <f aca="false">IF(AND(S27&gt;0,COUNTIF(S27:AL27,"&lt;=0")=0),S$19,99)</f>
        <v>99</v>
      </c>
      <c r="T31" s="0" t="n">
        <f aca="false">IF(AND(T27&gt;0,COUNTIF(T27:AL27,"&lt;=0")=0),T$19,99)</f>
        <v>99</v>
      </c>
      <c r="U31" s="0" t="n">
        <f aca="false">IF(AND(U27&gt;0,COUNTIF(U27:AL27,"&lt;=0")=0),U$19,99)</f>
        <v>99</v>
      </c>
      <c r="V31" s="0" t="n">
        <f aca="false">IF(AND(V27&gt;0,COUNTIF(V27:AL27,"&lt;=0")=0),V$19,99)</f>
        <v>99</v>
      </c>
      <c r="W31" s="0" t="n">
        <f aca="false">IF(AND(W27&gt;0,COUNTIF(W27:AL27,"&lt;=0")=0),W$19,99)</f>
        <v>99</v>
      </c>
      <c r="X31" s="0" t="n">
        <f aca="false">IF(AND(X27&gt;0,COUNTIF(X27:AL27,"&lt;=0")=0),X$19,99)</f>
        <v>99</v>
      </c>
      <c r="Y31" s="0" t="n">
        <f aca="false">IF(AND(Y27&gt;0,COUNTIF(Y27:AL27,"&lt;=0")=0),Y$19,99)</f>
        <v>23</v>
      </c>
      <c r="Z31" s="0" t="n">
        <f aca="false">IF(AND(Z27&gt;0,COUNTIF(Z27:AL27,"&lt;=0")=0),Z$19,99)</f>
        <v>24</v>
      </c>
      <c r="AA31" s="0" t="n">
        <f aca="false">IF(AND(AA27&gt;0,COUNTIF(AA27:AL27,"&lt;=0")=0),AA$19,99)</f>
        <v>25</v>
      </c>
      <c r="AB31" s="0" t="n">
        <f aca="false">IF(AND(AB27&gt;0,COUNTIF(AB27:AL27,"&lt;=0")=0),AB$19,99)</f>
        <v>26</v>
      </c>
      <c r="AC31" s="0" t="n">
        <f aca="false">IF(AND(AC27&gt;0,COUNTIF(AC27:AL27,"&lt;=0")=0),AC$19,99)</f>
        <v>27</v>
      </c>
      <c r="AD31" s="0" t="n">
        <f aca="false">IF(AND(AD27&gt;0,COUNTIF(AD27:AL27,"&lt;=0")=0),AD$19,99)</f>
        <v>28</v>
      </c>
      <c r="AE31" s="0" t="n">
        <f aca="false">IF(AND(AE27&gt;0,COUNTIF(AE27:AL27,"&lt;=0")=0),AE$19,99)</f>
        <v>29</v>
      </c>
      <c r="AF31" s="0" t="n">
        <f aca="false">IF(AND(AF27&gt;0,COUNTIF(AF27:AL27,"&lt;=0")=0),AF$19,99)</f>
        <v>30</v>
      </c>
      <c r="AG31" s="0" t="n">
        <f aca="false">IF(AND(AG27&gt;0,COUNTIF(AG27:AL27,"&lt;=0")=0),AG$19,99)</f>
        <v>31</v>
      </c>
      <c r="AH31" s="0" t="n">
        <f aca="false">IF(AND(AH27&gt;0,COUNTIF(AH27:AL27,"&lt;=0")=0),AH$19,99)</f>
        <v>32</v>
      </c>
      <c r="AI31" s="0" t="n">
        <f aca="false">IF(AND(AI27&gt;0,COUNTIF(AI27:AL27,"&lt;=0")=0),AI$19,99)</f>
        <v>33</v>
      </c>
      <c r="AJ31" s="0" t="n">
        <f aca="false">IF(AND(AJ27&gt;0,COUNTIF(AJ27:AL27,"&lt;=0")=0),AJ$19,99)</f>
        <v>34</v>
      </c>
      <c r="AK31" s="0" t="n">
        <f aca="false">IF(AND(AK27&gt;0,COUNTIF(AK27:AL27,"&lt;=0")=0),AK$19,99)</f>
        <v>35</v>
      </c>
      <c r="AL31" s="0" t="n">
        <f aca="false">IF(AND(AL27&gt;0,COUNTIF(AL27:AL27,"&lt;=0")=0),AL$19,99)</f>
        <v>36</v>
      </c>
    </row>
    <row r="32" customFormat="false" ht="15" hidden="false" customHeight="false" outlineLevel="0" collapsed="false">
      <c r="A32" s="0" t="s">
        <v>291</v>
      </c>
      <c r="B32" s="0" t="s">
        <v>292</v>
      </c>
      <c r="C32" s="0" t="n">
        <f aca="false">IF(AND(C30&gt;=0,COUNTIF(C30:AL30,"&lt;0")=0),C$19,99)</f>
        <v>99</v>
      </c>
      <c r="D32" s="0" t="n">
        <f aca="false">IF(AND(D30&gt;=0,COUNTIF(D30:AL30,"&lt;0")=0),D$19,99)</f>
        <v>99</v>
      </c>
      <c r="E32" s="0" t="n">
        <f aca="false">IF(AND(E30&gt;=0,COUNTIF(E30:AL30,"&lt;0")=0),E$19,99)</f>
        <v>99</v>
      </c>
      <c r="F32" s="0" t="n">
        <f aca="false">IF(AND(F30&gt;=0,COUNTIF(F30:AL30,"&lt;0")=0),F$19,99)</f>
        <v>99</v>
      </c>
      <c r="G32" s="0" t="n">
        <f aca="false">IF(AND(G30&gt;=0,COUNTIF(G30:AL30,"&lt;0")=0),G$19,99)</f>
        <v>99</v>
      </c>
      <c r="H32" s="0" t="n">
        <f aca="false">IF(AND(H30&gt;=0,COUNTIF(H30:AL30,"&lt;0")=0),H$19,99)</f>
        <v>99</v>
      </c>
      <c r="I32" s="0" t="n">
        <f aca="false">IF(AND(I30&gt;=0,COUNTIF(I30:AL30,"&lt;0")=0),I$19,99)</f>
        <v>99</v>
      </c>
      <c r="J32" s="0" t="n">
        <f aca="false">IF(AND(J30&gt;=0,COUNTIF(J30:AL30,"&lt;0")=0),J$19,99)</f>
        <v>99</v>
      </c>
      <c r="K32" s="0" t="n">
        <f aca="false">IF(AND(K30&gt;=0,COUNTIF(K30:AL30,"&lt;0")=0),K$19,99)</f>
        <v>99</v>
      </c>
      <c r="L32" s="0" t="n">
        <f aca="false">IF(AND(L30&gt;=0,COUNTIF(L30:AL30,"&lt;0")=0),L$19,99)</f>
        <v>99</v>
      </c>
      <c r="M32" s="0" t="n">
        <f aca="false">IF(AND(M30&gt;=0,COUNTIF(M30:AL30,"&lt;0")=0),M$19,99)</f>
        <v>99</v>
      </c>
      <c r="N32" s="0" t="n">
        <f aca="false">IF(AND(N30&gt;=0,COUNTIF(N30:AL30,"&lt;0")=0),N$19,99)</f>
        <v>99</v>
      </c>
      <c r="O32" s="0" t="n">
        <f aca="false">IF(AND(O30&gt;=0,COUNTIF(O30:AL30,"&lt;0")=0),O$19,99)</f>
        <v>99</v>
      </c>
      <c r="P32" s="0" t="n">
        <f aca="false">IF(AND(P30&gt;=0,COUNTIF(P30:AL30,"&lt;0")=0),P$19,99)</f>
        <v>99</v>
      </c>
      <c r="Q32" s="0" t="n">
        <f aca="false">IF(AND(Q30&gt;=0,COUNTIF(Q30:AL30,"&lt;0")=0),Q$19,99)</f>
        <v>99</v>
      </c>
      <c r="R32" s="0" t="n">
        <f aca="false">IF(AND(R30&gt;=0,COUNTIF(R30:AL30,"&lt;0")=0),R$19,99)</f>
        <v>99</v>
      </c>
      <c r="S32" s="0" t="n">
        <f aca="false">IF(AND(S30&gt;=0,COUNTIF(S30:AL30,"&lt;0")=0),S$19,99)</f>
        <v>99</v>
      </c>
      <c r="T32" s="0" t="n">
        <f aca="false">IF(AND(T30&gt;=0,COUNTIF(T30:AL30,"&lt;0")=0),T$19,99)</f>
        <v>99</v>
      </c>
      <c r="U32" s="0" t="n">
        <f aca="false">IF(AND(U30&gt;=0,COUNTIF(U30:AL30,"&lt;0")=0),U$19,99)</f>
        <v>99</v>
      </c>
      <c r="V32" s="0" t="n">
        <f aca="false">IF(AND(V30&gt;=0,COUNTIF(V30:AL30,"&lt;0")=0),V$19,99)</f>
        <v>99</v>
      </c>
      <c r="W32" s="0" t="n">
        <f aca="false">IF(AND(W30&gt;=0,COUNTIF(W30:AL30,"&lt;0")=0),W$19,99)</f>
        <v>99</v>
      </c>
      <c r="X32" s="0" t="n">
        <f aca="false">IF(AND(X30&gt;=0,COUNTIF(X30:AL30,"&lt;0")=0),X$19,99)</f>
        <v>99</v>
      </c>
      <c r="Y32" s="0" t="n">
        <f aca="false">IF(AND(Y30&gt;=0,COUNTIF(Y30:AL30,"&lt;0")=0),Y$19,99)</f>
        <v>99</v>
      </c>
      <c r="Z32" s="0" t="n">
        <f aca="false">IF(AND(Z30&gt;=0,COUNTIF(Z30:AL30,"&lt;0")=0),Z$19,99)</f>
        <v>99</v>
      </c>
      <c r="AA32" s="0" t="n">
        <f aca="false">IF(AND(AA30&gt;=0,COUNTIF(AA30:AL30,"&lt;0")=0),AA$19,99)</f>
        <v>99</v>
      </c>
      <c r="AB32" s="0" t="n">
        <f aca="false">IF(AND(AB30&gt;=0,COUNTIF(AB30:AL30,"&lt;0")=0),AB$19,99)</f>
        <v>99</v>
      </c>
      <c r="AC32" s="0" t="n">
        <f aca="false">IF(AND(AC30&gt;=0,COUNTIF(AC30:AL30,"&lt;0")=0),AC$19,99)</f>
        <v>99</v>
      </c>
      <c r="AD32" s="0" t="n">
        <f aca="false">IF(AND(AD30&gt;=0,COUNTIF(AD30:AL30,"&lt;0")=0),AD$19,99)</f>
        <v>99</v>
      </c>
      <c r="AE32" s="0" t="n">
        <f aca="false">IF(AND(AE30&gt;=0,COUNTIF(AE30:AL30,"&lt;0")=0),AE$19,99)</f>
        <v>99</v>
      </c>
      <c r="AF32" s="0" t="n">
        <f aca="false">IF(AND(AF30&gt;=0,COUNTIF(AF30:AL30,"&lt;0")=0),AF$19,99)</f>
        <v>99</v>
      </c>
      <c r="AG32" s="0" t="n">
        <f aca="false">IF(AND(AG30&gt;=0,COUNTIF(AG30:AL30,"&lt;0")=0),AG$19,99)</f>
        <v>99</v>
      </c>
      <c r="AH32" s="0" t="n">
        <f aca="false">IF(AND(AH30&gt;=0,COUNTIF(AH30:AL30,"&lt;0")=0),AH$19,99)</f>
        <v>99</v>
      </c>
      <c r="AI32" s="0" t="n">
        <f aca="false">IF(AND(AI30&gt;=0,COUNTIF(AI30:AL30,"&lt;0")=0),AI$19,99)</f>
        <v>99</v>
      </c>
      <c r="AJ32" s="0" t="n">
        <f aca="false">IF(AND(AJ30&gt;=0,COUNTIF(AJ30:AL30,"&lt;0")=0),AJ$19,99)</f>
        <v>99</v>
      </c>
      <c r="AK32" s="0" t="n">
        <f aca="false">IF(AND(AK30&gt;=0,COUNTIF(AK30:AL30,"&lt;0")=0),AK$19,99)</f>
        <v>99</v>
      </c>
      <c r="AL32" s="0" t="n">
        <f aca="false">IF(AND(AL30&gt;=0,COUNTIF(AL30:AL30,"&lt;0")=0),AL$19,99)</f>
        <v>99</v>
      </c>
    </row>
    <row r="34" customFormat="false" ht="15" hidden="false" customHeight="false" outlineLevel="0" collapsed="false">
      <c r="A34" s="1" t="s">
        <v>294</v>
      </c>
      <c r="B34" s="1" t="s">
        <v>252</v>
      </c>
      <c r="C34" s="1" t="n">
        <v>1</v>
      </c>
      <c r="D34" s="1" t="n">
        <v>2</v>
      </c>
      <c r="E34" s="1" t="n">
        <v>3</v>
      </c>
      <c r="F34" s="1" t="n">
        <v>4</v>
      </c>
      <c r="G34" s="1" t="n">
        <v>5</v>
      </c>
      <c r="H34" s="1" t="n">
        <v>6</v>
      </c>
      <c r="I34" s="1" t="n">
        <v>7</v>
      </c>
      <c r="J34" s="1" t="n">
        <v>8</v>
      </c>
      <c r="K34" s="1" t="n">
        <v>9</v>
      </c>
      <c r="L34" s="1" t="n">
        <v>10</v>
      </c>
      <c r="M34" s="1" t="n">
        <v>11</v>
      </c>
      <c r="N34" s="1" t="n">
        <v>12</v>
      </c>
      <c r="O34" s="1" t="n">
        <v>13</v>
      </c>
      <c r="P34" s="1" t="n">
        <v>14</v>
      </c>
      <c r="Q34" s="1" t="n">
        <v>15</v>
      </c>
      <c r="R34" s="1" t="n">
        <v>16</v>
      </c>
      <c r="S34" s="1" t="n">
        <v>17</v>
      </c>
      <c r="T34" s="1" t="n">
        <v>18</v>
      </c>
      <c r="U34" s="1" t="n">
        <v>19</v>
      </c>
      <c r="V34" s="1" t="n">
        <v>20</v>
      </c>
      <c r="W34" s="1" t="n">
        <v>21</v>
      </c>
      <c r="X34" s="1" t="n">
        <v>22</v>
      </c>
      <c r="Y34" s="1" t="n">
        <v>23</v>
      </c>
      <c r="Z34" s="1" t="n">
        <v>24</v>
      </c>
      <c r="AA34" s="1" t="n">
        <v>25</v>
      </c>
      <c r="AB34" s="1" t="n">
        <v>26</v>
      </c>
      <c r="AC34" s="1" t="n">
        <v>27</v>
      </c>
      <c r="AD34" s="1" t="n">
        <v>28</v>
      </c>
      <c r="AE34" s="1" t="n">
        <v>29</v>
      </c>
      <c r="AF34" s="1" t="n">
        <v>30</v>
      </c>
      <c r="AG34" s="1" t="n">
        <v>31</v>
      </c>
      <c r="AH34" s="1" t="n">
        <v>32</v>
      </c>
      <c r="AI34" s="1" t="n">
        <v>33</v>
      </c>
      <c r="AJ34" s="1" t="n">
        <v>34</v>
      </c>
      <c r="AK34" s="1" t="n">
        <v>35</v>
      </c>
      <c r="AL34" s="1" t="n">
        <v>36</v>
      </c>
      <c r="AM34" s="1" t="s">
        <v>253</v>
      </c>
      <c r="AN34" s="1" t="s">
        <v>254</v>
      </c>
      <c r="AO34" s="1" t="s">
        <v>255</v>
      </c>
      <c r="AP34" s="1" t="s">
        <v>256</v>
      </c>
    </row>
    <row r="35" customFormat="false" ht="15" hidden="false" customHeight="false" outlineLevel="0" collapsed="false">
      <c r="A35" s="0" t="s">
        <v>343</v>
      </c>
      <c r="B35" s="0" t="s">
        <v>344</v>
      </c>
      <c r="C35" s="10" t="n">
        <f aca="false">F_минимум!C41</f>
        <v>0</v>
      </c>
      <c r="D35" s="10" t="n">
        <f aca="false">F_минимум!D41</f>
        <v>349714.285714286</v>
      </c>
      <c r="E35" s="10" t="n">
        <f aca="false">F_минимум!E41</f>
        <v>699428.571428572</v>
      </c>
      <c r="F35" s="10" t="n">
        <f aca="false">F_минимум!F41</f>
        <v>1049142.85714286</v>
      </c>
      <c r="G35" s="10" t="n">
        <f aca="false">F_минимум!G41</f>
        <v>1398857.14285714</v>
      </c>
      <c r="H35" s="10" t="n">
        <f aca="false">F_минимум!H41</f>
        <v>1748571.42857143</v>
      </c>
      <c r="I35" s="10" t="n">
        <f aca="false">F_минимум!I41</f>
        <v>2098285.71428571</v>
      </c>
      <c r="J35" s="10" t="n">
        <f aca="false">F_минимум!J41</f>
        <v>2448000</v>
      </c>
      <c r="K35" s="10" t="n">
        <f aca="false">F_минимум!K41</f>
        <v>2797714.28571429</v>
      </c>
      <c r="L35" s="10" t="n">
        <f aca="false">F_минимум!L41</f>
        <v>3147428.57142857</v>
      </c>
      <c r="M35" s="10" t="n">
        <f aca="false">F_минимум!M41</f>
        <v>3497142.85714286</v>
      </c>
      <c r="N35" s="10" t="n">
        <f aca="false">F_минимум!N41</f>
        <v>3846857.14285714</v>
      </c>
      <c r="O35" s="10" t="n">
        <f aca="false">F_минимум!O41</f>
        <v>4196571.42857143</v>
      </c>
      <c r="P35" s="10" t="n">
        <f aca="false">F_минимум!P41</f>
        <v>4546285.71428572</v>
      </c>
      <c r="Q35" s="10" t="n">
        <f aca="false">F_минимум!Q41</f>
        <v>4896000</v>
      </c>
      <c r="R35" s="10" t="n">
        <f aca="false">F_минимум!R41</f>
        <v>5245714.28571429</v>
      </c>
      <c r="S35" s="10" t="n">
        <f aca="false">F_минимум!S41</f>
        <v>5595428.57142857</v>
      </c>
      <c r="T35" s="10" t="n">
        <f aca="false">F_минимум!T41</f>
        <v>5945142.85714286</v>
      </c>
      <c r="U35" s="10" t="n">
        <f aca="false">F_минимум!U41</f>
        <v>6294857.14285714</v>
      </c>
      <c r="V35" s="10" t="n">
        <f aca="false">F_минимум!V41</f>
        <v>6644571.42857143</v>
      </c>
      <c r="W35" s="10" t="n">
        <f aca="false">F_минимум!W41</f>
        <v>6994285.71428571</v>
      </c>
      <c r="X35" s="10" t="n">
        <f aca="false">F_минимум!X41</f>
        <v>7344000</v>
      </c>
      <c r="Y35" s="10" t="n">
        <f aca="false">F_минимум!Y41</f>
        <v>7693714.28571429</v>
      </c>
      <c r="Z35" s="10" t="n">
        <f aca="false">F_минимум!Z41</f>
        <v>8043428.57142857</v>
      </c>
      <c r="AA35" s="10" t="n">
        <f aca="false">F_минимум!AA41</f>
        <v>8393142.85714286</v>
      </c>
      <c r="AB35" s="10" t="n">
        <f aca="false">F_минимум!AB41</f>
        <v>8742857.14285714</v>
      </c>
      <c r="AC35" s="10" t="n">
        <f aca="false">F_минимум!AC41</f>
        <v>9092571.42857143</v>
      </c>
      <c r="AD35" s="10" t="n">
        <f aca="false">F_минимум!AD41</f>
        <v>9442285.71428572</v>
      </c>
      <c r="AE35" s="10" t="n">
        <f aca="false">F_минимум!AE41</f>
        <v>9792000</v>
      </c>
      <c r="AF35" s="10" t="n">
        <f aca="false">F_минимум!AF41</f>
        <v>10141714.2857143</v>
      </c>
      <c r="AG35" s="10" t="n">
        <f aca="false">F_минимум!AG41</f>
        <v>10491428.5714286</v>
      </c>
      <c r="AH35" s="10" t="n">
        <f aca="false">F_минимум!AH41</f>
        <v>10841142.8571429</v>
      </c>
      <c r="AI35" s="10" t="n">
        <f aca="false">F_минимум!AI41</f>
        <v>11190857.1428571</v>
      </c>
      <c r="AJ35" s="10" t="n">
        <f aca="false">F_минимум!AJ41</f>
        <v>11540571.4285714</v>
      </c>
      <c r="AK35" s="10" t="n">
        <f aca="false">F_минимум!AK41</f>
        <v>11890285.7142857</v>
      </c>
      <c r="AL35" s="10" t="n">
        <f aca="false">F_минимум!AL41</f>
        <v>12240000</v>
      </c>
      <c r="AM35" s="10" t="n">
        <f aca="false">SUM(C35:N35)</f>
        <v>23081142.8571429</v>
      </c>
      <c r="AN35" s="10" t="n">
        <f aca="false">SUM(O35:Z35)</f>
        <v>73440000</v>
      </c>
      <c r="AO35" s="10" t="n">
        <f aca="false">SUM(AA35:AL35)</f>
        <v>123798857.142857</v>
      </c>
      <c r="AP35" s="10" t="n">
        <f aca="false">SUM(C35:AL35)</f>
        <v>220320000</v>
      </c>
    </row>
    <row r="36" customFormat="false" ht="15" hidden="false" customHeight="false" outlineLevel="0" collapsed="false">
      <c r="A36" s="0" t="s">
        <v>345</v>
      </c>
      <c r="B36" s="0" t="s">
        <v>346</v>
      </c>
      <c r="C36" s="10" t="n">
        <f aca="false">C_обучение_профи!C38</f>
        <v>0</v>
      </c>
      <c r="D36" s="10" t="n">
        <f aca="false">C_обучение_профи!D38</f>
        <v>0</v>
      </c>
      <c r="E36" s="10" t="n">
        <f aca="false">C_обучение_профи!E38</f>
        <v>0</v>
      </c>
      <c r="F36" s="10" t="n">
        <f aca="false">C_обучение_профи!F38</f>
        <v>0</v>
      </c>
      <c r="G36" s="10" t="n">
        <f aca="false">C_обучение_профи!G38</f>
        <v>101250</v>
      </c>
      <c r="H36" s="10" t="n">
        <f aca="false">C_обучение_профи!H38</f>
        <v>202500</v>
      </c>
      <c r="I36" s="10" t="n">
        <f aca="false">C_обучение_профи!I38</f>
        <v>303750</v>
      </c>
      <c r="J36" s="10" t="n">
        <f aca="false">C_обучение_профи!J38</f>
        <v>405000</v>
      </c>
      <c r="K36" s="10" t="n">
        <f aca="false">C_обучение_профи!K38</f>
        <v>506250</v>
      </c>
      <c r="L36" s="10" t="n">
        <f aca="false">C_обучение_профи!L38</f>
        <v>607500</v>
      </c>
      <c r="M36" s="10" t="n">
        <f aca="false">C_обучение_профи!M38</f>
        <v>708750</v>
      </c>
      <c r="N36" s="10" t="n">
        <f aca="false">C_обучение_профи!N38</f>
        <v>810000</v>
      </c>
      <c r="O36" s="10" t="n">
        <f aca="false">C_обучение_профи!O38</f>
        <v>911250</v>
      </c>
      <c r="P36" s="10" t="n">
        <f aca="false">C_обучение_профи!P38</f>
        <v>1012500</v>
      </c>
      <c r="Q36" s="10" t="n">
        <f aca="false">C_обучение_профи!Q38</f>
        <v>1113750</v>
      </c>
      <c r="R36" s="10" t="n">
        <f aca="false">C_обучение_профи!R38</f>
        <v>1215000</v>
      </c>
      <c r="S36" s="10" t="n">
        <f aca="false">C_обучение_профи!S38</f>
        <v>1316250</v>
      </c>
      <c r="T36" s="10" t="n">
        <f aca="false">C_обучение_профи!T38</f>
        <v>1417500</v>
      </c>
      <c r="U36" s="10" t="n">
        <f aca="false">C_обучение_профи!U38</f>
        <v>1518750</v>
      </c>
      <c r="V36" s="10" t="n">
        <f aca="false">C_обучение_профи!V38</f>
        <v>1620000</v>
      </c>
      <c r="W36" s="10" t="n">
        <f aca="false">C_обучение_профи!W38</f>
        <v>1721250</v>
      </c>
      <c r="X36" s="10" t="n">
        <f aca="false">C_обучение_профи!X38</f>
        <v>1822500</v>
      </c>
      <c r="Y36" s="10" t="n">
        <f aca="false">C_обучение_профи!Y38</f>
        <v>1923750</v>
      </c>
      <c r="Z36" s="10" t="n">
        <f aca="false">C_обучение_профи!Z38</f>
        <v>2025000</v>
      </c>
      <c r="AA36" s="10" t="n">
        <f aca="false">C_обучение_профи!AA38</f>
        <v>2126250</v>
      </c>
      <c r="AB36" s="10" t="n">
        <f aca="false">C_обучение_профи!AB38</f>
        <v>2227500</v>
      </c>
      <c r="AC36" s="10" t="n">
        <f aca="false">C_обучение_профи!AC38</f>
        <v>2328750</v>
      </c>
      <c r="AD36" s="10" t="n">
        <f aca="false">C_обучение_профи!AD38</f>
        <v>2430000</v>
      </c>
      <c r="AE36" s="10" t="n">
        <f aca="false">C_обучение_профи!AE38</f>
        <v>2531250</v>
      </c>
      <c r="AF36" s="10" t="n">
        <f aca="false">C_обучение_профи!AF38</f>
        <v>2632500</v>
      </c>
      <c r="AG36" s="10" t="n">
        <f aca="false">C_обучение_профи!AG38</f>
        <v>2733750</v>
      </c>
      <c r="AH36" s="10" t="n">
        <f aca="false">C_обучение_профи!AH38</f>
        <v>2835000</v>
      </c>
      <c r="AI36" s="10" t="n">
        <f aca="false">C_обучение_профи!AI38</f>
        <v>2936250</v>
      </c>
      <c r="AJ36" s="10" t="n">
        <f aca="false">C_обучение_профи!AJ38</f>
        <v>3037500</v>
      </c>
      <c r="AK36" s="10" t="n">
        <f aca="false">C_обучение_профи!AK38</f>
        <v>3138750</v>
      </c>
      <c r="AL36" s="10" t="n">
        <f aca="false">C_обучение_профи!AL38</f>
        <v>3240000</v>
      </c>
      <c r="AM36" s="10" t="n">
        <f aca="false">SUM(C36:N36)</f>
        <v>3645000</v>
      </c>
      <c r="AN36" s="10" t="n">
        <f aca="false">SUM(O36:Z36)</f>
        <v>17617500</v>
      </c>
      <c r="AO36" s="10" t="n">
        <f aca="false">SUM(AA36:AL36)</f>
        <v>32197500</v>
      </c>
      <c r="AP36" s="10" t="n">
        <f aca="false">SUM(C36:AL36)</f>
        <v>53460000</v>
      </c>
    </row>
    <row r="37" customFormat="false" ht="15" hidden="false" customHeight="false" outlineLevel="0" collapsed="false">
      <c r="A37" s="0" t="s">
        <v>347</v>
      </c>
      <c r="B37" s="0" t="s">
        <v>348</v>
      </c>
      <c r="C37" s="10" t="n">
        <f aca="false">E_B2B!C35</f>
        <v>0</v>
      </c>
      <c r="D37" s="10" t="n">
        <f aca="false">E_B2B!D35</f>
        <v>200000</v>
      </c>
      <c r="E37" s="10" t="n">
        <f aca="false">E_B2B!E35</f>
        <v>200000</v>
      </c>
      <c r="F37" s="10" t="n">
        <f aca="false">E_B2B!F35</f>
        <v>200000</v>
      </c>
      <c r="G37" s="10" t="n">
        <f aca="false">E_B2B!G35</f>
        <v>200000</v>
      </c>
      <c r="H37" s="10" t="n">
        <f aca="false">E_B2B!H35</f>
        <v>200000</v>
      </c>
      <c r="I37" s="10" t="n">
        <f aca="false">E_B2B!I35</f>
        <v>366666.666666667</v>
      </c>
      <c r="J37" s="10" t="n">
        <f aca="false">E_B2B!J35</f>
        <v>366666.666666667</v>
      </c>
      <c r="K37" s="10" t="n">
        <f aca="false">E_B2B!K35</f>
        <v>366666.666666667</v>
      </c>
      <c r="L37" s="10" t="n">
        <f aca="false">E_B2B!L35</f>
        <v>566666.666666667</v>
      </c>
      <c r="M37" s="10" t="n">
        <f aca="false">E_B2B!M35</f>
        <v>566666.666666667</v>
      </c>
      <c r="N37" s="10" t="n">
        <f aca="false">E_B2B!N35</f>
        <v>733333.333333333</v>
      </c>
      <c r="O37" s="10" t="n">
        <f aca="false">E_B2B!O35</f>
        <v>733333.333333333</v>
      </c>
      <c r="P37" s="10" t="n">
        <f aca="false">E_B2B!P35</f>
        <v>733333.333333333</v>
      </c>
      <c r="Q37" s="10" t="n">
        <f aca="false">E_B2B!Q35</f>
        <v>733333.333333333</v>
      </c>
      <c r="R37" s="10" t="n">
        <f aca="false">E_B2B!R35</f>
        <v>733333.333333333</v>
      </c>
      <c r="S37" s="10" t="n">
        <f aca="false">E_B2B!S35</f>
        <v>733333.333333333</v>
      </c>
      <c r="T37" s="10" t="n">
        <f aca="false">E_B2B!T35</f>
        <v>900000</v>
      </c>
      <c r="U37" s="10" t="n">
        <f aca="false">E_B2B!U35</f>
        <v>1100000</v>
      </c>
      <c r="V37" s="10" t="n">
        <f aca="false">E_B2B!V35</f>
        <v>1100000</v>
      </c>
      <c r="W37" s="10" t="n">
        <f aca="false">E_B2B!W35</f>
        <v>1100000</v>
      </c>
      <c r="X37" s="10" t="n">
        <f aca="false">E_B2B!X35</f>
        <v>1100000</v>
      </c>
      <c r="Y37" s="10" t="n">
        <f aca="false">E_B2B!Y35</f>
        <v>1266666.66666667</v>
      </c>
      <c r="Z37" s="10" t="n">
        <f aca="false">E_B2B!Z35</f>
        <v>1266666.66666667</v>
      </c>
      <c r="AA37" s="10" t="n">
        <f aca="false">E_B2B!AA35</f>
        <v>1266666.66666667</v>
      </c>
      <c r="AB37" s="10" t="n">
        <f aca="false">E_B2B!AB35</f>
        <v>1266666.66666667</v>
      </c>
      <c r="AC37" s="10" t="n">
        <f aca="false">E_B2B!AC35</f>
        <v>1266666.66666667</v>
      </c>
      <c r="AD37" s="10" t="n">
        <f aca="false">E_B2B!AD35</f>
        <v>1633333.33333333</v>
      </c>
      <c r="AE37" s="10" t="n">
        <f aca="false">E_B2B!AE35</f>
        <v>1633333.33333333</v>
      </c>
      <c r="AF37" s="10" t="n">
        <f aca="false">E_B2B!AF35</f>
        <v>1633333.33333333</v>
      </c>
      <c r="AG37" s="10" t="n">
        <f aca="false">E_B2B!AG35</f>
        <v>1633333.33333333</v>
      </c>
      <c r="AH37" s="10" t="n">
        <f aca="false">E_B2B!AH35</f>
        <v>1633333.33333333</v>
      </c>
      <c r="AI37" s="10" t="n">
        <f aca="false">E_B2B!AI35</f>
        <v>1633333.33333333</v>
      </c>
      <c r="AJ37" s="10" t="n">
        <f aca="false">E_B2B!AJ35</f>
        <v>1800000</v>
      </c>
      <c r="AK37" s="10" t="n">
        <f aca="false">E_B2B!AK35</f>
        <v>1800000</v>
      </c>
      <c r="AL37" s="10" t="n">
        <f aca="false">E_B2B!AL35</f>
        <v>1800000</v>
      </c>
      <c r="AM37" s="10" t="n">
        <f aca="false">SUM(C37:N37)</f>
        <v>3966666.66666667</v>
      </c>
      <c r="AN37" s="10" t="n">
        <f aca="false">SUM(O37:Z37)</f>
        <v>11500000</v>
      </c>
      <c r="AO37" s="10" t="n">
        <f aca="false">SUM(AA37:AL37)</f>
        <v>19000000</v>
      </c>
      <c r="AP37" s="10" t="n">
        <f aca="false">SUM(C37:AL37)</f>
        <v>34466666.6666667</v>
      </c>
    </row>
    <row r="38" customFormat="false" ht="15" hidden="false" customHeight="false" outlineLevel="0" collapsed="false">
      <c r="A38" s="0" t="s">
        <v>267</v>
      </c>
      <c r="B38" s="0" t="s">
        <v>349</v>
      </c>
      <c r="C38" s="10" t="n">
        <f aca="false">C36+C37+C35*Допущения!$E$5</f>
        <v>0</v>
      </c>
      <c r="D38" s="10" t="n">
        <f aca="false">D36+D37+D35*Допущения!$E$5</f>
        <v>262948.571428571</v>
      </c>
      <c r="E38" s="10" t="n">
        <f aca="false">E36+E37+E35*Допущения!$E$5</f>
        <v>325897.142857143</v>
      </c>
      <c r="F38" s="10" t="n">
        <f aca="false">F36+F37+F35*Допущения!$E$5</f>
        <v>388845.714285714</v>
      </c>
      <c r="G38" s="10" t="n">
        <f aca="false">G36+G37+G35*Допущения!$E$5</f>
        <v>553044.285714286</v>
      </c>
      <c r="H38" s="10" t="n">
        <f aca="false">H36+H37+H35*Допущения!$E$5</f>
        <v>717242.857142857</v>
      </c>
      <c r="I38" s="10" t="n">
        <f aca="false">I36+I37+I35*Допущения!$E$5</f>
        <v>1048108.0952381</v>
      </c>
      <c r="J38" s="10" t="n">
        <f aca="false">J36+J37+J35*Допущения!$E$5</f>
        <v>1212306.66666667</v>
      </c>
      <c r="K38" s="10" t="n">
        <f aca="false">K36+K37+K35*Допущения!$E$5</f>
        <v>1376505.23809524</v>
      </c>
      <c r="L38" s="10" t="n">
        <f aca="false">L36+L37+L35*Допущения!$E$5</f>
        <v>1740703.80952381</v>
      </c>
      <c r="M38" s="10" t="n">
        <f aca="false">M36+M37+M35*Допущения!$E$5</f>
        <v>1904902.38095238</v>
      </c>
      <c r="N38" s="10" t="n">
        <f aca="false">N36+N37+N35*Допущения!$E$5</f>
        <v>2235767.61904762</v>
      </c>
      <c r="O38" s="10" t="n">
        <f aca="false">O36+O37+O35*Допущения!$E$5</f>
        <v>2399966.19047619</v>
      </c>
      <c r="P38" s="10" t="n">
        <f aca="false">P36+P37+P35*Допущения!$E$5</f>
        <v>2564164.76190476</v>
      </c>
      <c r="Q38" s="10" t="n">
        <f aca="false">Q36+Q37+Q35*Допущения!$E$5</f>
        <v>2728363.33333333</v>
      </c>
      <c r="R38" s="10" t="n">
        <f aca="false">R36+R37+R35*Допущения!$E$5</f>
        <v>2892561.90476191</v>
      </c>
      <c r="S38" s="10" t="n">
        <f aca="false">S36+S37+S35*Допущения!$E$5</f>
        <v>3056760.47619048</v>
      </c>
      <c r="T38" s="10" t="n">
        <f aca="false">T36+T37+T35*Допущения!$E$5</f>
        <v>3387625.71428571</v>
      </c>
      <c r="U38" s="10" t="n">
        <f aca="false">U36+U37+U35*Допущения!$E$5</f>
        <v>3751824.28571429</v>
      </c>
      <c r="V38" s="10" t="n">
        <f aca="false">V36+V37+V35*Допущения!$E$5</f>
        <v>3916022.85714286</v>
      </c>
      <c r="W38" s="10" t="n">
        <f aca="false">W36+W37+W35*Допущения!$E$5</f>
        <v>4080221.42857143</v>
      </c>
      <c r="X38" s="10" t="n">
        <f aca="false">X36+X37+X35*Допущения!$E$5</f>
        <v>4244420</v>
      </c>
      <c r="Y38" s="10" t="n">
        <f aca="false">Y36+Y37+Y35*Допущения!$E$5</f>
        <v>4575285.23809524</v>
      </c>
      <c r="Z38" s="10" t="n">
        <f aca="false">Z36+Z37+Z35*Допущения!$E$5</f>
        <v>4739483.80952381</v>
      </c>
      <c r="AA38" s="10" t="n">
        <f aca="false">AA36+AA37+AA35*Допущения!$E$5</f>
        <v>4903682.38095238</v>
      </c>
      <c r="AB38" s="10" t="n">
        <f aca="false">AB36+AB37+AB35*Допущения!$E$5</f>
        <v>5067880.95238095</v>
      </c>
      <c r="AC38" s="10" t="n">
        <f aca="false">AC36+AC37+AC35*Допущения!$E$5</f>
        <v>5232079.52380952</v>
      </c>
      <c r="AD38" s="10" t="n">
        <f aca="false">AD36+AD37+AD35*Допущения!$E$5</f>
        <v>5762944.76190476</v>
      </c>
      <c r="AE38" s="10" t="n">
        <f aca="false">AE36+AE37+AE35*Допущения!$E$5</f>
        <v>5927143.33333333</v>
      </c>
      <c r="AF38" s="10" t="n">
        <f aca="false">AF36+AF37+AF35*Допущения!$E$5</f>
        <v>6091341.90476191</v>
      </c>
      <c r="AG38" s="10" t="n">
        <f aca="false">AG36+AG37+AG35*Допущения!$E$5</f>
        <v>6255540.47619048</v>
      </c>
      <c r="AH38" s="10" t="n">
        <f aca="false">AH36+AH37+AH35*Допущения!$E$5</f>
        <v>6419739.04761905</v>
      </c>
      <c r="AI38" s="10" t="n">
        <f aca="false">AI36+AI37+AI35*Допущения!$E$5</f>
        <v>6583937.61904762</v>
      </c>
      <c r="AJ38" s="10" t="n">
        <f aca="false">AJ36+AJ37+AJ35*Допущения!$E$5</f>
        <v>6914802.85714286</v>
      </c>
      <c r="AK38" s="10" t="n">
        <f aca="false">AK36+AK37+AK35*Допущения!$E$5</f>
        <v>7079001.42857143</v>
      </c>
      <c r="AL38" s="10" t="n">
        <f aca="false">AL36+AL37+AL35*Допущения!$E$5</f>
        <v>7243200</v>
      </c>
      <c r="AM38" s="10" t="n">
        <f aca="false">SUM(C38:N38)</f>
        <v>11766272.3809524</v>
      </c>
      <c r="AN38" s="10" t="n">
        <f aca="false">SUM(O38:Z38)</f>
        <v>42336700</v>
      </c>
      <c r="AO38" s="10" t="n">
        <f aca="false">SUM(AA38:AL38)</f>
        <v>73481294.2857143</v>
      </c>
      <c r="AP38" s="10" t="n">
        <f aca="false">SUM(C38:AL38)</f>
        <v>127584266.666667</v>
      </c>
    </row>
    <row r="39" customFormat="false" ht="15" hidden="false" customHeight="false" outlineLevel="0" collapsed="false">
      <c r="A39" s="0" t="s">
        <v>275</v>
      </c>
      <c r="B39" s="0" t="s">
        <v>350</v>
      </c>
      <c r="C39" s="10" t="n">
        <f aca="false">F_минимум!C42+C_обучение_профи!C39+E_B2B!C36</f>
        <v>0</v>
      </c>
      <c r="D39" s="10" t="n">
        <f aca="false">F_минимум!D42+C_обучение_профи!D39+E_B2B!D36</f>
        <v>141462.857142857</v>
      </c>
      <c r="E39" s="10" t="n">
        <f aca="false">F_минимум!E42+C_обучение_профи!E39+E_B2B!E36</f>
        <v>204925.714285714</v>
      </c>
      <c r="F39" s="10" t="n">
        <f aca="false">F_минимум!F42+C_обучение_профи!F39+E_B2B!F36</f>
        <v>268388.571428571</v>
      </c>
      <c r="G39" s="10" t="n">
        <f aca="false">F_минимум!G42+C_обучение_профи!G39+E_B2B!G36</f>
        <v>427026.428571429</v>
      </c>
      <c r="H39" s="10" t="n">
        <f aca="false">F_минимум!H42+C_обучение_профи!H39+E_B2B!H36</f>
        <v>585664.285714286</v>
      </c>
      <c r="I39" s="10" t="n">
        <f aca="false">F_минимум!I42+C_обучение_профи!I39+E_B2B!I36</f>
        <v>900968.80952381</v>
      </c>
      <c r="J39" s="10" t="n">
        <f aca="false">F_минимум!J42+C_обучение_профи!J39+E_B2B!J36</f>
        <v>1059606.66666667</v>
      </c>
      <c r="K39" s="10" t="n">
        <f aca="false">F_минимум!K42+C_обучение_профи!K39+E_B2B!K36</f>
        <v>1218244.52380952</v>
      </c>
      <c r="L39" s="10" t="n">
        <f aca="false">F_минимум!L42+C_обучение_профи!L39+E_B2B!L36</f>
        <v>1454882.38095238</v>
      </c>
      <c r="M39" s="10" t="n">
        <f aca="false">F_минимум!M42+C_обучение_профи!M39+E_B2B!M36</f>
        <v>1613520.23809524</v>
      </c>
      <c r="N39" s="10" t="n">
        <f aca="false">F_минимум!N42+C_обучение_профи!N39+E_B2B!N36</f>
        <v>1928824.76190476</v>
      </c>
      <c r="O39" s="10" t="n">
        <f aca="false">F_минимум!O42+C_обучение_профи!O39+E_B2B!O36</f>
        <v>2087462.61904762</v>
      </c>
      <c r="P39" s="10" t="n">
        <f aca="false">F_минимум!P42+C_обучение_профи!P39+E_B2B!P36</f>
        <v>2246100.47619048</v>
      </c>
      <c r="Q39" s="10" t="n">
        <f aca="false">F_минимум!Q42+C_обучение_профи!Q39+E_B2B!Q36</f>
        <v>2404738.33333333</v>
      </c>
      <c r="R39" s="10" t="n">
        <f aca="false">F_минимум!R42+C_обучение_профи!R39+E_B2B!R36</f>
        <v>2563376.19047619</v>
      </c>
      <c r="S39" s="10" t="n">
        <f aca="false">F_минимум!S42+C_обучение_профи!S39+E_B2B!S36</f>
        <v>2722014.04761905</v>
      </c>
      <c r="T39" s="10" t="n">
        <f aca="false">F_минимум!T42+C_обучение_профи!T39+E_B2B!T36</f>
        <v>3037318.57142857</v>
      </c>
      <c r="U39" s="10" t="n">
        <f aca="false">F_минимум!U42+C_обучение_профи!U39+E_B2B!U36</f>
        <v>3273956.42857143</v>
      </c>
      <c r="V39" s="10" t="n">
        <f aca="false">F_минимум!V42+C_обучение_профи!V39+E_B2B!V36</f>
        <v>3432594.28571429</v>
      </c>
      <c r="W39" s="10" t="n">
        <f aca="false">F_минимум!W42+C_обучение_профи!W39+E_B2B!W36</f>
        <v>3591232.14285714</v>
      </c>
      <c r="X39" s="10" t="n">
        <f aca="false">F_минимум!X42+C_обучение_профи!X39+E_B2B!X36</f>
        <v>3749870</v>
      </c>
      <c r="Y39" s="10" t="n">
        <f aca="false">F_минимум!Y42+C_обучение_профи!Y39+E_B2B!Y36</f>
        <v>4065174.52380952</v>
      </c>
      <c r="Z39" s="10" t="n">
        <f aca="false">F_минимум!Z42+C_обучение_профи!Z39+E_B2B!Z36</f>
        <v>4223812.38095238</v>
      </c>
      <c r="AA39" s="10" t="n">
        <f aca="false">F_минимум!AA42+C_обучение_профи!AA39+E_B2B!AA36</f>
        <v>4382450.23809524</v>
      </c>
      <c r="AB39" s="10" t="n">
        <f aca="false">F_минимум!AB42+C_обучение_профи!AB39+E_B2B!AB36</f>
        <v>4541088.0952381</v>
      </c>
      <c r="AC39" s="10" t="n">
        <f aca="false">F_минимум!AC42+C_обучение_профи!AC39+E_B2B!AC36</f>
        <v>4699725.95238095</v>
      </c>
      <c r="AD39" s="10" t="n">
        <f aca="false">F_минимум!AD42+C_обучение_профи!AD39+E_B2B!AD36</f>
        <v>5093030.47619048</v>
      </c>
      <c r="AE39" s="10" t="n">
        <f aca="false">F_минимум!AE42+C_обучение_профи!AE39+E_B2B!AE36</f>
        <v>5251668.33333333</v>
      </c>
      <c r="AF39" s="10" t="n">
        <f aca="false">F_минимум!AF42+C_обучение_профи!AF39+E_B2B!AF36</f>
        <v>5410306.19047619</v>
      </c>
      <c r="AG39" s="10" t="n">
        <f aca="false">F_минимум!AG42+C_обучение_профи!AG39+E_B2B!AG36</f>
        <v>5568944.04761905</v>
      </c>
      <c r="AH39" s="10" t="n">
        <f aca="false">F_минимум!AH42+C_обучение_профи!AH39+E_B2B!AH36</f>
        <v>5727581.90476191</v>
      </c>
      <c r="AI39" s="10" t="n">
        <f aca="false">F_минимум!AI42+C_обучение_профи!AI39+E_B2B!AI36</f>
        <v>5886219.76190476</v>
      </c>
      <c r="AJ39" s="10" t="n">
        <f aca="false">F_минимум!AJ42+C_обучение_профи!AJ39+E_B2B!AJ36</f>
        <v>6201524.28571429</v>
      </c>
      <c r="AK39" s="10" t="n">
        <f aca="false">F_минимум!AK42+C_обучение_профи!AK39+E_B2B!AK36</f>
        <v>6360162.14285714</v>
      </c>
      <c r="AL39" s="10" t="n">
        <f aca="false">F_минимум!AL42+C_обучение_профи!AL39+E_B2B!AL36</f>
        <v>6518800</v>
      </c>
      <c r="AM39" s="10" t="n">
        <f aca="false">SUM(C39:N39)</f>
        <v>9803515.23809524</v>
      </c>
      <c r="AN39" s="10" t="n">
        <f aca="false">SUM(O39:Z39)</f>
        <v>37397650</v>
      </c>
      <c r="AO39" s="10" t="n">
        <f aca="false">SUM(AA39:AL39)</f>
        <v>65641501.4285714</v>
      </c>
      <c r="AP39" s="10" t="n">
        <f aca="false">SUM(C39:AL39)</f>
        <v>112842666.666667</v>
      </c>
    </row>
    <row r="40" customFormat="false" ht="15" hidden="false" customHeight="false" outlineLevel="0" collapsed="false">
      <c r="A40" s="0" t="s">
        <v>277</v>
      </c>
      <c r="B40" s="0" t="s">
        <v>351</v>
      </c>
      <c r="C40" s="10" t="n">
        <f aca="false">F_минимум!C43+C_обучение_профи!C40</f>
        <v>0</v>
      </c>
      <c r="D40" s="10" t="n">
        <f aca="false">F_минимум!D43+C_обучение_профи!D40</f>
        <v>51428.5714285714</v>
      </c>
      <c r="E40" s="10" t="n">
        <f aca="false">F_минимум!E43+C_обучение_профи!E40</f>
        <v>51428.5714285714</v>
      </c>
      <c r="F40" s="10" t="n">
        <f aca="false">F_минимум!F43+C_обучение_профи!F40</f>
        <v>51428.5714285714</v>
      </c>
      <c r="G40" s="10" t="n">
        <f aca="false">F_минимум!G43+C_обучение_профи!G40</f>
        <v>76741.0714285714</v>
      </c>
      <c r="H40" s="10" t="n">
        <f aca="false">F_минимум!H43+C_обучение_профи!H40</f>
        <v>102053.571428571</v>
      </c>
      <c r="I40" s="10" t="n">
        <f aca="false">F_минимум!I43+C_обучение_профи!I40</f>
        <v>127366.071428571</v>
      </c>
      <c r="J40" s="10" t="n">
        <f aca="false">F_минимум!J43+C_обучение_профи!J40</f>
        <v>152678.571428571</v>
      </c>
      <c r="K40" s="10" t="n">
        <f aca="false">F_минимум!K43+C_обучение_профи!K40</f>
        <v>177991.071428571</v>
      </c>
      <c r="L40" s="10" t="n">
        <f aca="false">F_минимум!L43+C_обучение_профи!L40</f>
        <v>203303.571428571</v>
      </c>
      <c r="M40" s="10" t="n">
        <f aca="false">F_минимум!M43+C_обучение_профи!M40</f>
        <v>228616.071428571</v>
      </c>
      <c r="N40" s="10" t="n">
        <f aca="false">F_минимум!N43+C_обучение_профи!N40</f>
        <v>253928.571428571</v>
      </c>
      <c r="O40" s="10" t="n">
        <f aca="false">F_минимум!O43+C_обучение_профи!O40</f>
        <v>279241.071428572</v>
      </c>
      <c r="P40" s="10" t="n">
        <f aca="false">F_минимум!P43+C_обучение_профи!P40</f>
        <v>304553.571428571</v>
      </c>
      <c r="Q40" s="10" t="n">
        <f aca="false">F_минимум!Q43+C_обучение_профи!Q40</f>
        <v>329866.071428571</v>
      </c>
      <c r="R40" s="10" t="n">
        <f aca="false">F_минимум!R43+C_обучение_профи!R40</f>
        <v>355178.571428571</v>
      </c>
      <c r="S40" s="10" t="n">
        <f aca="false">F_минимум!S43+C_обучение_профи!S40</f>
        <v>380491.071428571</v>
      </c>
      <c r="T40" s="10" t="n">
        <f aca="false">F_минимум!T43+C_обучение_профи!T40</f>
        <v>405803.571428571</v>
      </c>
      <c r="U40" s="10" t="n">
        <f aca="false">F_минимум!U43+C_обучение_профи!U40</f>
        <v>431116.071428571</v>
      </c>
      <c r="V40" s="10" t="n">
        <f aca="false">F_минимум!V43+C_обучение_профи!V40</f>
        <v>456428.571428571</v>
      </c>
      <c r="W40" s="10" t="n">
        <f aca="false">F_минимум!W43+C_обучение_профи!W40</f>
        <v>481741.071428571</v>
      </c>
      <c r="X40" s="10" t="n">
        <f aca="false">F_минимум!X43+C_обучение_профи!X40</f>
        <v>507053.571428572</v>
      </c>
      <c r="Y40" s="10" t="n">
        <f aca="false">F_минимум!Y43+C_обучение_профи!Y40</f>
        <v>532366.071428571</v>
      </c>
      <c r="Z40" s="10" t="n">
        <f aca="false">F_минимум!Z43+C_обучение_профи!Z40</f>
        <v>557678.571428572</v>
      </c>
      <c r="AA40" s="10" t="n">
        <f aca="false">F_минимум!AA43+C_обучение_профи!AA40</f>
        <v>582991.071428572</v>
      </c>
      <c r="AB40" s="10" t="n">
        <f aca="false">F_минимум!AB43+C_обучение_профи!AB40</f>
        <v>608303.571428571</v>
      </c>
      <c r="AC40" s="10" t="n">
        <f aca="false">F_минимум!AC43+C_обучение_профи!AC40</f>
        <v>633616.071428572</v>
      </c>
      <c r="AD40" s="10" t="n">
        <f aca="false">F_минимум!AD43+C_обучение_профи!AD40</f>
        <v>658928.571428572</v>
      </c>
      <c r="AE40" s="10" t="n">
        <f aca="false">F_минимум!AE43+C_обучение_профи!AE40</f>
        <v>684241.071428571</v>
      </c>
      <c r="AF40" s="10" t="n">
        <f aca="false">F_минимум!AF43+C_обучение_профи!AF40</f>
        <v>709553.571428572</v>
      </c>
      <c r="AG40" s="10" t="n">
        <f aca="false">F_минимум!AG43+C_обучение_профи!AG40</f>
        <v>734866.071428571</v>
      </c>
      <c r="AH40" s="10" t="n">
        <f aca="false">F_минимум!AH43+C_обучение_профи!AH40</f>
        <v>760178.571428571</v>
      </c>
      <c r="AI40" s="10" t="n">
        <f aca="false">F_минимум!AI43+C_обучение_профи!AI40</f>
        <v>785491.071428572</v>
      </c>
      <c r="AJ40" s="10" t="n">
        <f aca="false">F_минимум!AJ43+C_обучение_профи!AJ40</f>
        <v>810803.571428572</v>
      </c>
      <c r="AK40" s="10" t="n">
        <f aca="false">F_минимум!AK43+C_обучение_профи!AK40</f>
        <v>836116.071428571</v>
      </c>
      <c r="AL40" s="10" t="n">
        <f aca="false">F_минимум!AL43+C_обучение_профи!AL40</f>
        <v>861428.571428572</v>
      </c>
      <c r="AM40" s="10" t="n">
        <f aca="false">SUM(C40:N40)</f>
        <v>1476964.28571429</v>
      </c>
      <c r="AN40" s="10" t="n">
        <f aca="false">SUM(O40:Z40)</f>
        <v>5021517.85714286</v>
      </c>
      <c r="AO40" s="10" t="n">
        <f aca="false">SUM(AA40:AL40)</f>
        <v>8666517.85714286</v>
      </c>
      <c r="AP40" s="10" t="n">
        <f aca="false">SUM(C40:AL40)</f>
        <v>15165000</v>
      </c>
    </row>
    <row r="41" customFormat="false" ht="15" hidden="false" customHeight="false" outlineLevel="0" collapsed="false">
      <c r="A41" s="0" t="s">
        <v>279</v>
      </c>
      <c r="B41" s="0" t="s">
        <v>280</v>
      </c>
      <c r="C41" s="10" t="n">
        <f aca="false">Допущения!$E$17+IF(C$34&gt;=2,Допущения!$E$65+Допущения!$E$76,0)+Допущения!$E$85</f>
        <v>190000</v>
      </c>
      <c r="D41" s="10" t="n">
        <f aca="false">Допущения!$E$17+IF(D$34&gt;=2,Допущения!$E$65+Допущения!$E$76,0)+Допущения!$E$85</f>
        <v>430000</v>
      </c>
      <c r="E41" s="10" t="n">
        <f aca="false">Допущения!$E$17+IF(E$34&gt;=2,Допущения!$E$65+Допущения!$E$76,0)+Допущения!$E$85</f>
        <v>430000</v>
      </c>
      <c r="F41" s="10" t="n">
        <f aca="false">Допущения!$E$17+IF(F$34&gt;=2,Допущения!$E$65+Допущения!$E$76,0)+Допущения!$E$85</f>
        <v>430000</v>
      </c>
      <c r="G41" s="10" t="n">
        <f aca="false">Допущения!$E$17+IF(G$34&gt;=2,Допущения!$E$65+Допущения!$E$76,0)+Допущения!$E$85</f>
        <v>430000</v>
      </c>
      <c r="H41" s="10" t="n">
        <f aca="false">Допущения!$E$17+IF(H$34&gt;=2,Допущения!$E$65+Допущения!$E$76,0)+Допущения!$E$85</f>
        <v>430000</v>
      </c>
      <c r="I41" s="10" t="n">
        <f aca="false">Допущения!$E$17+IF(I$34&gt;=2,Допущения!$E$65+Допущения!$E$76,0)+Допущения!$E$85</f>
        <v>430000</v>
      </c>
      <c r="J41" s="10" t="n">
        <f aca="false">Допущения!$E$17+IF(J$34&gt;=2,Допущения!$E$65+Допущения!$E$76,0)+Допущения!$E$85</f>
        <v>430000</v>
      </c>
      <c r="K41" s="10" t="n">
        <f aca="false">Допущения!$E$17+IF(K$34&gt;=2,Допущения!$E$65+Допущения!$E$76,0)+Допущения!$E$85</f>
        <v>430000</v>
      </c>
      <c r="L41" s="10" t="n">
        <f aca="false">Допущения!$E$17+IF(L$34&gt;=2,Допущения!$E$65+Допущения!$E$76,0)+Допущения!$E$85</f>
        <v>430000</v>
      </c>
      <c r="M41" s="10" t="n">
        <f aca="false">Допущения!$E$17+IF(M$34&gt;=2,Допущения!$E$65+Допущения!$E$76,0)+Допущения!$E$85</f>
        <v>430000</v>
      </c>
      <c r="N41" s="10" t="n">
        <f aca="false">Допущения!$E$17+IF(N$34&gt;=2,Допущения!$E$65+Допущения!$E$76,0)+Допущения!$E$85</f>
        <v>430000</v>
      </c>
      <c r="O41" s="10" t="n">
        <f aca="false">Допущения!$E$17+IF(O$34&gt;=2,Допущения!$E$65+Допущения!$E$76,0)+Допущения!$E$85</f>
        <v>430000</v>
      </c>
      <c r="P41" s="10" t="n">
        <f aca="false">Допущения!$E$17+IF(P$34&gt;=2,Допущения!$E$65+Допущения!$E$76,0)+Допущения!$E$85</f>
        <v>430000</v>
      </c>
      <c r="Q41" s="10" t="n">
        <f aca="false">Допущения!$E$17+IF(Q$34&gt;=2,Допущения!$E$65+Допущения!$E$76,0)+Допущения!$E$85</f>
        <v>430000</v>
      </c>
      <c r="R41" s="10" t="n">
        <f aca="false">Допущения!$E$17+IF(R$34&gt;=2,Допущения!$E$65+Допущения!$E$76,0)+Допущения!$E$85</f>
        <v>430000</v>
      </c>
      <c r="S41" s="10" t="n">
        <f aca="false">Допущения!$E$17+IF(S$34&gt;=2,Допущения!$E$65+Допущения!$E$76,0)+Допущения!$E$85</f>
        <v>430000</v>
      </c>
      <c r="T41" s="10" t="n">
        <f aca="false">Допущения!$E$17+IF(T$34&gt;=2,Допущения!$E$65+Допущения!$E$76,0)+Допущения!$E$85</f>
        <v>430000</v>
      </c>
      <c r="U41" s="10" t="n">
        <f aca="false">Допущения!$E$17+IF(U$34&gt;=2,Допущения!$E$65+Допущения!$E$76,0)+Допущения!$E$85</f>
        <v>430000</v>
      </c>
      <c r="V41" s="10" t="n">
        <f aca="false">Допущения!$E$17+IF(V$34&gt;=2,Допущения!$E$65+Допущения!$E$76,0)+Допущения!$E$85</f>
        <v>430000</v>
      </c>
      <c r="W41" s="10" t="n">
        <f aca="false">Допущения!$E$17+IF(W$34&gt;=2,Допущения!$E$65+Допущения!$E$76,0)+Допущения!$E$85</f>
        <v>430000</v>
      </c>
      <c r="X41" s="10" t="n">
        <f aca="false">Допущения!$E$17+IF(X$34&gt;=2,Допущения!$E$65+Допущения!$E$76,0)+Допущения!$E$85</f>
        <v>430000</v>
      </c>
      <c r="Y41" s="10" t="n">
        <f aca="false">Допущения!$E$17+IF(Y$34&gt;=2,Допущения!$E$65+Допущения!$E$76,0)+Допущения!$E$85</f>
        <v>430000</v>
      </c>
      <c r="Z41" s="10" t="n">
        <f aca="false">Допущения!$E$17+IF(Z$34&gt;=2,Допущения!$E$65+Допущения!$E$76,0)+Допущения!$E$85</f>
        <v>430000</v>
      </c>
      <c r="AA41" s="10" t="n">
        <f aca="false">Допущения!$E$17+IF(AA$34&gt;=2,Допущения!$E$65+Допущения!$E$76,0)+Допущения!$E$85</f>
        <v>430000</v>
      </c>
      <c r="AB41" s="10" t="n">
        <f aca="false">Допущения!$E$17+IF(AB$34&gt;=2,Допущения!$E$65+Допущения!$E$76,0)+Допущения!$E$85</f>
        <v>430000</v>
      </c>
      <c r="AC41" s="10" t="n">
        <f aca="false">Допущения!$E$17+IF(AC$34&gt;=2,Допущения!$E$65+Допущения!$E$76,0)+Допущения!$E$85</f>
        <v>430000</v>
      </c>
      <c r="AD41" s="10" t="n">
        <f aca="false">Допущения!$E$17+IF(AD$34&gt;=2,Допущения!$E$65+Допущения!$E$76,0)+Допущения!$E$85</f>
        <v>430000</v>
      </c>
      <c r="AE41" s="10" t="n">
        <f aca="false">Допущения!$E$17+IF(AE$34&gt;=2,Допущения!$E$65+Допущения!$E$76,0)+Допущения!$E$85</f>
        <v>430000</v>
      </c>
      <c r="AF41" s="10" t="n">
        <f aca="false">Допущения!$E$17+IF(AF$34&gt;=2,Допущения!$E$65+Допущения!$E$76,0)+Допущения!$E$85</f>
        <v>430000</v>
      </c>
      <c r="AG41" s="10" t="n">
        <f aca="false">Допущения!$E$17+IF(AG$34&gt;=2,Допущения!$E$65+Допущения!$E$76,0)+Допущения!$E$85</f>
        <v>430000</v>
      </c>
      <c r="AH41" s="10" t="n">
        <f aca="false">Допущения!$E$17+IF(AH$34&gt;=2,Допущения!$E$65+Допущения!$E$76,0)+Допущения!$E$85</f>
        <v>430000</v>
      </c>
      <c r="AI41" s="10" t="n">
        <f aca="false">Допущения!$E$17+IF(AI$34&gt;=2,Допущения!$E$65+Допущения!$E$76,0)+Допущения!$E$85</f>
        <v>430000</v>
      </c>
      <c r="AJ41" s="10" t="n">
        <f aca="false">Допущения!$E$17+IF(AJ$34&gt;=2,Допущения!$E$65+Допущения!$E$76,0)+Допущения!$E$85</f>
        <v>430000</v>
      </c>
      <c r="AK41" s="10" t="n">
        <f aca="false">Допущения!$E$17+IF(AK$34&gt;=2,Допущения!$E$65+Допущения!$E$76,0)+Допущения!$E$85</f>
        <v>430000</v>
      </c>
      <c r="AL41" s="10" t="n">
        <f aca="false">Допущения!$E$17+IF(AL$34&gt;=2,Допущения!$E$65+Допущения!$E$76,0)+Допущения!$E$85</f>
        <v>430000</v>
      </c>
      <c r="AM41" s="10" t="n">
        <f aca="false">SUM(C41:N41)</f>
        <v>4920000</v>
      </c>
      <c r="AN41" s="10" t="n">
        <f aca="false">SUM(O41:Z41)</f>
        <v>5160000</v>
      </c>
      <c r="AO41" s="10" t="n">
        <f aca="false">SUM(AA41:AL41)</f>
        <v>5160000</v>
      </c>
      <c r="AP41" s="10" t="n">
        <f aca="false">SUM(C41:AL41)</f>
        <v>15240000</v>
      </c>
    </row>
    <row r="42" customFormat="false" ht="15" hidden="false" customHeight="false" outlineLevel="0" collapsed="false">
      <c r="A42" s="1" t="s">
        <v>281</v>
      </c>
      <c r="B42" s="1" t="s">
        <v>282</v>
      </c>
      <c r="C42" s="11" t="n">
        <f aca="false">C39-C41-C40</f>
        <v>-190000</v>
      </c>
      <c r="D42" s="11" t="n">
        <f aca="false">D39-D41-D40</f>
        <v>-339965.714285714</v>
      </c>
      <c r="E42" s="11" t="n">
        <f aca="false">E39-E41-E40</f>
        <v>-276502.857142857</v>
      </c>
      <c r="F42" s="11" t="n">
        <f aca="false">F39-F41-F40</f>
        <v>-213040</v>
      </c>
      <c r="G42" s="11" t="n">
        <f aca="false">G39-G41-G40</f>
        <v>-79714.6428571428</v>
      </c>
      <c r="H42" s="11" t="n">
        <f aca="false">H39-H41-H40</f>
        <v>53610.7142857143</v>
      </c>
      <c r="I42" s="11" t="n">
        <f aca="false">I39-I41-I40</f>
        <v>343602.738095238</v>
      </c>
      <c r="J42" s="11" t="n">
        <f aca="false">J39-J41-J40</f>
        <v>476928.095238095</v>
      </c>
      <c r="K42" s="11" t="n">
        <f aca="false">K39-K41-K40</f>
        <v>610253.452380953</v>
      </c>
      <c r="L42" s="11" t="n">
        <f aca="false">L39-L41-L40</f>
        <v>821578.80952381</v>
      </c>
      <c r="M42" s="11" t="n">
        <f aca="false">M39-M41-M40</f>
        <v>954904.166666667</v>
      </c>
      <c r="N42" s="11" t="n">
        <f aca="false">N39-N41-N40</f>
        <v>1244896.19047619</v>
      </c>
      <c r="O42" s="11" t="n">
        <f aca="false">O39-O41-O40</f>
        <v>1378221.54761905</v>
      </c>
      <c r="P42" s="11" t="n">
        <f aca="false">P39-P41-P40</f>
        <v>1511546.9047619</v>
      </c>
      <c r="Q42" s="11" t="n">
        <f aca="false">Q39-Q41-Q40</f>
        <v>1644872.26190476</v>
      </c>
      <c r="R42" s="11" t="n">
        <f aca="false">R39-R41-R40</f>
        <v>1778197.61904762</v>
      </c>
      <c r="S42" s="11" t="n">
        <f aca="false">S39-S41-S40</f>
        <v>1911522.97619048</v>
      </c>
      <c r="T42" s="11" t="n">
        <f aca="false">T39-T41-T40</f>
        <v>2201515</v>
      </c>
      <c r="U42" s="11" t="n">
        <f aca="false">U39-U41-U40</f>
        <v>2412840.35714286</v>
      </c>
      <c r="V42" s="11" t="n">
        <f aca="false">V39-V41-V40</f>
        <v>2546165.71428571</v>
      </c>
      <c r="W42" s="11" t="n">
        <f aca="false">W39-W41-W40</f>
        <v>2679491.07142857</v>
      </c>
      <c r="X42" s="11" t="n">
        <f aca="false">X39-X41-X40</f>
        <v>2812816.42857143</v>
      </c>
      <c r="Y42" s="11" t="n">
        <f aca="false">Y39-Y41-Y40</f>
        <v>3102808.45238095</v>
      </c>
      <c r="Z42" s="11" t="n">
        <f aca="false">Z39-Z41-Z40</f>
        <v>3236133.80952381</v>
      </c>
      <c r="AA42" s="11" t="n">
        <f aca="false">AA39-AA41-AA40</f>
        <v>3369459.16666667</v>
      </c>
      <c r="AB42" s="11" t="n">
        <f aca="false">AB39-AB41-AB40</f>
        <v>3502784.52380952</v>
      </c>
      <c r="AC42" s="11" t="n">
        <f aca="false">AC39-AC41-AC40</f>
        <v>3636109.88095238</v>
      </c>
      <c r="AD42" s="11" t="n">
        <f aca="false">AD39-AD41-AD40</f>
        <v>4004101.90476191</v>
      </c>
      <c r="AE42" s="11" t="n">
        <f aca="false">AE39-AE41-AE40</f>
        <v>4137427.26190476</v>
      </c>
      <c r="AF42" s="11" t="n">
        <f aca="false">AF39-AF41-AF40</f>
        <v>4270752.61904762</v>
      </c>
      <c r="AG42" s="11" t="n">
        <f aca="false">AG39-AG41-AG40</f>
        <v>4404077.97619048</v>
      </c>
      <c r="AH42" s="11" t="n">
        <f aca="false">AH39-AH41-AH40</f>
        <v>4537403.33333333</v>
      </c>
      <c r="AI42" s="11" t="n">
        <f aca="false">AI39-AI41-AI40</f>
        <v>4670728.69047619</v>
      </c>
      <c r="AJ42" s="11" t="n">
        <f aca="false">AJ39-AJ41-AJ40</f>
        <v>4960720.71428571</v>
      </c>
      <c r="AK42" s="11" t="n">
        <f aca="false">AK39-AK41-AK40</f>
        <v>5094046.07142857</v>
      </c>
      <c r="AL42" s="11" t="n">
        <f aca="false">AL39-AL41-AL40</f>
        <v>5227371.42857143</v>
      </c>
      <c r="AM42" s="11" t="n">
        <f aca="false">SUM(C42:N42)</f>
        <v>3406550.95238095</v>
      </c>
      <c r="AN42" s="11" t="n">
        <f aca="false">SUM(O42:Z42)</f>
        <v>27216132.1428571</v>
      </c>
      <c r="AO42" s="11" t="n">
        <f aca="false">SUM(AA42:AL42)</f>
        <v>51814983.5714286</v>
      </c>
      <c r="AP42" s="11" t="n">
        <f aca="false">SUM(C42:AL42)</f>
        <v>82437666.6666667</v>
      </c>
    </row>
    <row r="43" customFormat="false" ht="15" hidden="false" customHeight="false" outlineLevel="0" collapsed="false">
      <c r="A43" s="0" t="s">
        <v>283</v>
      </c>
      <c r="B43" s="0" t="s">
        <v>284</v>
      </c>
      <c r="C43" s="10" t="n">
        <f aca="false">IF(C$34=1,Допущения!$E$19+Допущения!$E$77+Допущения!$E$86,0)+C_обучение_профи!C43</f>
        <v>445000</v>
      </c>
      <c r="D43" s="10" t="n">
        <f aca="false">IF(D$34=1,Допущения!$E$19+Допущения!$E$77+Допущения!$E$86,0)+C_обучение_профи!D43</f>
        <v>175000</v>
      </c>
      <c r="E43" s="10" t="n">
        <f aca="false">IF(E$34=1,Допущения!$E$19+Допущения!$E$77+Допущения!$E$86,0)+C_обучение_профи!E43</f>
        <v>175000</v>
      </c>
      <c r="F43" s="10" t="n">
        <f aca="false">IF(F$34=1,Допущения!$E$19+Допущения!$E$77+Допущения!$E$86,0)+C_обучение_профи!F43</f>
        <v>175000</v>
      </c>
      <c r="G43" s="10" t="n">
        <f aca="false">IF(G$34=1,Допущения!$E$19+Допущения!$E$77+Допущения!$E$86,0)+C_обучение_профи!G43</f>
        <v>0</v>
      </c>
      <c r="H43" s="10" t="n">
        <f aca="false">IF(H$34=1,Допущения!$E$19+Допущения!$E$77+Допущения!$E$86,0)+C_обучение_профи!H43</f>
        <v>0</v>
      </c>
      <c r="I43" s="10" t="n">
        <f aca="false">IF(I$34=1,Допущения!$E$19+Допущения!$E$77+Допущения!$E$86,0)+C_обучение_профи!I43</f>
        <v>0</v>
      </c>
      <c r="J43" s="10" t="n">
        <f aca="false">IF(J$34=1,Допущения!$E$19+Допущения!$E$77+Допущения!$E$86,0)+C_обучение_профи!J43</f>
        <v>0</v>
      </c>
      <c r="K43" s="10" t="n">
        <f aca="false">IF(K$34=1,Допущения!$E$19+Допущения!$E$77+Допущения!$E$86,0)+C_обучение_профи!K43</f>
        <v>0</v>
      </c>
      <c r="L43" s="10" t="n">
        <f aca="false">IF(L$34=1,Допущения!$E$19+Допущения!$E$77+Допущения!$E$86,0)+C_обучение_профи!L43</f>
        <v>0</v>
      </c>
      <c r="M43" s="10" t="n">
        <f aca="false">IF(M$34=1,Допущения!$E$19+Допущения!$E$77+Допущения!$E$86,0)+C_обучение_профи!M43</f>
        <v>0</v>
      </c>
      <c r="N43" s="10" t="n">
        <f aca="false">IF(N$34=1,Допущения!$E$19+Допущения!$E$77+Допущения!$E$86,0)+C_обучение_профи!N43</f>
        <v>0</v>
      </c>
      <c r="O43" s="10" t="n">
        <f aca="false">IF(O$34=1,Допущения!$E$19+Допущения!$E$77+Допущения!$E$86,0)+C_обучение_профи!O43</f>
        <v>0</v>
      </c>
      <c r="P43" s="10" t="n">
        <f aca="false">IF(P$34=1,Допущения!$E$19+Допущения!$E$77+Допущения!$E$86,0)+C_обучение_профи!P43</f>
        <v>0</v>
      </c>
      <c r="Q43" s="10" t="n">
        <f aca="false">IF(Q$34=1,Допущения!$E$19+Допущения!$E$77+Допущения!$E$86,0)+C_обучение_профи!Q43</f>
        <v>0</v>
      </c>
      <c r="R43" s="10" t="n">
        <f aca="false">IF(R$34=1,Допущения!$E$19+Допущения!$E$77+Допущения!$E$86,0)+C_обучение_профи!R43</f>
        <v>0</v>
      </c>
      <c r="S43" s="10" t="n">
        <f aca="false">IF(S$34=1,Допущения!$E$19+Допущения!$E$77+Допущения!$E$86,0)+C_обучение_профи!S43</f>
        <v>0</v>
      </c>
      <c r="T43" s="10" t="n">
        <f aca="false">IF(T$34=1,Допущения!$E$19+Допущения!$E$77+Допущения!$E$86,0)+C_обучение_профи!T43</f>
        <v>0</v>
      </c>
      <c r="U43" s="10" t="n">
        <f aca="false">IF(U$34=1,Допущения!$E$19+Допущения!$E$77+Допущения!$E$86,0)+C_обучение_профи!U43</f>
        <v>0</v>
      </c>
      <c r="V43" s="10" t="n">
        <f aca="false">IF(V$34=1,Допущения!$E$19+Допущения!$E$77+Допущения!$E$86,0)+C_обучение_профи!V43</f>
        <v>0</v>
      </c>
      <c r="W43" s="10" t="n">
        <f aca="false">IF(W$34=1,Допущения!$E$19+Допущения!$E$77+Допущения!$E$86,0)+C_обучение_профи!W43</f>
        <v>0</v>
      </c>
      <c r="X43" s="10" t="n">
        <f aca="false">IF(X$34=1,Допущения!$E$19+Допущения!$E$77+Допущения!$E$86,0)+C_обучение_профи!X43</f>
        <v>0</v>
      </c>
      <c r="Y43" s="10" t="n">
        <f aca="false">IF(Y$34=1,Допущения!$E$19+Допущения!$E$77+Допущения!$E$86,0)+C_обучение_профи!Y43</f>
        <v>0</v>
      </c>
      <c r="Z43" s="10" t="n">
        <f aca="false">IF(Z$34=1,Допущения!$E$19+Допущения!$E$77+Допущения!$E$86,0)+C_обучение_профи!Z43</f>
        <v>0</v>
      </c>
      <c r="AA43" s="10" t="n">
        <f aca="false">IF(AA$34=1,Допущения!$E$19+Допущения!$E$77+Допущения!$E$86,0)+C_обучение_профи!AA43</f>
        <v>0</v>
      </c>
      <c r="AB43" s="10" t="n">
        <f aca="false">IF(AB$34=1,Допущения!$E$19+Допущения!$E$77+Допущения!$E$86,0)+C_обучение_профи!AB43</f>
        <v>0</v>
      </c>
      <c r="AC43" s="10" t="n">
        <f aca="false">IF(AC$34=1,Допущения!$E$19+Допущения!$E$77+Допущения!$E$86,0)+C_обучение_профи!AC43</f>
        <v>0</v>
      </c>
      <c r="AD43" s="10" t="n">
        <f aca="false">IF(AD$34=1,Допущения!$E$19+Допущения!$E$77+Допущения!$E$86,0)+C_обучение_профи!AD43</f>
        <v>0</v>
      </c>
      <c r="AE43" s="10" t="n">
        <f aca="false">IF(AE$34=1,Допущения!$E$19+Допущения!$E$77+Допущения!$E$86,0)+C_обучение_профи!AE43</f>
        <v>0</v>
      </c>
      <c r="AF43" s="10" t="n">
        <f aca="false">IF(AF$34=1,Допущения!$E$19+Допущения!$E$77+Допущения!$E$86,0)+C_обучение_профи!AF43</f>
        <v>0</v>
      </c>
      <c r="AG43" s="10" t="n">
        <f aca="false">IF(AG$34=1,Допущения!$E$19+Допущения!$E$77+Допущения!$E$86,0)+C_обучение_профи!AG43</f>
        <v>0</v>
      </c>
      <c r="AH43" s="10" t="n">
        <f aca="false">IF(AH$34=1,Допущения!$E$19+Допущения!$E$77+Допущения!$E$86,0)+C_обучение_профи!AH43</f>
        <v>0</v>
      </c>
      <c r="AI43" s="10" t="n">
        <f aca="false">IF(AI$34=1,Допущения!$E$19+Допущения!$E$77+Допущения!$E$86,0)+C_обучение_профи!AI43</f>
        <v>0</v>
      </c>
      <c r="AJ43" s="10" t="n">
        <f aca="false">IF(AJ$34=1,Допущения!$E$19+Допущения!$E$77+Допущения!$E$86,0)+C_обучение_профи!AJ43</f>
        <v>0</v>
      </c>
      <c r="AK43" s="10" t="n">
        <f aca="false">IF(AK$34=1,Допущения!$E$19+Допущения!$E$77+Допущения!$E$86,0)+C_обучение_профи!AK43</f>
        <v>0</v>
      </c>
      <c r="AL43" s="10" t="n">
        <f aca="false">IF(AL$34=1,Допущения!$E$19+Допущения!$E$77+Допущения!$E$86,0)+C_обучение_профи!AL43</f>
        <v>0</v>
      </c>
      <c r="AM43" s="10" t="n">
        <f aca="false">SUM(C43:N43)</f>
        <v>970000</v>
      </c>
      <c r="AN43" s="10" t="n">
        <f aca="false">SUM(O43:Z43)</f>
        <v>0</v>
      </c>
      <c r="AO43" s="10" t="n">
        <f aca="false">SUM(AA43:AL43)</f>
        <v>0</v>
      </c>
      <c r="AP43" s="10" t="n">
        <f aca="false">SUM(C43:AL43)</f>
        <v>970000</v>
      </c>
    </row>
    <row r="44" customFormat="false" ht="15" hidden="false" customHeight="false" outlineLevel="0" collapsed="false">
      <c r="A44" s="1" t="s">
        <v>285</v>
      </c>
      <c r="B44" s="1" t="s">
        <v>286</v>
      </c>
      <c r="C44" s="11" t="n">
        <f aca="false">C42-C43</f>
        <v>-635000</v>
      </c>
      <c r="D44" s="11" t="n">
        <f aca="false">D42-D43</f>
        <v>-514965.714285714</v>
      </c>
      <c r="E44" s="11" t="n">
        <f aca="false">E42-E43</f>
        <v>-451502.857142857</v>
      </c>
      <c r="F44" s="11" t="n">
        <f aca="false">F42-F43</f>
        <v>-388040</v>
      </c>
      <c r="G44" s="11" t="n">
        <f aca="false">G42-G43</f>
        <v>-79714.6428571428</v>
      </c>
      <c r="H44" s="11" t="n">
        <f aca="false">H42-H43</f>
        <v>53610.7142857143</v>
      </c>
      <c r="I44" s="11" t="n">
        <f aca="false">I42-I43</f>
        <v>343602.738095238</v>
      </c>
      <c r="J44" s="11" t="n">
        <f aca="false">J42-J43</f>
        <v>476928.095238095</v>
      </c>
      <c r="K44" s="11" t="n">
        <f aca="false">K42-K43</f>
        <v>610253.452380953</v>
      </c>
      <c r="L44" s="11" t="n">
        <f aca="false">L42-L43</f>
        <v>821578.80952381</v>
      </c>
      <c r="M44" s="11" t="n">
        <f aca="false">M42-M43</f>
        <v>954904.166666667</v>
      </c>
      <c r="N44" s="11" t="n">
        <f aca="false">N42-N43</f>
        <v>1244896.19047619</v>
      </c>
      <c r="O44" s="11" t="n">
        <f aca="false">O42-O43</f>
        <v>1378221.54761905</v>
      </c>
      <c r="P44" s="11" t="n">
        <f aca="false">P42-P43</f>
        <v>1511546.9047619</v>
      </c>
      <c r="Q44" s="11" t="n">
        <f aca="false">Q42-Q43</f>
        <v>1644872.26190476</v>
      </c>
      <c r="R44" s="11" t="n">
        <f aca="false">R42-R43</f>
        <v>1778197.61904762</v>
      </c>
      <c r="S44" s="11" t="n">
        <f aca="false">S42-S43</f>
        <v>1911522.97619048</v>
      </c>
      <c r="T44" s="11" t="n">
        <f aca="false">T42-T43</f>
        <v>2201515</v>
      </c>
      <c r="U44" s="11" t="n">
        <f aca="false">U42-U43</f>
        <v>2412840.35714286</v>
      </c>
      <c r="V44" s="11" t="n">
        <f aca="false">V42-V43</f>
        <v>2546165.71428571</v>
      </c>
      <c r="W44" s="11" t="n">
        <f aca="false">W42-W43</f>
        <v>2679491.07142857</v>
      </c>
      <c r="X44" s="11" t="n">
        <f aca="false">X42-X43</f>
        <v>2812816.42857143</v>
      </c>
      <c r="Y44" s="11" t="n">
        <f aca="false">Y42-Y43</f>
        <v>3102808.45238095</v>
      </c>
      <c r="Z44" s="11" t="n">
        <f aca="false">Z42-Z43</f>
        <v>3236133.80952381</v>
      </c>
      <c r="AA44" s="11" t="n">
        <f aca="false">AA42-AA43</f>
        <v>3369459.16666667</v>
      </c>
      <c r="AB44" s="11" t="n">
        <f aca="false">AB42-AB43</f>
        <v>3502784.52380952</v>
      </c>
      <c r="AC44" s="11" t="n">
        <f aca="false">AC42-AC43</f>
        <v>3636109.88095238</v>
      </c>
      <c r="AD44" s="11" t="n">
        <f aca="false">AD42-AD43</f>
        <v>4004101.90476191</v>
      </c>
      <c r="AE44" s="11" t="n">
        <f aca="false">AE42-AE43</f>
        <v>4137427.26190476</v>
      </c>
      <c r="AF44" s="11" t="n">
        <f aca="false">AF42-AF43</f>
        <v>4270752.61904762</v>
      </c>
      <c r="AG44" s="11" t="n">
        <f aca="false">AG42-AG43</f>
        <v>4404077.97619048</v>
      </c>
      <c r="AH44" s="11" t="n">
        <f aca="false">AH42-AH43</f>
        <v>4537403.33333333</v>
      </c>
      <c r="AI44" s="11" t="n">
        <f aca="false">AI42-AI43</f>
        <v>4670728.69047619</v>
      </c>
      <c r="AJ44" s="11" t="n">
        <f aca="false">AJ42-AJ43</f>
        <v>4960720.71428571</v>
      </c>
      <c r="AK44" s="11" t="n">
        <f aca="false">AK42-AK43</f>
        <v>5094046.07142857</v>
      </c>
      <c r="AL44" s="11" t="n">
        <f aca="false">AL42-AL43</f>
        <v>5227371.42857143</v>
      </c>
      <c r="AM44" s="11" t="n">
        <f aca="false">SUM(C44:N44)</f>
        <v>2436550.95238095</v>
      </c>
      <c r="AN44" s="11" t="n">
        <f aca="false">SUM(O44:Z44)</f>
        <v>27216132.1428571</v>
      </c>
      <c r="AO44" s="11" t="n">
        <f aca="false">SUM(AA44:AL44)</f>
        <v>51814983.5714286</v>
      </c>
      <c r="AP44" s="11" t="n">
        <f aca="false">SUM(C44:AL44)</f>
        <v>81467666.6666667</v>
      </c>
    </row>
    <row r="45" customFormat="false" ht="15" hidden="false" customHeight="false" outlineLevel="0" collapsed="false">
      <c r="A45" s="1" t="s">
        <v>287</v>
      </c>
      <c r="B45" s="1" t="s">
        <v>288</v>
      </c>
      <c r="C45" s="11" t="n">
        <f aca="false">0+C44</f>
        <v>-635000</v>
      </c>
      <c r="D45" s="11" t="n">
        <f aca="false">C45+D44</f>
        <v>-1149965.71428571</v>
      </c>
      <c r="E45" s="11" t="n">
        <f aca="false">D45+E44</f>
        <v>-1601468.57142857</v>
      </c>
      <c r="F45" s="11" t="n">
        <f aca="false">E45+F44</f>
        <v>-1989508.57142857</v>
      </c>
      <c r="G45" s="11" t="n">
        <f aca="false">F45+G44</f>
        <v>-2069223.21428571</v>
      </c>
      <c r="H45" s="11" t="n">
        <f aca="false">G45+H44</f>
        <v>-2015612.5</v>
      </c>
      <c r="I45" s="11" t="n">
        <f aca="false">H45+I44</f>
        <v>-1672009.76190476</v>
      </c>
      <c r="J45" s="11" t="n">
        <f aca="false">I45+J44</f>
        <v>-1195081.66666667</v>
      </c>
      <c r="K45" s="11" t="n">
        <f aca="false">J45+K44</f>
        <v>-584828.214285714</v>
      </c>
      <c r="L45" s="11" t="n">
        <f aca="false">K45+L44</f>
        <v>236750.595238096</v>
      </c>
      <c r="M45" s="11" t="n">
        <f aca="false">L45+M44</f>
        <v>1191654.76190476</v>
      </c>
      <c r="N45" s="11" t="n">
        <f aca="false">M45+N44</f>
        <v>2436550.95238095</v>
      </c>
      <c r="O45" s="11" t="n">
        <f aca="false">N45+O44</f>
        <v>3814772.5</v>
      </c>
      <c r="P45" s="11" t="n">
        <f aca="false">O45+P44</f>
        <v>5326319.40476191</v>
      </c>
      <c r="Q45" s="11" t="n">
        <f aca="false">P45+Q44</f>
        <v>6971191.66666667</v>
      </c>
      <c r="R45" s="11" t="n">
        <f aca="false">Q45+R44</f>
        <v>8749389.28571429</v>
      </c>
      <c r="S45" s="11" t="n">
        <f aca="false">R45+S44</f>
        <v>10660912.2619048</v>
      </c>
      <c r="T45" s="11" t="n">
        <f aca="false">S45+T44</f>
        <v>12862427.2619048</v>
      </c>
      <c r="U45" s="11" t="n">
        <f aca="false">T45+U44</f>
        <v>15275267.6190476</v>
      </c>
      <c r="V45" s="11" t="n">
        <f aca="false">U45+V44</f>
        <v>17821433.3333333</v>
      </c>
      <c r="W45" s="11" t="n">
        <f aca="false">V45+W44</f>
        <v>20500924.4047619</v>
      </c>
      <c r="X45" s="11" t="n">
        <f aca="false">W45+X44</f>
        <v>23313740.8333333</v>
      </c>
      <c r="Y45" s="11" t="n">
        <f aca="false">X45+Y44</f>
        <v>26416549.2857143</v>
      </c>
      <c r="Z45" s="11" t="n">
        <f aca="false">Y45+Z44</f>
        <v>29652683.0952381</v>
      </c>
      <c r="AA45" s="11" t="n">
        <f aca="false">Z45+AA44</f>
        <v>33022142.2619048</v>
      </c>
      <c r="AB45" s="11" t="n">
        <f aca="false">AA45+AB44</f>
        <v>36524926.7857143</v>
      </c>
      <c r="AC45" s="11" t="n">
        <f aca="false">AB45+AC44</f>
        <v>40161036.6666667</v>
      </c>
      <c r="AD45" s="11" t="n">
        <f aca="false">AC45+AD44</f>
        <v>44165138.5714286</v>
      </c>
      <c r="AE45" s="11" t="n">
        <f aca="false">AD45+AE44</f>
        <v>48302565.8333333</v>
      </c>
      <c r="AF45" s="11" t="n">
        <f aca="false">AE45+AF44</f>
        <v>52573318.452381</v>
      </c>
      <c r="AG45" s="11" t="n">
        <f aca="false">AF45+AG44</f>
        <v>56977396.4285714</v>
      </c>
      <c r="AH45" s="11" t="n">
        <f aca="false">AG45+AH44</f>
        <v>61514799.7619048</v>
      </c>
      <c r="AI45" s="11" t="n">
        <f aca="false">AH45+AI44</f>
        <v>66185528.452381</v>
      </c>
      <c r="AJ45" s="11" t="n">
        <f aca="false">AI45+AJ44</f>
        <v>71146249.1666667</v>
      </c>
      <c r="AK45" s="11" t="n">
        <f aca="false">AJ45+AK44</f>
        <v>76240295.2380952</v>
      </c>
      <c r="AL45" s="11" t="n">
        <f aca="false">AK45+AL44</f>
        <v>81467666.6666667</v>
      </c>
      <c r="AM45" s="11" t="n">
        <f aca="false">N45</f>
        <v>2436550.95238095</v>
      </c>
      <c r="AN45" s="11" t="n">
        <f aca="false">Z45</f>
        <v>29652683.0952381</v>
      </c>
      <c r="AO45" s="11" t="n">
        <f aca="false">AL45</f>
        <v>81467666.6666667</v>
      </c>
      <c r="AP45" s="1"/>
    </row>
    <row r="46" customFormat="false" ht="15" hidden="false" customHeight="false" outlineLevel="0" collapsed="false">
      <c r="A46" s="0" t="s">
        <v>289</v>
      </c>
      <c r="B46" s="0" t="s">
        <v>290</v>
      </c>
      <c r="C46" s="0" t="n">
        <f aca="false">IF(AND(C42&gt;0,COUNTIF(C42:AL42,"&lt;=0")=0),C$34,99)</f>
        <v>99</v>
      </c>
      <c r="D46" s="0" t="n">
        <f aca="false">IF(AND(D42&gt;0,COUNTIF(D42:AL42,"&lt;=0")=0),D$34,99)</f>
        <v>99</v>
      </c>
      <c r="E46" s="0" t="n">
        <f aca="false">IF(AND(E42&gt;0,COUNTIF(E42:AL42,"&lt;=0")=0),E$34,99)</f>
        <v>99</v>
      </c>
      <c r="F46" s="0" t="n">
        <f aca="false">IF(AND(F42&gt;0,COUNTIF(F42:AL42,"&lt;=0")=0),F$34,99)</f>
        <v>99</v>
      </c>
      <c r="G46" s="0" t="n">
        <f aca="false">IF(AND(G42&gt;0,COUNTIF(G42:AL42,"&lt;=0")=0),G$34,99)</f>
        <v>99</v>
      </c>
      <c r="H46" s="0" t="n">
        <f aca="false">IF(AND(H42&gt;0,COUNTIF(H42:AL42,"&lt;=0")=0),H$34,99)</f>
        <v>6</v>
      </c>
      <c r="I46" s="0" t="n">
        <f aca="false">IF(AND(I42&gt;0,COUNTIF(I42:AL42,"&lt;=0")=0),I$34,99)</f>
        <v>7</v>
      </c>
      <c r="J46" s="0" t="n">
        <f aca="false">IF(AND(J42&gt;0,COUNTIF(J42:AL42,"&lt;=0")=0),J$34,99)</f>
        <v>8</v>
      </c>
      <c r="K46" s="0" t="n">
        <f aca="false">IF(AND(K42&gt;0,COUNTIF(K42:AL42,"&lt;=0")=0),K$34,99)</f>
        <v>9</v>
      </c>
      <c r="L46" s="0" t="n">
        <f aca="false">IF(AND(L42&gt;0,COUNTIF(L42:AL42,"&lt;=0")=0),L$34,99)</f>
        <v>10</v>
      </c>
      <c r="M46" s="0" t="n">
        <f aca="false">IF(AND(M42&gt;0,COUNTIF(M42:AL42,"&lt;=0")=0),M$34,99)</f>
        <v>11</v>
      </c>
      <c r="N46" s="0" t="n">
        <f aca="false">IF(AND(N42&gt;0,COUNTIF(N42:AL42,"&lt;=0")=0),N$34,99)</f>
        <v>12</v>
      </c>
      <c r="O46" s="0" t="n">
        <f aca="false">IF(AND(O42&gt;0,COUNTIF(O42:AL42,"&lt;=0")=0),O$34,99)</f>
        <v>13</v>
      </c>
      <c r="P46" s="0" t="n">
        <f aca="false">IF(AND(P42&gt;0,COUNTIF(P42:AL42,"&lt;=0")=0),P$34,99)</f>
        <v>14</v>
      </c>
      <c r="Q46" s="0" t="n">
        <f aca="false">IF(AND(Q42&gt;0,COUNTIF(Q42:AL42,"&lt;=0")=0),Q$34,99)</f>
        <v>15</v>
      </c>
      <c r="R46" s="0" t="n">
        <f aca="false">IF(AND(R42&gt;0,COUNTIF(R42:AL42,"&lt;=0")=0),R$34,99)</f>
        <v>16</v>
      </c>
      <c r="S46" s="0" t="n">
        <f aca="false">IF(AND(S42&gt;0,COUNTIF(S42:AL42,"&lt;=0")=0),S$34,99)</f>
        <v>17</v>
      </c>
      <c r="T46" s="0" t="n">
        <f aca="false">IF(AND(T42&gt;0,COUNTIF(T42:AL42,"&lt;=0")=0),T$34,99)</f>
        <v>18</v>
      </c>
      <c r="U46" s="0" t="n">
        <f aca="false">IF(AND(U42&gt;0,COUNTIF(U42:AL42,"&lt;=0")=0),U$34,99)</f>
        <v>19</v>
      </c>
      <c r="V46" s="0" t="n">
        <f aca="false">IF(AND(V42&gt;0,COUNTIF(V42:AL42,"&lt;=0")=0),V$34,99)</f>
        <v>20</v>
      </c>
      <c r="W46" s="0" t="n">
        <f aca="false">IF(AND(W42&gt;0,COUNTIF(W42:AL42,"&lt;=0")=0),W$34,99)</f>
        <v>21</v>
      </c>
      <c r="X46" s="0" t="n">
        <f aca="false">IF(AND(X42&gt;0,COUNTIF(X42:AL42,"&lt;=0")=0),X$34,99)</f>
        <v>22</v>
      </c>
      <c r="Y46" s="0" t="n">
        <f aca="false">IF(AND(Y42&gt;0,COUNTIF(Y42:AL42,"&lt;=0")=0),Y$34,99)</f>
        <v>23</v>
      </c>
      <c r="Z46" s="0" t="n">
        <f aca="false">IF(AND(Z42&gt;0,COUNTIF(Z42:AL42,"&lt;=0")=0),Z$34,99)</f>
        <v>24</v>
      </c>
      <c r="AA46" s="0" t="n">
        <f aca="false">IF(AND(AA42&gt;0,COUNTIF(AA42:AL42,"&lt;=0")=0),AA$34,99)</f>
        <v>25</v>
      </c>
      <c r="AB46" s="0" t="n">
        <f aca="false">IF(AND(AB42&gt;0,COUNTIF(AB42:AL42,"&lt;=0")=0),AB$34,99)</f>
        <v>26</v>
      </c>
      <c r="AC46" s="0" t="n">
        <f aca="false">IF(AND(AC42&gt;0,COUNTIF(AC42:AL42,"&lt;=0")=0),AC$34,99)</f>
        <v>27</v>
      </c>
      <c r="AD46" s="0" t="n">
        <f aca="false">IF(AND(AD42&gt;0,COUNTIF(AD42:AL42,"&lt;=0")=0),AD$34,99)</f>
        <v>28</v>
      </c>
      <c r="AE46" s="0" t="n">
        <f aca="false">IF(AND(AE42&gt;0,COUNTIF(AE42:AL42,"&lt;=0")=0),AE$34,99)</f>
        <v>29</v>
      </c>
      <c r="AF46" s="0" t="n">
        <f aca="false">IF(AND(AF42&gt;0,COUNTIF(AF42:AL42,"&lt;=0")=0),AF$34,99)</f>
        <v>30</v>
      </c>
      <c r="AG46" s="0" t="n">
        <f aca="false">IF(AND(AG42&gt;0,COUNTIF(AG42:AL42,"&lt;=0")=0),AG$34,99)</f>
        <v>31</v>
      </c>
      <c r="AH46" s="0" t="n">
        <f aca="false">IF(AND(AH42&gt;0,COUNTIF(AH42:AL42,"&lt;=0")=0),AH$34,99)</f>
        <v>32</v>
      </c>
      <c r="AI46" s="0" t="n">
        <f aca="false">IF(AND(AI42&gt;0,COUNTIF(AI42:AL42,"&lt;=0")=0),AI$34,99)</f>
        <v>33</v>
      </c>
      <c r="AJ46" s="0" t="n">
        <f aca="false">IF(AND(AJ42&gt;0,COUNTIF(AJ42:AL42,"&lt;=0")=0),AJ$34,99)</f>
        <v>34</v>
      </c>
      <c r="AK46" s="0" t="n">
        <f aca="false">IF(AND(AK42&gt;0,COUNTIF(AK42:AL42,"&lt;=0")=0),AK$34,99)</f>
        <v>35</v>
      </c>
      <c r="AL46" s="0" t="n">
        <f aca="false">IF(AND(AL42&gt;0,COUNTIF(AL42:AL42,"&lt;=0")=0),AL$34,99)</f>
        <v>36</v>
      </c>
    </row>
    <row r="47" customFormat="false" ht="15" hidden="false" customHeight="false" outlineLevel="0" collapsed="false">
      <c r="A47" s="0" t="s">
        <v>291</v>
      </c>
      <c r="B47" s="0" t="s">
        <v>292</v>
      </c>
      <c r="C47" s="0" t="n">
        <f aca="false">IF(AND(C45&gt;=0,COUNTIF(C45:AL45,"&lt;0")=0),C$34,99)</f>
        <v>99</v>
      </c>
      <c r="D47" s="0" t="n">
        <f aca="false">IF(AND(D45&gt;=0,COUNTIF(D45:AL45,"&lt;0")=0),D$34,99)</f>
        <v>99</v>
      </c>
      <c r="E47" s="0" t="n">
        <f aca="false">IF(AND(E45&gt;=0,COUNTIF(E45:AL45,"&lt;0")=0),E$34,99)</f>
        <v>99</v>
      </c>
      <c r="F47" s="0" t="n">
        <f aca="false">IF(AND(F45&gt;=0,COUNTIF(F45:AL45,"&lt;0")=0),F$34,99)</f>
        <v>99</v>
      </c>
      <c r="G47" s="0" t="n">
        <f aca="false">IF(AND(G45&gt;=0,COUNTIF(G45:AL45,"&lt;0")=0),G$34,99)</f>
        <v>99</v>
      </c>
      <c r="H47" s="0" t="n">
        <f aca="false">IF(AND(H45&gt;=0,COUNTIF(H45:AL45,"&lt;0")=0),H$34,99)</f>
        <v>99</v>
      </c>
      <c r="I47" s="0" t="n">
        <f aca="false">IF(AND(I45&gt;=0,COUNTIF(I45:AL45,"&lt;0")=0),I$34,99)</f>
        <v>99</v>
      </c>
      <c r="J47" s="0" t="n">
        <f aca="false">IF(AND(J45&gt;=0,COUNTIF(J45:AL45,"&lt;0")=0),J$34,99)</f>
        <v>99</v>
      </c>
      <c r="K47" s="0" t="n">
        <f aca="false">IF(AND(K45&gt;=0,COUNTIF(K45:AL45,"&lt;0")=0),K$34,99)</f>
        <v>99</v>
      </c>
      <c r="L47" s="0" t="n">
        <f aca="false">IF(AND(L45&gt;=0,COUNTIF(L45:AL45,"&lt;0")=0),L$34,99)</f>
        <v>10</v>
      </c>
      <c r="M47" s="0" t="n">
        <f aca="false">IF(AND(M45&gt;=0,COUNTIF(M45:AL45,"&lt;0")=0),M$34,99)</f>
        <v>11</v>
      </c>
      <c r="N47" s="0" t="n">
        <f aca="false">IF(AND(N45&gt;=0,COUNTIF(N45:AL45,"&lt;0")=0),N$34,99)</f>
        <v>12</v>
      </c>
      <c r="O47" s="0" t="n">
        <f aca="false">IF(AND(O45&gt;=0,COUNTIF(O45:AL45,"&lt;0")=0),O$34,99)</f>
        <v>13</v>
      </c>
      <c r="P47" s="0" t="n">
        <f aca="false">IF(AND(P45&gt;=0,COUNTIF(P45:AL45,"&lt;0")=0),P$34,99)</f>
        <v>14</v>
      </c>
      <c r="Q47" s="0" t="n">
        <f aca="false">IF(AND(Q45&gt;=0,COUNTIF(Q45:AL45,"&lt;0")=0),Q$34,99)</f>
        <v>15</v>
      </c>
      <c r="R47" s="0" t="n">
        <f aca="false">IF(AND(R45&gt;=0,COUNTIF(R45:AL45,"&lt;0")=0),R$34,99)</f>
        <v>16</v>
      </c>
      <c r="S47" s="0" t="n">
        <f aca="false">IF(AND(S45&gt;=0,COUNTIF(S45:AL45,"&lt;0")=0),S$34,99)</f>
        <v>17</v>
      </c>
      <c r="T47" s="0" t="n">
        <f aca="false">IF(AND(T45&gt;=0,COUNTIF(T45:AL45,"&lt;0")=0),T$34,99)</f>
        <v>18</v>
      </c>
      <c r="U47" s="0" t="n">
        <f aca="false">IF(AND(U45&gt;=0,COUNTIF(U45:AL45,"&lt;0")=0),U$34,99)</f>
        <v>19</v>
      </c>
      <c r="V47" s="0" t="n">
        <f aca="false">IF(AND(V45&gt;=0,COUNTIF(V45:AL45,"&lt;0")=0),V$34,99)</f>
        <v>20</v>
      </c>
      <c r="W47" s="0" t="n">
        <f aca="false">IF(AND(W45&gt;=0,COUNTIF(W45:AL45,"&lt;0")=0),W$34,99)</f>
        <v>21</v>
      </c>
      <c r="X47" s="0" t="n">
        <f aca="false">IF(AND(X45&gt;=0,COUNTIF(X45:AL45,"&lt;0")=0),X$34,99)</f>
        <v>22</v>
      </c>
      <c r="Y47" s="0" t="n">
        <f aca="false">IF(AND(Y45&gt;=0,COUNTIF(Y45:AL45,"&lt;0")=0),Y$34,99)</f>
        <v>23</v>
      </c>
      <c r="Z47" s="0" t="n">
        <f aca="false">IF(AND(Z45&gt;=0,COUNTIF(Z45:AL45,"&lt;0")=0),Z$34,99)</f>
        <v>24</v>
      </c>
      <c r="AA47" s="0" t="n">
        <f aca="false">IF(AND(AA45&gt;=0,COUNTIF(AA45:AL45,"&lt;0")=0),AA$34,99)</f>
        <v>25</v>
      </c>
      <c r="AB47" s="0" t="n">
        <f aca="false">IF(AND(AB45&gt;=0,COUNTIF(AB45:AL45,"&lt;0")=0),AB$34,99)</f>
        <v>26</v>
      </c>
      <c r="AC47" s="0" t="n">
        <f aca="false">IF(AND(AC45&gt;=0,COUNTIF(AC45:AL45,"&lt;0")=0),AC$34,99)</f>
        <v>27</v>
      </c>
      <c r="AD47" s="0" t="n">
        <f aca="false">IF(AND(AD45&gt;=0,COUNTIF(AD45:AL45,"&lt;0")=0),AD$34,99)</f>
        <v>28</v>
      </c>
      <c r="AE47" s="0" t="n">
        <f aca="false">IF(AND(AE45&gt;=0,COUNTIF(AE45:AL45,"&lt;0")=0),AE$34,99)</f>
        <v>29</v>
      </c>
      <c r="AF47" s="0" t="n">
        <f aca="false">IF(AND(AF45&gt;=0,COUNTIF(AF45:AL45,"&lt;0")=0),AF$34,99)</f>
        <v>30</v>
      </c>
      <c r="AG47" s="0" t="n">
        <f aca="false">IF(AND(AG45&gt;=0,COUNTIF(AG45:AL45,"&lt;0")=0),AG$34,99)</f>
        <v>31</v>
      </c>
      <c r="AH47" s="0" t="n">
        <f aca="false">IF(AND(AH45&gt;=0,COUNTIF(AH45:AL45,"&lt;0")=0),AH$34,99)</f>
        <v>32</v>
      </c>
      <c r="AI47" s="0" t="n">
        <f aca="false">IF(AND(AI45&gt;=0,COUNTIF(AI45:AL45,"&lt;0")=0),AI$34,99)</f>
        <v>33</v>
      </c>
      <c r="AJ47" s="0" t="n">
        <f aca="false">IF(AND(AJ45&gt;=0,COUNTIF(AJ45:AL45,"&lt;0")=0),AJ$34,99)</f>
        <v>34</v>
      </c>
      <c r="AK47" s="0" t="n">
        <f aca="false">IF(AND(AK45&gt;=0,COUNTIF(AK45:AL45,"&lt;0")=0),AK$34,99)</f>
        <v>35</v>
      </c>
      <c r="AL47" s="0" t="n">
        <f aca="false">IF(AND(AL45&gt;=0,COUNTIF(AL45:AL45,"&lt;0")=0),AL$34,99)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352</v>
      </c>
    </row>
    <row r="2" customFormat="false" ht="15" hidden="false" customHeight="false" outlineLevel="0" collapsed="false">
      <c r="A2" s="1" t="s">
        <v>230</v>
      </c>
      <c r="B2" s="1" t="s">
        <v>353</v>
      </c>
      <c r="C2" s="1" t="s">
        <v>354</v>
      </c>
      <c r="D2" s="1" t="s">
        <v>355</v>
      </c>
      <c r="E2" s="1" t="s">
        <v>356</v>
      </c>
      <c r="F2" s="1" t="s">
        <v>357</v>
      </c>
      <c r="G2" s="1" t="s">
        <v>358</v>
      </c>
      <c r="H2" s="1" t="s">
        <v>359</v>
      </c>
      <c r="I2" s="1" t="s">
        <v>360</v>
      </c>
      <c r="J2" s="1" t="s">
        <v>361</v>
      </c>
    </row>
    <row r="3" customFormat="false" ht="15" hidden="false" customHeight="false" outlineLevel="0" collapsed="false">
      <c r="A3" s="0" t="s">
        <v>362</v>
      </c>
      <c r="B3" s="0" t="s">
        <v>162</v>
      </c>
      <c r="C3" s="0" t="n">
        <v>0.5</v>
      </c>
      <c r="D3" s="10" t="n">
        <v>-1222403.14657912</v>
      </c>
      <c r="E3" s="10" t="n">
        <v>573263.769089798</v>
      </c>
      <c r="F3" s="10" t="n">
        <v>2368930.68475872</v>
      </c>
      <c r="G3" s="10" t="n">
        <v>4164597.60042763</v>
      </c>
      <c r="H3" s="10" t="n">
        <v>5960264.51609655</v>
      </c>
      <c r="I3" s="0" t="n">
        <v>0.335093951438911</v>
      </c>
      <c r="J3" s="0" t="n">
        <v>0.779683660240762</v>
      </c>
    </row>
    <row r="4" customFormat="false" ht="15" hidden="false" customHeight="false" outlineLevel="0" collapsed="false">
      <c r="A4" s="0" t="s">
        <v>362</v>
      </c>
      <c r="B4" s="0" t="s">
        <v>174</v>
      </c>
      <c r="C4" s="0" t="n">
        <v>600</v>
      </c>
      <c r="D4" s="10" t="n">
        <v>1621797.40542602</v>
      </c>
      <c r="E4" s="10" t="n">
        <v>1995364.04509237</v>
      </c>
      <c r="F4" s="10" t="n">
        <v>2368930.68475872</v>
      </c>
      <c r="G4" s="10" t="n">
        <v>2742497.32442506</v>
      </c>
      <c r="H4" s="10" t="n">
        <v>3116063.96409141</v>
      </c>
      <c r="I4" s="0" t="n">
        <v>-351.208071018288</v>
      </c>
      <c r="J4" s="0" t="n">
        <v>2213.26620384329</v>
      </c>
    </row>
    <row r="5" customFormat="false" ht="15" hidden="false" customHeight="false" outlineLevel="0" collapsed="false">
      <c r="A5" s="0" t="s">
        <v>362</v>
      </c>
      <c r="B5" s="0" t="s">
        <v>168</v>
      </c>
      <c r="C5" s="0" t="n">
        <v>200</v>
      </c>
      <c r="D5" s="10" t="n">
        <v>1435014.08559285</v>
      </c>
      <c r="E5" s="10" t="n">
        <v>1901972.38517578</v>
      </c>
      <c r="F5" s="10" t="n">
        <v>2368930.68475872</v>
      </c>
      <c r="G5" s="10" t="n">
        <v>2835888.98434165</v>
      </c>
      <c r="H5" s="10" t="n">
        <v>3302847.28392458</v>
      </c>
      <c r="I5" s="0" t="n">
        <v>-53.6554856048749</v>
      </c>
      <c r="J5" s="0" t="n">
        <v>630.204321024882</v>
      </c>
    </row>
    <row r="6" customFormat="false" ht="15" hidden="false" customHeight="false" outlineLevel="0" collapsed="false">
      <c r="A6" s="0" t="s">
        <v>362</v>
      </c>
      <c r="B6" s="0" t="s">
        <v>177</v>
      </c>
      <c r="C6" s="0" t="n">
        <v>0.25</v>
      </c>
      <c r="D6" s="10" t="n">
        <v>4279214.63759799</v>
      </c>
      <c r="E6" s="10" t="n">
        <v>3324072.66117835</v>
      </c>
      <c r="F6" s="10" t="n">
        <v>2368930.68475872</v>
      </c>
      <c r="G6" s="10" t="n">
        <v>1413788.70833908</v>
      </c>
      <c r="H6" s="10" t="n">
        <v>458646.731919442</v>
      </c>
      <c r="I6" s="0" t="n">
        <v>0.405011685647424</v>
      </c>
      <c r="J6" s="0" t="n">
        <v>-0.0129026406263166</v>
      </c>
    </row>
    <row r="7" customFormat="false" ht="15" hidden="false" customHeight="false" outlineLevel="0" collapsed="false">
      <c r="A7" s="0" t="s">
        <v>362</v>
      </c>
      <c r="B7" s="0" t="s">
        <v>190</v>
      </c>
      <c r="C7" s="0" t="n">
        <v>3</v>
      </c>
      <c r="D7" s="10" t="n">
        <v>770930.684758715</v>
      </c>
      <c r="E7" s="10" t="n">
        <v>1710930.68475872</v>
      </c>
      <c r="F7" s="10" t="n">
        <v>2368930.68475872</v>
      </c>
      <c r="G7" s="10" t="n">
        <v>3120930.68475872</v>
      </c>
      <c r="H7" s="10" t="n">
        <v>3684930.68475872</v>
      </c>
      <c r="I7" s="0" t="n">
        <v>0.479860973660936</v>
      </c>
      <c r="J7" s="0" t="n">
        <v>7.00381329125905</v>
      </c>
    </row>
    <row r="8" customFormat="false" ht="15" hidden="false" customHeight="false" outlineLevel="0" collapsed="false">
      <c r="A8" s="0" t="s">
        <v>362</v>
      </c>
      <c r="B8" s="0" t="s">
        <v>192</v>
      </c>
      <c r="C8" s="0" t="n">
        <v>1200000</v>
      </c>
      <c r="D8" s="10" t="n">
        <v>958930.684758715</v>
      </c>
      <c r="E8" s="10" t="n">
        <v>1663930.68475872</v>
      </c>
      <c r="F8" s="10" t="n">
        <v>2368930.68475872</v>
      </c>
      <c r="G8" s="10" t="n">
        <v>3073930.68475872</v>
      </c>
      <c r="H8" s="10" t="n">
        <v>3778930.68475872</v>
      </c>
      <c r="I8" s="0" t="n">
        <v>191944.389464375</v>
      </c>
      <c r="J8" s="0" t="n">
        <v>2801525.31650362</v>
      </c>
    </row>
    <row r="9" customFormat="false" ht="15" hidden="false" customHeight="false" outlineLevel="0" collapsed="false">
      <c r="A9" s="0" t="s">
        <v>362</v>
      </c>
      <c r="B9" s="0" t="s">
        <v>55</v>
      </c>
      <c r="C9" s="0" t="n">
        <v>180000</v>
      </c>
      <c r="D9" s="10" t="n">
        <v>3448930.68475872</v>
      </c>
      <c r="E9" s="10" t="n">
        <v>2908930.68475872</v>
      </c>
      <c r="F9" s="10" t="n">
        <v>2368930.68475872</v>
      </c>
      <c r="G9" s="10" t="n">
        <v>1828930.68475872</v>
      </c>
      <c r="H9" s="10" t="n">
        <v>1288930.68475872</v>
      </c>
      <c r="I9" s="0" t="n">
        <v>377410.89039656</v>
      </c>
      <c r="J9" s="0" t="n">
        <v>12729.5780540656</v>
      </c>
    </row>
    <row r="10" customFormat="false" ht="15" hidden="false" customHeight="false" outlineLevel="0" collapsed="false">
      <c r="A10" s="0" t="s">
        <v>362</v>
      </c>
      <c r="B10" s="0" t="s">
        <v>15</v>
      </c>
      <c r="C10" s="0" t="n">
        <v>0.12</v>
      </c>
      <c r="D10" s="10" t="n">
        <v>1551799.02076439</v>
      </c>
      <c r="E10" s="10" t="n">
        <v>1960364.85276155</v>
      </c>
      <c r="F10" s="10" t="n">
        <v>2368930.68475872</v>
      </c>
      <c r="G10" s="10" t="n">
        <v>2777496.51675588</v>
      </c>
      <c r="H10" s="10" t="n">
        <v>3186062.34875304</v>
      </c>
      <c r="I10" s="0" t="n">
        <v>-0.0539448455475708</v>
      </c>
      <c r="J10" s="0" t="n">
        <v>0.383780231535952</v>
      </c>
    </row>
    <row r="11" customFormat="false" ht="15" hidden="false" customHeight="false" outlineLevel="0" collapsed="false">
      <c r="A11" s="0" t="s">
        <v>363</v>
      </c>
      <c r="B11" s="0" t="s">
        <v>15</v>
      </c>
      <c r="C11" s="0" t="n">
        <v>0.12</v>
      </c>
      <c r="D11" s="10" t="n">
        <v>-5429843.91796047</v>
      </c>
      <c r="E11" s="10" t="n">
        <v>-5224665.81448276</v>
      </c>
      <c r="F11" s="10" t="n">
        <v>-5019487.71100504</v>
      </c>
      <c r="G11" s="10" t="n">
        <v>-4814309.60752733</v>
      </c>
      <c r="H11" s="10" t="n">
        <v>-4609131.50404962</v>
      </c>
      <c r="I11" s="0" t="n">
        <v>0.85392154804914</v>
      </c>
      <c r="J11" s="0" t="n">
        <v>1.62063371274821</v>
      </c>
    </row>
    <row r="12" customFormat="false" ht="15" hidden="false" customHeight="false" outlineLevel="0" collapsed="false">
      <c r="A12" s="0" t="s">
        <v>363</v>
      </c>
      <c r="B12" s="0" t="s">
        <v>20</v>
      </c>
      <c r="C12" s="0" t="n">
        <v>0.035</v>
      </c>
      <c r="D12" s="10" t="n">
        <v>-5429843.91796047</v>
      </c>
      <c r="E12" s="10" t="n">
        <v>-5224665.81448276</v>
      </c>
      <c r="F12" s="10" t="n">
        <v>-5019487.71100504</v>
      </c>
      <c r="G12" s="10" t="n">
        <v>-4814309.60752733</v>
      </c>
      <c r="H12" s="10" t="n">
        <v>-4609131.50404962</v>
      </c>
      <c r="I12" s="0" t="n">
        <v>0.249060451514333</v>
      </c>
      <c r="J12" s="0" t="n">
        <v>0.472684832884896</v>
      </c>
    </row>
    <row r="13" customFormat="false" ht="15" hidden="false" customHeight="false" outlineLevel="0" collapsed="false">
      <c r="A13" s="0" t="s">
        <v>363</v>
      </c>
      <c r="B13" s="0" t="s">
        <v>64</v>
      </c>
      <c r="C13" s="0" t="n">
        <v>150000</v>
      </c>
      <c r="D13" s="10" t="n">
        <v>-5143437.28322514</v>
      </c>
      <c r="E13" s="10" t="n">
        <v>-5081462.49711509</v>
      </c>
      <c r="F13" s="10" t="n">
        <v>-5019487.71100504</v>
      </c>
      <c r="G13" s="10" t="n">
        <v>-4957512.924895</v>
      </c>
      <c r="H13" s="10" t="n">
        <v>-4895538.13878495</v>
      </c>
      <c r="I13" s="0" t="n">
        <v>3187215.63199039</v>
      </c>
      <c r="J13" s="0" t="n">
        <v>6360129.92787285</v>
      </c>
    </row>
    <row r="14" customFormat="false" ht="15" hidden="false" customHeight="false" outlineLevel="0" collapsed="false">
      <c r="A14" s="0" t="s">
        <v>363</v>
      </c>
      <c r="B14" s="0" t="s">
        <v>68</v>
      </c>
      <c r="C14" s="0" t="n">
        <v>25000</v>
      </c>
      <c r="D14" s="10" t="n">
        <v>-4893620.96466063</v>
      </c>
      <c r="E14" s="10" t="n">
        <v>-4929368.87225546</v>
      </c>
      <c r="F14" s="10" t="n">
        <v>-5019487.71100504</v>
      </c>
      <c r="G14" s="10" t="n">
        <v>-5109606.54975463</v>
      </c>
      <c r="H14" s="10" t="n">
        <v>-5199725.38850422</v>
      </c>
      <c r="I14" s="0" t="n">
        <v>-323115.872652943</v>
      </c>
      <c r="J14" s="0" t="n">
        <v>-274994.827850221</v>
      </c>
    </row>
    <row r="15" customFormat="false" ht="15" hidden="false" customHeight="false" outlineLevel="0" collapsed="false">
      <c r="A15" s="0" t="s">
        <v>363</v>
      </c>
      <c r="B15" s="0" t="s">
        <v>51</v>
      </c>
      <c r="C15" s="0" t="n">
        <v>420000</v>
      </c>
      <c r="D15" s="10" t="n">
        <v>-2499487.71100504</v>
      </c>
      <c r="E15" s="10" t="n">
        <v>-3759487.71100504</v>
      </c>
      <c r="F15" s="10" t="n">
        <v>-5019487.71100504</v>
      </c>
      <c r="G15" s="10" t="n">
        <v>-6279487.71100504</v>
      </c>
      <c r="H15" s="10" t="n">
        <v>-7539487.71100504</v>
      </c>
      <c r="I15" s="0" t="n">
        <v>1709.35741624667</v>
      </c>
      <c r="J15" s="0" t="n">
        <v>-35466.5262989721</v>
      </c>
    </row>
    <row r="16" customFormat="false" ht="15" hidden="false" customHeight="false" outlineLevel="0" collapsed="false">
      <c r="A16" s="0" t="s">
        <v>363</v>
      </c>
      <c r="B16" s="0" t="s">
        <v>31</v>
      </c>
      <c r="C16" s="0" t="n">
        <v>180</v>
      </c>
      <c r="D16" s="10" t="n">
        <v>-4436073.31887738</v>
      </c>
      <c r="E16" s="10" t="n">
        <v>-4727780.51494122</v>
      </c>
      <c r="F16" s="10" t="n">
        <v>-5019487.71100504</v>
      </c>
      <c r="G16" s="10" t="n">
        <v>-5311194.90706888</v>
      </c>
      <c r="H16" s="10" t="n">
        <v>-5602902.1031327</v>
      </c>
      <c r="I16" s="0" t="n">
        <v>-594.327647871263</v>
      </c>
      <c r="J16" s="0" t="n">
        <v>-913.119663117532</v>
      </c>
    </row>
    <row r="17" customFormat="false" ht="15" hidden="false" customHeight="false" outlineLevel="0" collapsed="false">
      <c r="A17" s="0" t="s">
        <v>363</v>
      </c>
      <c r="B17" s="0" t="s">
        <v>10</v>
      </c>
      <c r="C17" s="0" t="n">
        <v>1600</v>
      </c>
      <c r="D17" s="10" t="n">
        <v>-5429843.91796047</v>
      </c>
      <c r="E17" s="10" t="n">
        <v>-5224665.81448276</v>
      </c>
      <c r="F17" s="10" t="n">
        <v>-5019487.71100504</v>
      </c>
      <c r="G17" s="10" t="n">
        <v>-4814309.60752733</v>
      </c>
      <c r="H17" s="10" t="n">
        <v>-4609131.50404962</v>
      </c>
      <c r="I17" s="0" t="n">
        <v>11385.6206406552</v>
      </c>
      <c r="J17" s="0" t="n">
        <v>21608.4495033095</v>
      </c>
    </row>
    <row r="18" customFormat="false" ht="15" hidden="false" customHeight="false" outlineLevel="0" collapsed="false">
      <c r="A18" s="0" t="s">
        <v>364</v>
      </c>
      <c r="B18" s="0" t="s">
        <v>98</v>
      </c>
      <c r="C18" s="0" t="n">
        <v>0.01</v>
      </c>
      <c r="D18" s="10" t="n">
        <v>-4092276.08253711</v>
      </c>
      <c r="E18" s="10" t="n">
        <v>-3592849.77727829</v>
      </c>
      <c r="F18" s="10" t="n">
        <v>-3093423.47201946</v>
      </c>
      <c r="G18" s="10" t="n">
        <v>-2593997.16676064</v>
      </c>
      <c r="H18" s="10" t="n">
        <v>-2094570.86150181</v>
      </c>
      <c r="I18" s="0" t="n">
        <v>0.0254848845537697</v>
      </c>
      <c r="J18" s="0" t="n">
        <v>0.0586984422405618</v>
      </c>
    </row>
    <row r="19" customFormat="false" ht="15" hidden="false" customHeight="false" outlineLevel="0" collapsed="false">
      <c r="A19" s="0" t="s">
        <v>364</v>
      </c>
      <c r="B19" s="0" t="s">
        <v>93</v>
      </c>
      <c r="C19" s="0" t="n">
        <v>2900</v>
      </c>
      <c r="D19" s="10" t="n">
        <v>-4092276.08253711</v>
      </c>
      <c r="E19" s="10" t="n">
        <v>-3592849.77727829</v>
      </c>
      <c r="F19" s="10" t="n">
        <v>-3093423.47201946</v>
      </c>
      <c r="G19" s="10" t="n">
        <v>-2593997.16676064</v>
      </c>
      <c r="H19" s="10" t="n">
        <v>-2094570.86150181</v>
      </c>
      <c r="I19" s="0" t="n">
        <v>7390.61652059321</v>
      </c>
      <c r="J19" s="0" t="n">
        <v>17022.5482497629</v>
      </c>
    </row>
    <row r="20" customFormat="false" ht="15" hidden="false" customHeight="false" outlineLevel="0" collapsed="false">
      <c r="A20" s="0" t="s">
        <v>364</v>
      </c>
      <c r="B20" s="0" t="s">
        <v>51</v>
      </c>
      <c r="C20" s="0" t="n">
        <v>420000</v>
      </c>
      <c r="D20" s="10" t="n">
        <v>-573423.472019461</v>
      </c>
      <c r="E20" s="10" t="n">
        <v>-1833423.47201946</v>
      </c>
      <c r="F20" s="10" t="n">
        <v>-3093423.47201946</v>
      </c>
      <c r="G20" s="10" t="n">
        <v>-4353423.47201946</v>
      </c>
      <c r="H20" s="10" t="n">
        <v>-5613423.47201946</v>
      </c>
      <c r="I20" s="0" t="n">
        <v>162214.710665045</v>
      </c>
      <c r="J20" s="0" t="n">
        <v>-2486.6286862389</v>
      </c>
    </row>
    <row r="21" customFormat="false" ht="15" hidden="false" customHeight="false" outlineLevel="0" collapsed="false">
      <c r="A21" s="0" t="s">
        <v>365</v>
      </c>
      <c r="B21" s="0" t="s">
        <v>134</v>
      </c>
      <c r="C21" s="0" t="n">
        <v>0.45</v>
      </c>
      <c r="D21" s="10" t="n">
        <v>11467500</v>
      </c>
      <c r="E21" s="10" t="n">
        <v>5696250</v>
      </c>
      <c r="F21" s="10" t="n">
        <v>-74999.9999999985</v>
      </c>
      <c r="G21" s="10" t="n">
        <v>-5846250</v>
      </c>
      <c r="H21" s="10" t="n">
        <v>-11617500</v>
      </c>
      <c r="I21" s="0" t="n">
        <v>0.448538011695907</v>
      </c>
      <c r="J21" s="0" t="n">
        <v>0.366362802430914</v>
      </c>
    </row>
    <row r="22" customFormat="false" ht="15" hidden="false" customHeight="false" outlineLevel="0" collapsed="false">
      <c r="A22" s="0" t="s">
        <v>365</v>
      </c>
      <c r="B22" s="0" t="s">
        <v>127</v>
      </c>
      <c r="C22" s="0" t="n">
        <v>1900</v>
      </c>
      <c r="D22" s="10" t="n">
        <v>-2640000</v>
      </c>
      <c r="E22" s="10" t="n">
        <v>-1357500</v>
      </c>
      <c r="F22" s="10" t="n">
        <v>-74999.9999999985</v>
      </c>
      <c r="G22" s="10" t="n">
        <v>1207500</v>
      </c>
      <c r="H22" s="10" t="n">
        <v>2490000</v>
      </c>
      <c r="I22" s="0" t="n">
        <v>1927.77777777778</v>
      </c>
      <c r="J22" s="0" t="n">
        <v>4472.83950617285</v>
      </c>
    </row>
    <row r="23" customFormat="false" ht="15" hidden="false" customHeight="false" outlineLevel="0" collapsed="false">
      <c r="A23" s="0" t="s">
        <v>365</v>
      </c>
      <c r="B23" s="0" t="s">
        <v>124</v>
      </c>
      <c r="C23" s="0" t="n">
        <v>90</v>
      </c>
      <c r="D23" s="10" t="n">
        <v>-1357500</v>
      </c>
      <c r="E23" s="10" t="n">
        <v>-716249.999999999</v>
      </c>
      <c r="F23" s="10" t="n">
        <v>-74999.9999999985</v>
      </c>
      <c r="G23" s="10" t="n">
        <v>566250.000000002</v>
      </c>
      <c r="H23" s="10" t="n">
        <v>1207500</v>
      </c>
      <c r="I23" s="0" t="n">
        <v>92.6315789473684</v>
      </c>
      <c r="J23" s="0" t="n">
        <v>729.824561403509</v>
      </c>
    </row>
    <row r="24" customFormat="false" ht="15" hidden="false" customHeight="false" outlineLevel="0" collapsed="false">
      <c r="A24" s="0" t="s">
        <v>365</v>
      </c>
      <c r="B24" s="0" t="s">
        <v>130</v>
      </c>
      <c r="C24" s="0" t="n">
        <v>0.26</v>
      </c>
      <c r="D24" s="10" t="n">
        <v>6594000.00000001</v>
      </c>
      <c r="E24" s="10" t="n">
        <v>3259500</v>
      </c>
      <c r="F24" s="10" t="n">
        <v>-74999.9999999985</v>
      </c>
      <c r="G24" s="10" t="n">
        <v>-3409500</v>
      </c>
      <c r="H24" s="10" t="n">
        <v>-6744000</v>
      </c>
      <c r="I24" s="0" t="n">
        <v>0.258538011695907</v>
      </c>
      <c r="J24" s="0" t="n">
        <v>0.187085520067976</v>
      </c>
    </row>
    <row r="25" customFormat="false" ht="15" hidden="false" customHeight="false" outlineLevel="0" collapsed="false">
      <c r="A25" s="0" t="s">
        <v>365</v>
      </c>
      <c r="B25" s="0" t="s">
        <v>140</v>
      </c>
      <c r="C25" s="0" t="n">
        <v>0.09</v>
      </c>
      <c r="D25" s="10" t="n">
        <v>2233500</v>
      </c>
      <c r="E25" s="10" t="n">
        <v>1079250</v>
      </c>
      <c r="F25" s="10" t="n">
        <v>-74999.9999999985</v>
      </c>
      <c r="G25" s="10" t="n">
        <v>-1229250</v>
      </c>
      <c r="H25" s="10" t="n">
        <v>-2383500</v>
      </c>
      <c r="I25" s="0" t="n">
        <v>0.0885380116959065</v>
      </c>
      <c r="J25" s="0" t="n">
        <v>0.00636280243091392</v>
      </c>
    </row>
    <row r="26" customFormat="false" ht="15" hidden="false" customHeight="false" outlineLevel="0" collapsed="false">
      <c r="A26" s="0" t="s">
        <v>366</v>
      </c>
      <c r="B26" s="0" t="s">
        <v>162</v>
      </c>
      <c r="C26" s="0" t="n">
        <v>0.5</v>
      </c>
      <c r="D26" s="10" t="n">
        <v>-2269234.07434071</v>
      </c>
      <c r="E26" s="10" t="n">
        <v>-473567.158671796</v>
      </c>
      <c r="F26" s="10" t="n">
        <v>1322099.75699712</v>
      </c>
      <c r="G26" s="10" t="n">
        <v>3117766.67266604</v>
      </c>
      <c r="H26" s="10" t="n">
        <v>4913433.58833496</v>
      </c>
      <c r="I26" s="0" t="n">
        <v>0.407965966191967</v>
      </c>
      <c r="J26" s="0" t="n">
        <v>0.588755008860718</v>
      </c>
    </row>
    <row r="27" customFormat="false" ht="15" hidden="false" customHeight="false" outlineLevel="0" collapsed="false">
      <c r="A27" s="0" t="s">
        <v>366</v>
      </c>
      <c r="B27" s="0" t="s">
        <v>174</v>
      </c>
      <c r="C27" s="0" t="n">
        <v>600</v>
      </c>
      <c r="D27" s="10" t="n">
        <v>574966.477664428</v>
      </c>
      <c r="E27" s="10" t="n">
        <v>948533.117330774</v>
      </c>
      <c r="F27" s="10" t="n">
        <v>1322099.75699712</v>
      </c>
      <c r="G27" s="10" t="n">
        <v>1695666.39666347</v>
      </c>
      <c r="H27" s="10" t="n">
        <v>2069233.03632982</v>
      </c>
      <c r="I27" s="0" t="n">
        <v>69.1309595345731</v>
      </c>
      <c r="J27" s="0" t="n">
        <v>1111.95502838296</v>
      </c>
    </row>
    <row r="28" customFormat="false" ht="15" hidden="false" customHeight="false" outlineLevel="0" collapsed="false">
      <c r="A28" s="0" t="s">
        <v>366</v>
      </c>
      <c r="B28" s="0" t="s">
        <v>177</v>
      </c>
      <c r="C28" s="0" t="n">
        <v>0.25</v>
      </c>
      <c r="D28" s="10" t="n">
        <v>3232383.70983639</v>
      </c>
      <c r="E28" s="10" t="n">
        <v>2277241.73341676</v>
      </c>
      <c r="F28" s="10" t="n">
        <v>1322099.75699712</v>
      </c>
      <c r="G28" s="10" t="n">
        <v>366957.780577484</v>
      </c>
      <c r="H28" s="10" t="n">
        <v>-588184.195842153</v>
      </c>
      <c r="I28" s="0" t="n">
        <v>0.336511991779551</v>
      </c>
      <c r="J28" s="0" t="n">
        <v>0.166570291670926</v>
      </c>
    </row>
    <row r="29" customFormat="false" ht="15" hidden="false" customHeight="false" outlineLevel="0" collapsed="false">
      <c r="A29" s="0" t="s">
        <v>366</v>
      </c>
      <c r="B29" s="0" t="s">
        <v>171</v>
      </c>
      <c r="C29" s="0" t="n">
        <v>1200</v>
      </c>
      <c r="D29" s="10" t="n">
        <v>574966.477664428</v>
      </c>
      <c r="E29" s="10" t="n">
        <v>948533.117330774</v>
      </c>
      <c r="F29" s="10" t="n">
        <v>1322099.75699712</v>
      </c>
      <c r="G29" s="10" t="n">
        <v>1695666.39666347</v>
      </c>
      <c r="H29" s="10" t="n">
        <v>2069233.03632981</v>
      </c>
      <c r="I29" s="0" t="n">
        <v>138.261919069146</v>
      </c>
      <c r="J29" s="0" t="n">
        <v>2223.91005676592</v>
      </c>
    </row>
    <row r="30" customFormat="false" ht="15" hidden="false" customHeight="false" outlineLevel="0" collapsed="false">
      <c r="A30" s="0" t="s">
        <v>367</v>
      </c>
      <c r="B30" s="0" t="s">
        <v>15</v>
      </c>
      <c r="C30" s="0" t="n">
        <v>0.12</v>
      </c>
      <c r="D30" s="10" t="n">
        <v>-1054300.73623273</v>
      </c>
      <c r="E30" s="10" t="n">
        <v>-645734.904235567</v>
      </c>
      <c r="F30" s="10" t="n">
        <v>-237169.072238405</v>
      </c>
      <c r="G30" s="10" t="n">
        <v>171396.759758757</v>
      </c>
      <c r="H30" s="10" t="n">
        <v>579962.591755919</v>
      </c>
      <c r="I30" s="0" t="n">
        <v>0.137414750842899</v>
      </c>
      <c r="J30" s="0" t="n">
        <v>0.240629066204786</v>
      </c>
    </row>
    <row r="31" customFormat="false" ht="15" hidden="false" customHeight="false" outlineLevel="0" collapsed="false">
      <c r="A31" s="0" t="s">
        <v>367</v>
      </c>
      <c r="B31" s="0" t="s">
        <v>20</v>
      </c>
      <c r="C31" s="0" t="n">
        <v>0.035</v>
      </c>
      <c r="D31" s="10" t="n">
        <v>-1054300.73623273</v>
      </c>
      <c r="E31" s="10" t="n">
        <v>-645734.904235568</v>
      </c>
      <c r="F31" s="10" t="n">
        <v>-237169.072238405</v>
      </c>
      <c r="G31" s="10" t="n">
        <v>171396.759758756</v>
      </c>
      <c r="H31" s="10" t="n">
        <v>579962.591755918</v>
      </c>
      <c r="I31" s="0" t="n">
        <v>0.0400793023291788</v>
      </c>
      <c r="J31" s="0" t="n">
        <v>0.0701834776430626</v>
      </c>
    </row>
    <row r="32" customFormat="false" ht="15" hidden="false" customHeight="false" outlineLevel="0" collapsed="false">
      <c r="A32" s="0" t="s">
        <v>367</v>
      </c>
      <c r="B32" s="0" t="s">
        <v>215</v>
      </c>
      <c r="C32" s="0" t="n">
        <v>12000</v>
      </c>
      <c r="D32" s="10" t="n">
        <v>-482710.315017968</v>
      </c>
      <c r="E32" s="10" t="n">
        <v>-359939.693628187</v>
      </c>
      <c r="F32" s="10" t="n">
        <v>-237169.072238405</v>
      </c>
      <c r="G32" s="10" t="n">
        <v>-114398.450848624</v>
      </c>
      <c r="H32" s="10" t="n">
        <v>8372.17054115735</v>
      </c>
      <c r="I32" s="0" t="n">
        <v>17795.4192025816</v>
      </c>
      <c r="J32" s="0" t="n">
        <v>117143.896625868</v>
      </c>
    </row>
    <row r="33" customFormat="false" ht="15" hidden="false" customHeight="false" outlineLevel="0" collapsed="false">
      <c r="A33" s="0" t="s">
        <v>367</v>
      </c>
      <c r="B33" s="0" t="s">
        <v>221</v>
      </c>
      <c r="C33" s="0" t="n">
        <v>110000</v>
      </c>
      <c r="D33" s="10" t="n">
        <v>422830.927761595</v>
      </c>
      <c r="E33" s="10" t="n">
        <v>92830.9277615946</v>
      </c>
      <c r="F33" s="10" t="n">
        <v>-237169.072238405</v>
      </c>
      <c r="G33" s="10" t="n">
        <v>-567169.072238405</v>
      </c>
      <c r="H33" s="10" t="n">
        <v>-897169.072238405</v>
      </c>
      <c r="I33" s="0" t="n">
        <v>90235.9106467996</v>
      </c>
      <c r="J33" s="0" t="n">
        <v>33505.7354922806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40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368</v>
      </c>
      <c r="B1" s="1" t="s">
        <v>369</v>
      </c>
      <c r="C1" s="1" t="s">
        <v>370</v>
      </c>
    </row>
    <row r="2" customFormat="false" ht="15" hidden="false" customHeight="false" outlineLevel="0" collapsed="false">
      <c r="A2" s="0" t="s">
        <v>371</v>
      </c>
      <c r="B2" s="0" t="s">
        <v>372</v>
      </c>
      <c r="C2" s="0" t="s">
        <v>373</v>
      </c>
    </row>
    <row r="3" customFormat="false" ht="15" hidden="false" customHeight="false" outlineLevel="0" collapsed="false">
      <c r="A3" s="0" t="s">
        <v>374</v>
      </c>
      <c r="B3" s="0" t="s">
        <v>375</v>
      </c>
      <c r="C3" s="0" t="s">
        <v>376</v>
      </c>
    </row>
    <row r="4" customFormat="false" ht="15" hidden="false" customHeight="false" outlineLevel="0" collapsed="false">
      <c r="A4" s="0" t="s">
        <v>377</v>
      </c>
      <c r="B4" s="0" t="s">
        <v>378</v>
      </c>
      <c r="C4" s="0" t="s">
        <v>379</v>
      </c>
    </row>
    <row r="5" customFormat="false" ht="15" hidden="false" customHeight="false" outlineLevel="0" collapsed="false">
      <c r="A5" s="0" t="s">
        <v>380</v>
      </c>
      <c r="B5" s="0" t="s">
        <v>381</v>
      </c>
      <c r="C5" s="0" t="s">
        <v>382</v>
      </c>
    </row>
    <row r="6" customFormat="false" ht="15" hidden="false" customHeight="false" outlineLevel="0" collapsed="false">
      <c r="A6" s="0" t="s">
        <v>383</v>
      </c>
      <c r="B6" s="0" t="s">
        <v>384</v>
      </c>
      <c r="C6" s="0" t="s">
        <v>385</v>
      </c>
    </row>
    <row r="7" customFormat="false" ht="15" hidden="false" customHeight="false" outlineLevel="0" collapsed="false">
      <c r="A7" s="0" t="s">
        <v>386</v>
      </c>
      <c r="B7" s="0" t="s">
        <v>387</v>
      </c>
      <c r="C7" s="0" t="s">
        <v>388</v>
      </c>
    </row>
    <row r="8" customFormat="false" ht="15" hidden="false" customHeight="false" outlineLevel="0" collapsed="false">
      <c r="A8" s="0" t="s">
        <v>389</v>
      </c>
      <c r="B8" s="0" t="s">
        <v>390</v>
      </c>
      <c r="C8" s="0" t="s">
        <v>391</v>
      </c>
    </row>
    <row r="9" customFormat="false" ht="15" hidden="false" customHeight="false" outlineLevel="0" collapsed="false">
      <c r="A9" s="0" t="s">
        <v>392</v>
      </c>
      <c r="B9" s="0" t="s">
        <v>384</v>
      </c>
      <c r="C9" s="0" t="s">
        <v>393</v>
      </c>
    </row>
    <row r="10" customFormat="false" ht="15" hidden="false" customHeight="false" outlineLevel="0" collapsed="false">
      <c r="A10" s="0" t="s">
        <v>394</v>
      </c>
      <c r="B10" s="0" t="s">
        <v>395</v>
      </c>
      <c r="C10" s="0" t="s">
        <v>396</v>
      </c>
    </row>
    <row r="11" customFormat="false" ht="15" hidden="false" customHeight="false" outlineLevel="0" collapsed="false">
      <c r="A11" s="0" t="s">
        <v>397</v>
      </c>
      <c r="B11" s="0" t="s">
        <v>398</v>
      </c>
      <c r="C11" s="0" t="s">
        <v>399</v>
      </c>
    </row>
    <row r="12" customFormat="false" ht="15" hidden="false" customHeight="false" outlineLevel="0" collapsed="false">
      <c r="A12" s="0" t="s">
        <v>400</v>
      </c>
      <c r="B12" s="0" t="s">
        <v>401</v>
      </c>
      <c r="C12" s="0" t="s">
        <v>402</v>
      </c>
    </row>
    <row r="13" customFormat="false" ht="15" hidden="false" customHeight="false" outlineLevel="0" collapsed="false">
      <c r="A13" s="0" t="s">
        <v>403</v>
      </c>
      <c r="B13" s="0" t="s">
        <v>404</v>
      </c>
      <c r="C13" s="0" t="s">
        <v>405</v>
      </c>
    </row>
    <row r="14" customFormat="false" ht="15" hidden="false" customHeight="false" outlineLevel="0" collapsed="false">
      <c r="A14" s="0" t="s">
        <v>406</v>
      </c>
      <c r="B14" s="0" t="s">
        <v>407</v>
      </c>
      <c r="C14" s="0" t="s">
        <v>408</v>
      </c>
    </row>
    <row r="15" customFormat="false" ht="15" hidden="false" customHeight="false" outlineLevel="0" collapsed="false">
      <c r="A15" s="0" t="s">
        <v>409</v>
      </c>
      <c r="B15" s="0" t="s">
        <v>410</v>
      </c>
      <c r="C15" s="0" t="s">
        <v>411</v>
      </c>
    </row>
    <row r="16" customFormat="false" ht="15" hidden="false" customHeight="false" outlineLevel="0" collapsed="false">
      <c r="A16" s="0" t="s">
        <v>412</v>
      </c>
      <c r="B16" s="0" t="s">
        <v>413</v>
      </c>
      <c r="C16" s="0" t="s">
        <v>414</v>
      </c>
    </row>
    <row r="17" customFormat="false" ht="15" hidden="false" customHeight="false" outlineLevel="0" collapsed="false">
      <c r="A17" s="0" t="s">
        <v>415</v>
      </c>
      <c r="B17" s="0" t="s">
        <v>416</v>
      </c>
      <c r="C17" s="0" t="s">
        <v>417</v>
      </c>
    </row>
    <row r="18" customFormat="false" ht="15" hidden="false" customHeight="false" outlineLevel="0" collapsed="false">
      <c r="A18" s="0" t="s">
        <v>418</v>
      </c>
      <c r="B18" s="0" t="s">
        <v>419</v>
      </c>
      <c r="C18" s="0" t="s">
        <v>420</v>
      </c>
    </row>
    <row r="19" customFormat="false" ht="15" hidden="false" customHeight="false" outlineLevel="0" collapsed="false">
      <c r="A19" s="0" t="s">
        <v>421</v>
      </c>
      <c r="B19" s="0" t="s">
        <v>422</v>
      </c>
      <c r="C19" s="0" t="s">
        <v>423</v>
      </c>
    </row>
    <row r="20" customFormat="false" ht="15" hidden="false" customHeight="false" outlineLevel="0" collapsed="false">
      <c r="A20" s="0" t="s">
        <v>424</v>
      </c>
      <c r="B20" s="0" t="s">
        <v>425</v>
      </c>
      <c r="C20" s="0" t="s">
        <v>426</v>
      </c>
    </row>
    <row r="21" customFormat="false" ht="15" hidden="false" customHeight="false" outlineLevel="0" collapsed="false">
      <c r="A21" s="0" t="s">
        <v>427</v>
      </c>
      <c r="B21" s="0" t="s">
        <v>428</v>
      </c>
      <c r="C21" s="0" t="s">
        <v>429</v>
      </c>
    </row>
    <row r="22" customFormat="false" ht="15" hidden="false" customHeight="false" outlineLevel="0" collapsed="false">
      <c r="A22" s="0" t="s">
        <v>430</v>
      </c>
      <c r="B22" s="0" t="s">
        <v>431</v>
      </c>
      <c r="C22" s="0" t="s">
        <v>432</v>
      </c>
    </row>
    <row r="23" customFormat="false" ht="15" hidden="false" customHeight="false" outlineLevel="0" collapsed="false">
      <c r="A23" s="0" t="s">
        <v>433</v>
      </c>
      <c r="B23" s="0" t="s">
        <v>434</v>
      </c>
      <c r="C23" s="0" t="s">
        <v>435</v>
      </c>
    </row>
    <row r="24" customFormat="false" ht="15" hidden="false" customHeight="false" outlineLevel="0" collapsed="false">
      <c r="A24" s="0" t="s">
        <v>436</v>
      </c>
      <c r="B24" s="0" t="s">
        <v>437</v>
      </c>
      <c r="C24" s="0" t="s">
        <v>438</v>
      </c>
    </row>
    <row r="25" customFormat="false" ht="15" hidden="false" customHeight="false" outlineLevel="0" collapsed="false">
      <c r="A25" s="0" t="s">
        <v>439</v>
      </c>
      <c r="B25" s="0" t="s">
        <v>440</v>
      </c>
      <c r="C25" s="0" t="s">
        <v>441</v>
      </c>
    </row>
    <row r="26" customFormat="false" ht="15" hidden="false" customHeight="false" outlineLevel="0" collapsed="false">
      <c r="A26" s="0" t="s">
        <v>442</v>
      </c>
      <c r="B26" s="0" t="s">
        <v>443</v>
      </c>
      <c r="C26" s="0" t="s">
        <v>444</v>
      </c>
    </row>
    <row r="27" customFormat="false" ht="15" hidden="false" customHeight="false" outlineLevel="0" collapsed="false">
      <c r="A27" s="0" t="s">
        <v>445</v>
      </c>
      <c r="B27" s="0" t="s">
        <v>446</v>
      </c>
      <c r="C27" s="0" t="s">
        <v>447</v>
      </c>
    </row>
    <row r="28" customFormat="false" ht="15" hidden="false" customHeight="false" outlineLevel="0" collapsed="false">
      <c r="A28" s="0" t="s">
        <v>448</v>
      </c>
      <c r="B28" s="0" t="s">
        <v>449</v>
      </c>
      <c r="C28" s="0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2026-10-14T14:55:50Z</dcterms:created>
  <dc:creator>openpyxl</dc:creator>
  <dc:description/>
  <dc:language>en-US</dc:language>
  <cp:lastModifiedBy/>
  <dcterms:modified xsi:type="dcterms:W3CDTF">2026-10-14T14:55:51Z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