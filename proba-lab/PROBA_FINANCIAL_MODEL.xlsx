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Допущения" sheetId="2" state="visible" r:id="rId4"/>
    <sheet name="Сводка" sheetId="3" state="visible" r:id="rId5"/>
    <sheet name="Объёмы" sheetId="4" state="visible" r:id="rId6"/>
    <sheet name="Консерв." sheetId="5" state="visible" r:id="rId7"/>
    <sheet name="Базовый" sheetId="6" state="visible" r:id="rId8"/>
    <sheet name="Оптим.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<sst xmlns="http://schemas.openxmlformats.org/spreadsheetml/2006/main" count="172" uniqueCount="96">
  <si>
    <t xml:space="preserve">Proba Lab — сценарная финансовая модель 2026–2029 (36 мес.)</t>
  </si>
  <si>
    <t xml:space="preserve">Жёлтые ячейки на листе «Допущения» и «Объёмы» — изменяемые предположения. Остальное считается формулами.</t>
  </si>
  <si>
    <t xml:space="preserve">Это целевые сценарии бюро, а НЕ рыночный прогноз. Цены — оценка на основе трудоёмкости, подлежит проверке на первых 10 переговорах.</t>
  </si>
  <si>
    <t xml:space="preserve">Налоги: упрощённо ИП на УСН «доходы» 6% + 1% взносов с дохода свыше 300 тыс./год (≈25 тыс./мес.) + фиксированные взносы ≈4,8 тыс./мес.</t>
  </si>
  <si>
    <t xml:space="preserve">Уменьшение налога на сумму взносов (разрешено ИП) НЕ учтено — модель консервативна. Сверьте режим с бухгалтером.</t>
  </si>
  <si>
    <t xml:space="preserve">НДС: если выручка предыдущего года &gt; порога (20 млн ₽ в 2026–2029 по закону 228-ФЗ — проверить), применяется ставка 5% без вычетов.</t>
  </si>
  <si>
    <t xml:space="preserve">Личный доход основателя = прибыль после налогов × доля изъятия. Для ООО добавьте НДФЛ с дивидендов (13–15%).</t>
  </si>
  <si>
    <t xml:space="preserve">Часы основателя — ключевой ограничитель. Если «Часы основателя/нед.» &gt; 15, сценарий нереализуем без найма или ухода с основной работы.</t>
  </si>
  <si>
    <t xml:space="preserve">Листы: Допущения → Объёмы (по периодам и сценариям) → Консерв./Базовый/Оптим. (помесячно) → Сводка.</t>
  </si>
  <si>
    <t xml:space="preserve">Параметр</t>
  </si>
  <si>
    <t xml:space="preserve">Значение</t>
  </si>
  <si>
    <t xml:space="preserve">Комментарий</t>
  </si>
  <si>
    <t xml:space="preserve">Цена: аудит доказательности (Entry), ₽</t>
  </si>
  <si>
    <t xml:space="preserve">диапазон 60–120 тыс.</t>
  </si>
  <si>
    <t xml:space="preserve">Цена: core-проект (досье/GTM), средняя, ₽</t>
  </si>
  <si>
    <t xml:space="preserve">досье 380 тыс., GTM 450 тыс., пакет 690 тыс.</t>
  </si>
  <si>
    <t xml:space="preserve">Цена: абонемент «внешний продуктовый офис», ₽/мес</t>
  </si>
  <si>
    <t xml:space="preserve">мин. срок 3 мес.</t>
  </si>
  <si>
    <t xml:space="preserve">Себестоимость аудита, % выручки</t>
  </si>
  <si>
    <t xml:space="preserve">аналитик + дизайн</t>
  </si>
  <si>
    <t xml:space="preserve">Себестоимость core-проекта, % выручки</t>
  </si>
  <si>
    <t xml:space="preserve">медрайтер, дизайн, юрист по рекламе</t>
  </si>
  <si>
    <t xml:space="preserve">Себестоимость абонемента, % выручки</t>
  </si>
  <si>
    <t xml:space="preserve">аналитик/райтер, дизайн</t>
  </si>
  <si>
    <t xml:space="preserve">Индексация цен, год 2</t>
  </si>
  <si>
    <t xml:space="preserve">Индексация цен, год 3</t>
  </si>
  <si>
    <t xml:space="preserve">к уровню года 1</t>
  </si>
  <si>
    <t xml:space="preserve">Opex/мес, период 1 (м1–3), ₽</t>
  </si>
  <si>
    <t xml:space="preserve">CRM, сервисы, бухгалтерия, домен, юрист</t>
  </si>
  <si>
    <t xml:space="preserve">Opex/мес, период 2 (м4–6), ₽</t>
  </si>
  <si>
    <t xml:space="preserve">Opex/мес, период 3 (м7–12), ₽</t>
  </si>
  <si>
    <t xml:space="preserve">+ конференции</t>
  </si>
  <si>
    <t xml:space="preserve">Opex/мес, период 4 (м13–24), ₽</t>
  </si>
  <si>
    <t xml:space="preserve">Opex/мес, период 5 (м25–36), ₽</t>
  </si>
  <si>
    <t xml:space="preserve">Стоимость 1 штатного FTE (руководитель проектов/медрайтер), ₽/мес</t>
  </si>
  <si>
    <t xml:space="preserve">с взносами</t>
  </si>
  <si>
    <t xml:space="preserve">Ставка УСН</t>
  </si>
  <si>
    <t xml:space="preserve">Доп. взносы ИП с дохода &gt; 300 тыс./год</t>
  </si>
  <si>
    <t xml:space="preserve">Порог дохода, ₽/мес, выше которого 1%</t>
  </si>
  <si>
    <t xml:space="preserve">300 тыс./12</t>
  </si>
  <si>
    <t xml:space="preserve">Фикс. взносы ИП, ₽/мес</t>
  </si>
  <si>
    <t xml:space="preserve">≈57,4 тыс./год (2026) — проверить</t>
  </si>
  <si>
    <t xml:space="preserve">Порог НДС, ₽/год</t>
  </si>
  <si>
    <t xml:space="preserve">Ставка НДС (спецставка без вычетов)</t>
  </si>
  <si>
    <t xml:space="preserve">Доля изъятия прибыли основателем</t>
  </si>
  <si>
    <t xml:space="preserve">остальное — резерв/развитие</t>
  </si>
  <si>
    <t xml:space="preserve">Часы основателя: аудит, ч</t>
  </si>
  <si>
    <t xml:space="preserve">после стандартизации; первые 3 — 14 ч</t>
  </si>
  <si>
    <t xml:space="preserve">Часы основателя: core-проект, ч</t>
  </si>
  <si>
    <t xml:space="preserve">Часы основателя: абонемент, ч/мес</t>
  </si>
  <si>
    <t xml:space="preserve">Часы основателя: продажи и админ., ч/мес</t>
  </si>
  <si>
    <t xml:space="preserve">Снижение часов основателя на 1 FTE, ч/мес</t>
  </si>
  <si>
    <t xml:space="preserve">Сценарий</t>
  </si>
  <si>
    <t xml:space="preserve">Горизонт</t>
  </si>
  <si>
    <t xml:space="preserve">Выручка</t>
  </si>
  <si>
    <t xml:space="preserve">Себестоимость</t>
  </si>
  <si>
    <t xml:space="preserve">Opex</t>
  </si>
  <si>
    <t xml:space="preserve">Налоги (УСН+взносы+НДС)</t>
  </si>
  <si>
    <t xml:space="preserve">Прибыль бизнеса</t>
  </si>
  <si>
    <t xml:space="preserve">Личный доход основателя</t>
  </si>
  <si>
    <t xml:space="preserve">Ср. часы основателя/нед</t>
  </si>
  <si>
    <t xml:space="preserve">Консерв.</t>
  </si>
  <si>
    <t xml:space="preserve">3 мес</t>
  </si>
  <si>
    <t xml:space="preserve">6 мес</t>
  </si>
  <si>
    <t xml:space="preserve">12 мес</t>
  </si>
  <si>
    <t xml:space="preserve">Год 2 (м13–24)</t>
  </si>
  <si>
    <t xml:space="preserve">Год 3 (м25–36)</t>
  </si>
  <si>
    <t xml:space="preserve">36 мес итого</t>
  </si>
  <si>
    <t xml:space="preserve">Базовый</t>
  </si>
  <si>
    <t xml:space="preserve">Оптим.</t>
  </si>
  <si>
    <t xml:space="preserve">Сценарий / показатель</t>
  </si>
  <si>
    <t xml:space="preserve">м1–3</t>
  </si>
  <si>
    <t xml:space="preserve">м4–6</t>
  </si>
  <si>
    <t xml:space="preserve">м7–12</t>
  </si>
  <si>
    <t xml:space="preserve">м13–24</t>
  </si>
  <si>
    <t xml:space="preserve">м25–36</t>
  </si>
  <si>
    <t xml:space="preserve">  аудитов в месяц</t>
  </si>
  <si>
    <t xml:space="preserve">  core-проектов в месяц</t>
  </si>
  <si>
    <t xml:space="preserve">  активных абонементов</t>
  </si>
  <si>
    <t xml:space="preserve">  штатных FTE</t>
  </si>
  <si>
    <t xml:space="preserve">Месяц</t>
  </si>
  <si>
    <t xml:space="preserve">Год</t>
  </si>
  <si>
    <t xml:space="preserve">Период</t>
  </si>
  <si>
    <t xml:space="preserve">Аудиты</t>
  </si>
  <si>
    <t xml:space="preserve">Core</t>
  </si>
  <si>
    <t xml:space="preserve">Абонементы</t>
  </si>
  <si>
    <t xml:space="preserve">FTE</t>
  </si>
  <si>
    <t xml:space="preserve">Валовая прибыль</t>
  </si>
  <si>
    <t xml:space="preserve">Opex (вкл. FTE)</t>
  </si>
  <si>
    <t xml:space="preserve">НДС</t>
  </si>
  <si>
    <t xml:space="preserve">УСН+взносы</t>
  </si>
  <si>
    <t xml:space="preserve">Прибыль после налогов</t>
  </si>
  <si>
    <t xml:space="preserve">Изъятие основателя</t>
  </si>
  <si>
    <t xml:space="preserve">Часы основателя/мес</t>
  </si>
  <si>
    <t xml:space="preserve">Часы основателя/нед</t>
  </si>
  <si>
    <t xml:space="preserve">Выручка за год до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</si>
</sst>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%"/>
    <numFmt numFmtId="167" formatCode="0.0"/>
    <numFmt numFmtId="168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FFF4D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7" customFormat="false" ht="15" hidden="false" customHeight="false" outlineLevel="0" collapsed="false">
      <c r="A7" s="2" t="s">
        <v>6</v>
      </c>
    </row>
    <row r="8" customFormat="false" ht="15" hidden="false" customHeight="false" outlineLevel="0" collapsed="false">
      <c r="A8" s="2" t="s">
        <v>7</v>
      </c>
    </row>
    <row r="9" customFormat="false" ht="15" hidden="false" customHeight="false" outlineLevel="0" collapsed="false">
      <c r="A9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4"/>
    <col collapsed="false" customWidth="true" hidden="false" outlineLevel="0" max="3" min="3" style="0" width="45"/>
  </cols>
  <sheetData>
    <row r="1" customFormat="false" ht="15" hidden="false" customHeight="false" outlineLevel="0" collapsed="false">
      <c r="A1" s="3" t="s">
        <v>9</v>
      </c>
      <c r="B1" s="3" t="s">
        <v>10</v>
      </c>
      <c r="C1" s="3" t="s">
        <v>11</v>
      </c>
    </row>
    <row r="2" customFormat="false" ht="15" hidden="false" customHeight="false" outlineLevel="0" collapsed="false">
      <c r="A2" s="0" t="s">
        <v>12</v>
      </c>
      <c r="B2" s="4" t="n">
        <v>90000</v>
      </c>
      <c r="C2" s="5" t="s">
        <v>13</v>
      </c>
    </row>
    <row r="3" customFormat="false" ht="15" hidden="false" customHeight="false" outlineLevel="0" collapsed="false">
      <c r="A3" s="0" t="s">
        <v>14</v>
      </c>
      <c r="B3" s="4" t="n">
        <v>420000</v>
      </c>
      <c r="C3" s="5" t="s">
        <v>15</v>
      </c>
    </row>
    <row r="4" customFormat="false" ht="15" hidden="false" customHeight="false" outlineLevel="0" collapsed="false">
      <c r="A4" s="0" t="s">
        <v>16</v>
      </c>
      <c r="B4" s="4" t="n">
        <v>140000</v>
      </c>
      <c r="C4" s="5" t="s">
        <v>17</v>
      </c>
    </row>
    <row r="5" customFormat="false" ht="15" hidden="false" customHeight="false" outlineLevel="0" collapsed="false">
      <c r="A5" s="0" t="s">
        <v>18</v>
      </c>
      <c r="B5" s="6" t="n">
        <v>0.2</v>
      </c>
      <c r="C5" s="5" t="s">
        <v>19</v>
      </c>
    </row>
    <row r="6" customFormat="false" ht="15" hidden="false" customHeight="false" outlineLevel="0" collapsed="false">
      <c r="A6" s="0" t="s">
        <v>20</v>
      </c>
      <c r="B6" s="6" t="n">
        <v>0.35</v>
      </c>
      <c r="C6" s="5" t="s">
        <v>21</v>
      </c>
    </row>
    <row r="7" customFormat="false" ht="15" hidden="false" customHeight="false" outlineLevel="0" collapsed="false">
      <c r="A7" s="0" t="s">
        <v>22</v>
      </c>
      <c r="B7" s="6" t="n">
        <v>0.4</v>
      </c>
      <c r="C7" s="5" t="s">
        <v>23</v>
      </c>
    </row>
    <row r="8" customFormat="false" ht="15" hidden="false" customHeight="false" outlineLevel="0" collapsed="false">
      <c r="A8" s="0" t="s">
        <v>24</v>
      </c>
      <c r="B8" s="7" t="n">
        <v>1.1</v>
      </c>
    </row>
    <row r="9" customFormat="false" ht="15" hidden="false" customHeight="false" outlineLevel="0" collapsed="false">
      <c r="A9" s="0" t="s">
        <v>25</v>
      </c>
      <c r="B9" s="7" t="n">
        <v>1.2</v>
      </c>
      <c r="C9" s="5" t="s">
        <v>26</v>
      </c>
    </row>
    <row r="10" customFormat="false" ht="15" hidden="false" customHeight="false" outlineLevel="0" collapsed="false">
      <c r="A10" s="0" t="s">
        <v>27</v>
      </c>
      <c r="B10" s="4" t="n">
        <v>35000</v>
      </c>
      <c r="C10" s="5" t="s">
        <v>28</v>
      </c>
    </row>
    <row r="11" customFormat="false" ht="15" hidden="false" customHeight="false" outlineLevel="0" collapsed="false">
      <c r="A11" s="0" t="s">
        <v>29</v>
      </c>
      <c r="B11" s="4" t="n">
        <v>35000</v>
      </c>
    </row>
    <row r="12" customFormat="false" ht="15" hidden="false" customHeight="false" outlineLevel="0" collapsed="false">
      <c r="A12" s="0" t="s">
        <v>30</v>
      </c>
      <c r="B12" s="4" t="n">
        <v>45000</v>
      </c>
      <c r="C12" s="5" t="s">
        <v>31</v>
      </c>
    </row>
    <row r="13" customFormat="false" ht="15" hidden="false" customHeight="false" outlineLevel="0" collapsed="false">
      <c r="A13" s="0" t="s">
        <v>32</v>
      </c>
      <c r="B13" s="4" t="n">
        <v>70000</v>
      </c>
    </row>
    <row r="14" customFormat="false" ht="15" hidden="false" customHeight="false" outlineLevel="0" collapsed="false">
      <c r="A14" s="0" t="s">
        <v>33</v>
      </c>
      <c r="B14" s="4" t="n">
        <v>90000</v>
      </c>
    </row>
    <row r="15" customFormat="false" ht="15" hidden="false" customHeight="false" outlineLevel="0" collapsed="false">
      <c r="A15" s="0" t="s">
        <v>34</v>
      </c>
      <c r="B15" s="4" t="n">
        <v>170000</v>
      </c>
      <c r="C15" s="5" t="s">
        <v>35</v>
      </c>
    </row>
    <row r="16" customFormat="false" ht="15" hidden="false" customHeight="false" outlineLevel="0" collapsed="false">
      <c r="A16" s="0" t="s">
        <v>36</v>
      </c>
      <c r="B16" s="6" t="n">
        <v>0.06</v>
      </c>
    </row>
    <row r="17" customFormat="false" ht="15" hidden="false" customHeight="false" outlineLevel="0" collapsed="false">
      <c r="A17" s="0" t="s">
        <v>37</v>
      </c>
      <c r="B17" s="6" t="n">
        <v>0.01</v>
      </c>
    </row>
    <row r="18" customFormat="false" ht="15" hidden="false" customHeight="false" outlineLevel="0" collapsed="false">
      <c r="A18" s="0" t="s">
        <v>38</v>
      </c>
      <c r="B18" s="4" t="n">
        <v>25000</v>
      </c>
      <c r="C18" s="5" t="s">
        <v>39</v>
      </c>
    </row>
    <row r="19" customFormat="false" ht="15" hidden="false" customHeight="false" outlineLevel="0" collapsed="false">
      <c r="A19" s="0" t="s">
        <v>40</v>
      </c>
      <c r="B19" s="4" t="n">
        <v>4800</v>
      </c>
      <c r="C19" s="5" t="s">
        <v>41</v>
      </c>
    </row>
    <row r="20" customFormat="false" ht="15" hidden="false" customHeight="false" outlineLevel="0" collapsed="false">
      <c r="A20" s="0" t="s">
        <v>42</v>
      </c>
      <c r="B20" s="4" t="n">
        <v>20000000</v>
      </c>
    </row>
    <row r="21" customFormat="false" ht="15" hidden="false" customHeight="false" outlineLevel="0" collapsed="false">
      <c r="A21" s="0" t="s">
        <v>43</v>
      </c>
      <c r="B21" s="6" t="n">
        <v>0.05</v>
      </c>
    </row>
    <row r="22" customFormat="false" ht="15" hidden="false" customHeight="false" outlineLevel="0" collapsed="false">
      <c r="A22" s="0" t="s">
        <v>44</v>
      </c>
      <c r="B22" s="6" t="n">
        <v>0.7</v>
      </c>
      <c r="C22" s="5" t="s">
        <v>45</v>
      </c>
    </row>
    <row r="23" customFormat="false" ht="15" hidden="false" customHeight="false" outlineLevel="0" collapsed="false">
      <c r="A23" s="0" t="s">
        <v>46</v>
      </c>
      <c r="B23" s="7" t="n">
        <v>10</v>
      </c>
      <c r="C23" s="5" t="s">
        <v>47</v>
      </c>
    </row>
    <row r="24" customFormat="false" ht="15" hidden="false" customHeight="false" outlineLevel="0" collapsed="false">
      <c r="A24" s="0" t="s">
        <v>48</v>
      </c>
      <c r="B24" s="7" t="n">
        <v>30</v>
      </c>
    </row>
    <row r="25" customFormat="false" ht="15" hidden="false" customHeight="false" outlineLevel="0" collapsed="false">
      <c r="A25" s="0" t="s">
        <v>49</v>
      </c>
      <c r="B25" s="7" t="n">
        <v>8</v>
      </c>
    </row>
    <row r="26" customFormat="false" ht="15" hidden="false" customHeight="false" outlineLevel="0" collapsed="false">
      <c r="A26" s="0" t="s">
        <v>50</v>
      </c>
      <c r="B26" s="7" t="n">
        <v>16</v>
      </c>
    </row>
    <row r="27" customFormat="false" ht="15" hidden="false" customHeight="false" outlineLevel="0" collapsed="false">
      <c r="A27" s="0" t="s">
        <v>51</v>
      </c>
      <c r="B27" s="7" t="n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20"/>
  </cols>
  <sheetData>
    <row r="1" customFormat="false" ht="41.75" hidden="false" customHeight="false" outlineLevel="0" collapsed="false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customFormat="false" ht="15" hidden="false" customHeight="false" outlineLevel="0" collapsed="false">
      <c r="A2" s="0" t="s">
        <v>61</v>
      </c>
      <c r="B2" s="0" t="s">
        <v>62</v>
      </c>
      <c r="C2" s="8" t="n">
        <f aca="false">SUM('Консерв.'!H2:H4)</f>
        <v>89100</v>
      </c>
      <c r="D2" s="8" t="n">
        <f aca="false">SUM('Консерв.'!I2:I4)</f>
        <v>17820</v>
      </c>
      <c r="E2" s="8" t="n">
        <f aca="false">SUM('Консерв.'!K2:K4)</f>
        <v>105000</v>
      </c>
      <c r="F2" s="8" t="n">
        <f aca="false">SUM('Консерв.'!L2:L4)+SUM('Консерв.'!M2:M4)</f>
        <v>19887</v>
      </c>
      <c r="G2" s="8" t="n">
        <f aca="false">SUM('Консерв.'!N2:N4)</f>
        <v>-53607</v>
      </c>
      <c r="H2" s="8" t="n">
        <f aca="false">SUM('Консерв.'!O2:O4)</f>
        <v>0</v>
      </c>
      <c r="I2" s="9" t="n">
        <f aca="false">AVERAGE('Консерв.'!Q2:Q4)</f>
        <v>4.45727482678984</v>
      </c>
    </row>
    <row r="3" customFormat="false" ht="15" hidden="false" customHeight="false" outlineLevel="0" collapsed="false">
      <c r="A3" s="0" t="s">
        <v>61</v>
      </c>
      <c r="B3" s="0" t="s">
        <v>63</v>
      </c>
      <c r="C3" s="8" t="n">
        <f aca="false">SUM('Консерв.'!H2:H7)</f>
        <v>685800</v>
      </c>
      <c r="D3" s="8" t="n">
        <f aca="false">SUM('Консерв.'!I2:I7)</f>
        <v>199530</v>
      </c>
      <c r="E3" s="8" t="n">
        <f aca="false">SUM('Консерв.'!K2:K7)</f>
        <v>210000</v>
      </c>
      <c r="F3" s="8" t="n">
        <f aca="false">SUM('Консерв.'!L2:L7)+SUM('Консерв.'!M2:M7)</f>
        <v>75306</v>
      </c>
      <c r="G3" s="8" t="n">
        <f aca="false">SUM('Консерв.'!N2:N7)</f>
        <v>200964</v>
      </c>
      <c r="H3" s="8" t="n">
        <f aca="false">SUM('Консерв.'!O2:O7)</f>
        <v>178199.7</v>
      </c>
      <c r="I3" s="9" t="n">
        <f aca="false">AVERAGE('Консерв.'!Q2:Q7)</f>
        <v>5.99307159353349</v>
      </c>
    </row>
    <row r="4" customFormat="false" ht="15" hidden="false" customHeight="false" outlineLevel="0" collapsed="false">
      <c r="A4" s="0" t="s">
        <v>61</v>
      </c>
      <c r="B4" s="0" t="s">
        <v>64</v>
      </c>
      <c r="C4" s="8" t="n">
        <f aca="false">SUM('Консерв.'!H2:H13)</f>
        <v>2897400</v>
      </c>
      <c r="D4" s="8" t="n">
        <f aca="false">SUM('Консерв.'!I2:I13)</f>
        <v>934590</v>
      </c>
      <c r="E4" s="8" t="n">
        <f aca="false">SUM('Консерв.'!K2:K13)</f>
        <v>480000</v>
      </c>
      <c r="F4" s="8" t="n">
        <f aca="false">SUM('Консерв.'!L2:L13)+SUM('Консерв.'!M2:M13)</f>
        <v>257418</v>
      </c>
      <c r="G4" s="8" t="n">
        <f aca="false">SUM('Консерв.'!N2:N13)</f>
        <v>1225392</v>
      </c>
      <c r="H4" s="8" t="n">
        <f aca="false">SUM('Консерв.'!O2:O13)</f>
        <v>895299.3</v>
      </c>
      <c r="I4" s="9" t="n">
        <f aca="false">AVERAGE('Консерв.'!Q2:Q13)</f>
        <v>8.06581986143187</v>
      </c>
    </row>
    <row r="5" customFormat="false" ht="15" hidden="false" customHeight="false" outlineLevel="0" collapsed="false">
      <c r="A5" s="0" t="s">
        <v>61</v>
      </c>
      <c r="B5" s="0" t="s">
        <v>65</v>
      </c>
      <c r="C5" s="8" t="n">
        <f aca="false">SUM('Консерв.'!H14:H25)</f>
        <v>8250000</v>
      </c>
      <c r="D5" s="8" t="n">
        <f aca="false">SUM('Консерв.'!I14:I25)</f>
        <v>2805000</v>
      </c>
      <c r="E5" s="8" t="n">
        <f aca="false">SUM('Консерв.'!K14:K25)</f>
        <v>840000</v>
      </c>
      <c r="F5" s="8" t="n">
        <f aca="false">SUM('Консерв.'!L14:L25)+SUM('Консерв.'!M14:M25)</f>
        <v>632100</v>
      </c>
      <c r="G5" s="8" t="n">
        <f aca="false">SUM('Консерв.'!N14:N25)</f>
        <v>3972900</v>
      </c>
      <c r="H5" s="8" t="n">
        <f aca="false">SUM('Консерв.'!O14:O25)</f>
        <v>2781030</v>
      </c>
      <c r="I5" s="9" t="n">
        <f aca="false">AVERAGE('Консерв.'!Q14:Q25)</f>
        <v>14.3187066974596</v>
      </c>
    </row>
    <row r="6" customFormat="false" ht="15" hidden="false" customHeight="false" outlineLevel="0" collapsed="false">
      <c r="A6" s="0" t="s">
        <v>61</v>
      </c>
      <c r="B6" s="0" t="s">
        <v>66</v>
      </c>
      <c r="C6" s="8" t="n">
        <f aca="false">SUM('Консерв.'!H26:H37)</f>
        <v>13176000</v>
      </c>
      <c r="D6" s="8" t="n">
        <f aca="false">SUM('Консерв.'!I26:I37)</f>
        <v>4525200</v>
      </c>
      <c r="E6" s="8" t="n">
        <f aca="false">SUM('Консерв.'!K26:K37)</f>
        <v>3120000</v>
      </c>
      <c r="F6" s="8" t="n">
        <f aca="false">SUM('Консерв.'!L26:L37)+SUM('Консерв.'!M26:M37)</f>
        <v>976920</v>
      </c>
      <c r="G6" s="8" t="n">
        <f aca="false">SUM('Консерв.'!N26:N37)</f>
        <v>4553880</v>
      </c>
      <c r="H6" s="8" t="n">
        <f aca="false">SUM('Консерв.'!O26:O37)</f>
        <v>3187716</v>
      </c>
      <c r="I6" s="9" t="n">
        <f aca="false">AVERAGE('Консерв.'!Q26:Q37)</f>
        <v>9.81524249422633</v>
      </c>
    </row>
    <row r="7" customFormat="false" ht="15" hidden="false" customHeight="false" outlineLevel="0" collapsed="false">
      <c r="A7" s="0" t="s">
        <v>61</v>
      </c>
      <c r="B7" s="0" t="s">
        <v>67</v>
      </c>
      <c r="C7" s="8" t="n">
        <f aca="false">SUM('Консерв.'!H2:H37)</f>
        <v>24323400</v>
      </c>
      <c r="D7" s="8" t="n">
        <f aca="false">SUM('Консерв.'!I2:I37)</f>
        <v>8264790</v>
      </c>
      <c r="E7" s="8" t="n">
        <f aca="false">SUM('Консерв.'!K2:K37)</f>
        <v>4440000</v>
      </c>
      <c r="F7" s="8" t="n">
        <f aca="false">SUM('Консерв.'!L2:L37)+SUM('Консерв.'!M2:M37)</f>
        <v>1866438</v>
      </c>
      <c r="G7" s="8" t="n">
        <f aca="false">SUM('Консерв.'!N2:N37)</f>
        <v>9752172</v>
      </c>
      <c r="H7" s="8" t="n">
        <f aca="false">SUM('Консерв.'!O2:O37)</f>
        <v>6864045.3</v>
      </c>
      <c r="I7" s="9" t="n">
        <f aca="false">AVERAGE('Консерв.'!Q2:Q37)</f>
        <v>10.7332563510393</v>
      </c>
    </row>
    <row r="9" customFormat="false" ht="15" hidden="false" customHeight="false" outlineLevel="0" collapsed="false">
      <c r="A9" s="0" t="s">
        <v>68</v>
      </c>
      <c r="B9" s="0" t="s">
        <v>62</v>
      </c>
      <c r="C9" s="8" t="n">
        <f aca="false">SUM(Базовый!H2:H4)</f>
        <v>180900</v>
      </c>
      <c r="D9" s="8" t="n">
        <f aca="false">SUM(Базовый!I2:I4)</f>
        <v>36180</v>
      </c>
      <c r="E9" s="8" t="n">
        <f aca="false">SUM(Базовый!K2:K4)</f>
        <v>105000</v>
      </c>
      <c r="F9" s="8" t="n">
        <f aca="false">SUM(Базовый!L2:L4)+SUM(Базовый!M2:M4)</f>
        <v>26313</v>
      </c>
      <c r="G9" s="8" t="n">
        <f aca="false">SUM(Базовый!N2:N4)</f>
        <v>13407</v>
      </c>
      <c r="H9" s="8" t="n">
        <f aca="false">SUM(Базовый!O2:O4)</f>
        <v>9384.9</v>
      </c>
      <c r="I9" s="9" t="n">
        <f aca="false">AVERAGE(Базовый!Q2:Q4)</f>
        <v>5.24249422632795</v>
      </c>
    </row>
    <row r="10" customFormat="false" ht="15" hidden="false" customHeight="false" outlineLevel="0" collapsed="false">
      <c r="A10" s="0" t="s">
        <v>68</v>
      </c>
      <c r="B10" s="0" t="s">
        <v>63</v>
      </c>
      <c r="C10" s="8" t="n">
        <f aca="false">SUM(Базовый!H2:H7)</f>
        <v>1500900</v>
      </c>
      <c r="D10" s="8" t="n">
        <f aca="false">SUM(Базовый!I2:I7)</f>
        <v>478680</v>
      </c>
      <c r="E10" s="8" t="n">
        <f aca="false">SUM(Базовый!K2:K7)</f>
        <v>210000</v>
      </c>
      <c r="F10" s="8" t="n">
        <f aca="false">SUM(Базовый!L2:L7)+SUM(Базовый!M2:M7)</f>
        <v>132363</v>
      </c>
      <c r="G10" s="8" t="n">
        <f aca="false">SUM(Базовый!N2:N7)</f>
        <v>679857</v>
      </c>
      <c r="H10" s="8" t="n">
        <f aca="false">SUM(Базовый!O2:O7)</f>
        <v>475899.9</v>
      </c>
      <c r="I10" s="9" t="n">
        <f aca="false">AVERAGE(Базовый!Q2:Q7)</f>
        <v>8.27944572748268</v>
      </c>
    </row>
    <row r="11" customFormat="false" ht="15" hidden="false" customHeight="false" outlineLevel="0" collapsed="false">
      <c r="A11" s="0" t="s">
        <v>68</v>
      </c>
      <c r="B11" s="0" t="s">
        <v>64</v>
      </c>
      <c r="C11" s="8" t="n">
        <f aca="false">SUM(Базовый!H2:H13)</f>
        <v>4980900</v>
      </c>
      <c r="D11" s="8" t="n">
        <f aca="false">SUM(Базовый!I2:I13)</f>
        <v>1699680</v>
      </c>
      <c r="E11" s="8" t="n">
        <f aca="false">SUM(Базовый!K2:K13)</f>
        <v>480000</v>
      </c>
      <c r="F11" s="8" t="n">
        <f aca="false">SUM(Базовый!L2:L13)+SUM(Базовый!M2:M13)</f>
        <v>403263</v>
      </c>
      <c r="G11" s="8" t="n">
        <f aca="false">SUM(Базовый!N2:N13)</f>
        <v>2397957</v>
      </c>
      <c r="H11" s="8" t="n">
        <f aca="false">SUM(Базовый!O2:O13)</f>
        <v>1678569.9</v>
      </c>
      <c r="I11" s="9" t="n">
        <f aca="false">AVERAGE(Базовый!Q2:Q13)</f>
        <v>10.7217090069284</v>
      </c>
    </row>
    <row r="12" customFormat="false" ht="15" hidden="false" customHeight="false" outlineLevel="0" collapsed="false">
      <c r="A12" s="0" t="s">
        <v>68</v>
      </c>
      <c r="B12" s="0" t="s">
        <v>65</v>
      </c>
      <c r="C12" s="8" t="n">
        <f aca="false">SUM(Базовый!H14:H25)</f>
        <v>15312000</v>
      </c>
      <c r="D12" s="8" t="n">
        <f aca="false">SUM(Базовый!I14:I25)</f>
        <v>5372400</v>
      </c>
      <c r="E12" s="8" t="n">
        <f aca="false">SUM(Базовый!K14:K25)</f>
        <v>2880000</v>
      </c>
      <c r="F12" s="8" t="n">
        <f aca="false">SUM(Базовый!L14:L25)+SUM(Базовый!M14:M25)</f>
        <v>1126440</v>
      </c>
      <c r="G12" s="8" t="n">
        <f aca="false">SUM(Базовый!N14:N25)</f>
        <v>5933160</v>
      </c>
      <c r="H12" s="8" t="n">
        <f aca="false">SUM(Базовый!O14:O25)</f>
        <v>4153212</v>
      </c>
      <c r="I12" s="9" t="n">
        <f aca="false">AVERAGE(Базовый!Q14:Q25)</f>
        <v>13.3949191685912</v>
      </c>
    </row>
    <row r="13" customFormat="false" ht="15" hidden="false" customHeight="false" outlineLevel="0" collapsed="false">
      <c r="A13" s="0" t="s">
        <v>68</v>
      </c>
      <c r="B13" s="0" t="s">
        <v>66</v>
      </c>
      <c r="C13" s="8" t="n">
        <f aca="false">SUM(Базовый!H26:H37)</f>
        <v>25056000</v>
      </c>
      <c r="D13" s="8" t="n">
        <f aca="false">SUM(Базовый!I26:I37)</f>
        <v>8791200</v>
      </c>
      <c r="E13" s="8" t="n">
        <f aca="false">SUM(Базовый!K26:K37)</f>
        <v>5160000</v>
      </c>
      <c r="F13" s="8" t="n">
        <f aca="false">SUM(Базовый!L26:L37)+SUM(Базовый!M26:M37)</f>
        <v>1808520</v>
      </c>
      <c r="G13" s="8" t="n">
        <f aca="false">SUM(Базовый!N26:N37)</f>
        <v>9296280</v>
      </c>
      <c r="H13" s="8" t="n">
        <f aca="false">SUM(Базовый!O26:O37)</f>
        <v>6507396</v>
      </c>
      <c r="I13" s="9" t="n">
        <f aca="false">AVERAGE(Базовый!Q26:Q37)</f>
        <v>13.6258660508083</v>
      </c>
    </row>
    <row r="14" customFormat="false" ht="15" hidden="false" customHeight="false" outlineLevel="0" collapsed="false">
      <c r="A14" s="0" t="s">
        <v>68</v>
      </c>
      <c r="B14" s="0" t="s">
        <v>67</v>
      </c>
      <c r="C14" s="8" t="n">
        <f aca="false">SUM(Базовый!H2:H37)</f>
        <v>45348900</v>
      </c>
      <c r="D14" s="8" t="n">
        <f aca="false">SUM(Базовый!I2:I37)</f>
        <v>15863280</v>
      </c>
      <c r="E14" s="8" t="n">
        <f aca="false">SUM(Базовый!K2:K37)</f>
        <v>8520000</v>
      </c>
      <c r="F14" s="8" t="n">
        <f aca="false">SUM(Базовый!L2:L37)+SUM(Базовый!M2:M37)</f>
        <v>3338223</v>
      </c>
      <c r="G14" s="8" t="n">
        <f aca="false">SUM(Базовый!N2:N37)</f>
        <v>17627397</v>
      </c>
      <c r="H14" s="8" t="n">
        <f aca="false">SUM(Базовый!O2:O37)</f>
        <v>12339177.9</v>
      </c>
      <c r="I14" s="9" t="n">
        <f aca="false">AVERAGE(Базовый!Q2:Q37)</f>
        <v>12.580831408776</v>
      </c>
    </row>
    <row r="16" customFormat="false" ht="15" hidden="false" customHeight="false" outlineLevel="0" collapsed="false">
      <c r="A16" s="0" t="s">
        <v>69</v>
      </c>
      <c r="B16" s="0" t="s">
        <v>62</v>
      </c>
      <c r="C16" s="8" t="n">
        <f aca="false">SUM('Оптим.'!H2:H4)</f>
        <v>685800</v>
      </c>
      <c r="D16" s="8" t="n">
        <f aca="false">SUM('Оптим.'!I2:I4)</f>
        <v>199530</v>
      </c>
      <c r="E16" s="8" t="n">
        <f aca="false">SUM('Оптим.'!K2:K4)</f>
        <v>105000</v>
      </c>
      <c r="F16" s="8" t="n">
        <f aca="false">SUM('Оптим.'!L2:L4)+SUM('Оптим.'!M2:M4)</f>
        <v>61656</v>
      </c>
      <c r="G16" s="8" t="n">
        <f aca="false">SUM('Оптим.'!N2:N4)</f>
        <v>319614</v>
      </c>
      <c r="H16" s="8" t="n">
        <f aca="false">SUM('Оптим.'!O2:O4)</f>
        <v>223729.8</v>
      </c>
      <c r="I16" s="9" t="n">
        <f aca="false">AVERAGE('Оптим.'!Q2:Q4)</f>
        <v>8.29099307159353</v>
      </c>
    </row>
    <row r="17" customFormat="false" ht="15" hidden="false" customHeight="false" outlineLevel="0" collapsed="false">
      <c r="A17" s="0" t="s">
        <v>69</v>
      </c>
      <c r="B17" s="0" t="s">
        <v>63</v>
      </c>
      <c r="C17" s="8" t="n">
        <f aca="false">SUM('Оптим.'!H2:H7)</f>
        <v>2355000</v>
      </c>
      <c r="D17" s="8" t="n">
        <f aca="false">SUM('Оптим.'!I2:I7)</f>
        <v>744000</v>
      </c>
      <c r="E17" s="8" t="n">
        <f aca="false">SUM('Оптим.'!K2:K7)</f>
        <v>210000</v>
      </c>
      <c r="F17" s="8" t="n">
        <f aca="false">SUM('Оптим.'!L2:L7)+SUM('Оптим.'!M2:M7)</f>
        <v>192150</v>
      </c>
      <c r="G17" s="8" t="n">
        <f aca="false">SUM('Оптим.'!N2:N7)</f>
        <v>1208850</v>
      </c>
      <c r="H17" s="8" t="n">
        <f aca="false">SUM('Оптим.'!O2:O7)</f>
        <v>846195</v>
      </c>
      <c r="I17" s="9" t="n">
        <f aca="false">AVERAGE('Оптим.'!Q2:Q7)</f>
        <v>10.9699769053118</v>
      </c>
    </row>
    <row r="18" customFormat="false" ht="15" hidden="false" customHeight="false" outlineLevel="0" collapsed="false">
      <c r="A18" s="0" t="s">
        <v>69</v>
      </c>
      <c r="B18" s="0" t="s">
        <v>64</v>
      </c>
      <c r="C18" s="8" t="n">
        <f aca="false">SUM('Оптим.'!H2:H13)</f>
        <v>8475000</v>
      </c>
      <c r="D18" s="8" t="n">
        <f aca="false">SUM('Оптим.'!I2:I13)</f>
        <v>2850000</v>
      </c>
      <c r="E18" s="8" t="n">
        <f aca="false">SUM('Оптим.'!K2:K13)</f>
        <v>1500000</v>
      </c>
      <c r="F18" s="8" t="n">
        <f aca="false">SUM('Оптим.'!L2:L13)+SUM('Оптим.'!M2:M13)</f>
        <v>647850</v>
      </c>
      <c r="G18" s="8" t="n">
        <f aca="false">SUM('Оптим.'!N2:N13)</f>
        <v>3477150</v>
      </c>
      <c r="H18" s="8" t="n">
        <f aca="false">SUM('Оптим.'!O2:O13)</f>
        <v>2434005</v>
      </c>
      <c r="I18" s="9" t="n">
        <f aca="false">AVERAGE('Оптим.'!Q2:Q13)</f>
        <v>11.2586605080831</v>
      </c>
    </row>
    <row r="19" customFormat="false" ht="15" hidden="false" customHeight="false" outlineLevel="0" collapsed="false">
      <c r="A19" s="0" t="s">
        <v>69</v>
      </c>
      <c r="B19" s="0" t="s">
        <v>65</v>
      </c>
      <c r="C19" s="8" t="n">
        <f aca="false">SUM('Оптим.'!H14:H25)</f>
        <v>22968000</v>
      </c>
      <c r="D19" s="8" t="n">
        <f aca="false">SUM('Оптим.'!I14:I25)</f>
        <v>8058600</v>
      </c>
      <c r="E19" s="8" t="n">
        <f aca="false">SUM('Оптим.'!K14:K25)</f>
        <v>4920000</v>
      </c>
      <c r="F19" s="8" t="n">
        <f aca="false">SUM('Оптим.'!L14:L25)+SUM('Оптим.'!M14:M25)</f>
        <v>1662360</v>
      </c>
      <c r="G19" s="8" t="n">
        <f aca="false">SUM('Оптим.'!N14:N25)</f>
        <v>8327040</v>
      </c>
      <c r="H19" s="8" t="n">
        <f aca="false">SUM('Оптим.'!O14:O25)</f>
        <v>5828928</v>
      </c>
      <c r="I19" s="9" t="n">
        <f aca="false">AVERAGE('Оптим.'!Q14:Q25)</f>
        <v>13.6258660508083</v>
      </c>
    </row>
    <row r="20" customFormat="false" ht="15" hidden="false" customHeight="false" outlineLevel="0" collapsed="false">
      <c r="A20" s="0" t="s">
        <v>69</v>
      </c>
      <c r="B20" s="0" t="s">
        <v>66</v>
      </c>
      <c r="C20" s="8" t="n">
        <f aca="false">SUM('Оптим.'!H26:H37)</f>
        <v>38448000</v>
      </c>
      <c r="D20" s="8" t="n">
        <f aca="false">SUM('Оптим.'!I26:I37)</f>
        <v>13586400</v>
      </c>
      <c r="E20" s="8" t="n">
        <f aca="false">SUM('Оптим.'!K26:K37)</f>
        <v>7200000</v>
      </c>
      <c r="F20" s="8" t="n">
        <f aca="false">SUM('Оптим.'!L26:L37)+SUM('Оптим.'!M26:M37)</f>
        <v>4533792</v>
      </c>
      <c r="G20" s="8" t="n">
        <f aca="false">SUM('Оптим.'!N26:N37)</f>
        <v>13127808</v>
      </c>
      <c r="H20" s="8" t="n">
        <f aca="false">SUM('Оптим.'!O26:O37)</f>
        <v>9189465.6</v>
      </c>
      <c r="I20" s="9" t="n">
        <f aca="false">AVERAGE('Оптим.'!Q26:Q37)</f>
        <v>19.1685912240185</v>
      </c>
    </row>
    <row r="21" customFormat="false" ht="15" hidden="false" customHeight="false" outlineLevel="0" collapsed="false">
      <c r="A21" s="0" t="s">
        <v>69</v>
      </c>
      <c r="B21" s="0" t="s">
        <v>67</v>
      </c>
      <c r="C21" s="8" t="n">
        <f aca="false">SUM('Оптим.'!H2:H37)</f>
        <v>69891000</v>
      </c>
      <c r="D21" s="8" t="n">
        <f aca="false">SUM('Оптим.'!I2:I37)</f>
        <v>24495000</v>
      </c>
      <c r="E21" s="8" t="n">
        <f aca="false">SUM('Оптим.'!K2:K37)</f>
        <v>13620000</v>
      </c>
      <c r="F21" s="8" t="n">
        <f aca="false">SUM('Оптим.'!L2:L37)+SUM('Оптим.'!M2:M37)</f>
        <v>6844002</v>
      </c>
      <c r="G21" s="8" t="n">
        <f aca="false">SUM('Оптим.'!N2:N37)</f>
        <v>24931998</v>
      </c>
      <c r="H21" s="8" t="n">
        <f aca="false">SUM('Оптим.'!O2:O37)</f>
        <v>17452398.6</v>
      </c>
      <c r="I21" s="9" t="n">
        <f aca="false">AVERAGE('Оптим.'!Q2:Q37)</f>
        <v>14.6843725943033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</cols>
  <sheetData>
    <row r="1" customFormat="false" ht="15" hidden="false" customHeight="false" outlineLevel="0" collapsed="false">
      <c r="A1" s="3" t="s">
        <v>70</v>
      </c>
      <c r="B1" s="3" t="s">
        <v>71</v>
      </c>
      <c r="C1" s="3" t="s">
        <v>72</v>
      </c>
      <c r="D1" s="3" t="s">
        <v>73</v>
      </c>
      <c r="E1" s="3" t="s">
        <v>74</v>
      </c>
      <c r="F1" s="3" t="s">
        <v>75</v>
      </c>
    </row>
    <row r="2" customFormat="false" ht="15" hidden="false" customHeight="false" outlineLevel="0" collapsed="false">
      <c r="A2" s="1" t="s">
        <v>61</v>
      </c>
    </row>
    <row r="3" customFormat="false" ht="15" hidden="false" customHeight="false" outlineLevel="0" collapsed="false">
      <c r="A3" s="0" t="s">
        <v>76</v>
      </c>
      <c r="B3" s="7" t="n">
        <v>0.33</v>
      </c>
      <c r="C3" s="7" t="n">
        <v>0.67</v>
      </c>
      <c r="D3" s="7" t="n">
        <v>1</v>
      </c>
      <c r="E3" s="7" t="n">
        <v>1.5</v>
      </c>
      <c r="F3" s="7" t="n">
        <v>2</v>
      </c>
    </row>
    <row r="4" customFormat="false" ht="15" hidden="false" customHeight="false" outlineLevel="0" collapsed="false">
      <c r="A4" s="0" t="s">
        <v>77</v>
      </c>
      <c r="B4" s="7" t="n">
        <v>0</v>
      </c>
      <c r="C4" s="7" t="n">
        <v>0.33</v>
      </c>
      <c r="D4" s="7" t="n">
        <v>0.33</v>
      </c>
      <c r="E4" s="7" t="n">
        <v>0.5</v>
      </c>
      <c r="F4" s="7" t="n">
        <v>0.75</v>
      </c>
    </row>
    <row r="5" customFormat="false" ht="15" hidden="false" customHeight="false" outlineLevel="0" collapsed="false">
      <c r="A5" s="0" t="s">
        <v>78</v>
      </c>
      <c r="B5" s="7" t="n">
        <v>0</v>
      </c>
      <c r="C5" s="7" t="n">
        <v>0</v>
      </c>
      <c r="D5" s="7" t="n">
        <v>1</v>
      </c>
      <c r="E5" s="7" t="n">
        <v>2</v>
      </c>
      <c r="F5" s="7" t="n">
        <v>3</v>
      </c>
    </row>
    <row r="6" customFormat="false" ht="15" hidden="false" customHeight="false" outlineLevel="0" collapsed="false">
      <c r="A6" s="0" t="s">
        <v>79</v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1</v>
      </c>
    </row>
    <row r="7" customFormat="false" ht="15" hidden="false" customHeight="false" outlineLevel="0" collapsed="false">
      <c r="A7" s="1" t="s">
        <v>68</v>
      </c>
    </row>
    <row r="8" customFormat="false" ht="15" hidden="false" customHeight="false" outlineLevel="0" collapsed="false">
      <c r="A8" s="0" t="s">
        <v>76</v>
      </c>
      <c r="B8" s="7" t="n">
        <v>0.67</v>
      </c>
      <c r="C8" s="7" t="n">
        <v>1</v>
      </c>
      <c r="D8" s="7" t="n">
        <v>1</v>
      </c>
      <c r="E8" s="7" t="n">
        <v>2</v>
      </c>
      <c r="F8" s="7" t="n">
        <v>3</v>
      </c>
    </row>
    <row r="9" customFormat="false" ht="15" hidden="false" customHeight="false" outlineLevel="0" collapsed="false">
      <c r="A9" s="0" t="s">
        <v>77</v>
      </c>
      <c r="B9" s="7" t="n">
        <v>0</v>
      </c>
      <c r="C9" s="7" t="n">
        <v>0.5</v>
      </c>
      <c r="D9" s="7" t="n">
        <v>0.5</v>
      </c>
      <c r="E9" s="7" t="n">
        <v>1</v>
      </c>
      <c r="F9" s="7" t="n">
        <v>1.5</v>
      </c>
    </row>
    <row r="10" customFormat="false" ht="15" hidden="false" customHeight="false" outlineLevel="0" collapsed="false">
      <c r="A10" s="0" t="s">
        <v>78</v>
      </c>
      <c r="B10" s="7" t="n">
        <v>0</v>
      </c>
      <c r="C10" s="7" t="n">
        <v>1</v>
      </c>
      <c r="D10" s="7" t="n">
        <v>2</v>
      </c>
      <c r="E10" s="7" t="n">
        <v>4</v>
      </c>
      <c r="F10" s="7" t="n">
        <v>6</v>
      </c>
    </row>
    <row r="11" customFormat="false" ht="15" hidden="false" customHeight="false" outlineLevel="0" collapsed="false">
      <c r="A11" s="0" t="s">
        <v>79</v>
      </c>
      <c r="B11" s="7" t="n">
        <v>0</v>
      </c>
      <c r="C11" s="7" t="n">
        <v>0</v>
      </c>
      <c r="D11" s="7" t="n">
        <v>0</v>
      </c>
      <c r="E11" s="7" t="n">
        <v>1</v>
      </c>
      <c r="F11" s="7" t="n">
        <v>2</v>
      </c>
    </row>
    <row r="12" customFormat="false" ht="15" hidden="false" customHeight="false" outlineLevel="0" collapsed="false">
      <c r="A12" s="1" t="s">
        <v>69</v>
      </c>
    </row>
    <row r="13" customFormat="false" ht="15" hidden="false" customHeight="false" outlineLevel="0" collapsed="false">
      <c r="A13" s="0" t="s">
        <v>76</v>
      </c>
      <c r="B13" s="7" t="n">
        <v>1</v>
      </c>
      <c r="C13" s="7" t="n">
        <v>1.5</v>
      </c>
      <c r="D13" s="7" t="n">
        <v>2</v>
      </c>
      <c r="E13" s="7" t="n">
        <v>3</v>
      </c>
      <c r="F13" s="7" t="n">
        <v>4</v>
      </c>
    </row>
    <row r="14" customFormat="false" ht="15" hidden="false" customHeight="false" outlineLevel="0" collapsed="false">
      <c r="A14" s="0" t="s">
        <v>77</v>
      </c>
      <c r="B14" s="7" t="n">
        <v>0.33</v>
      </c>
      <c r="C14" s="7" t="n">
        <v>0.67</v>
      </c>
      <c r="D14" s="7" t="n">
        <v>1</v>
      </c>
      <c r="E14" s="7" t="n">
        <v>1.5</v>
      </c>
      <c r="F14" s="7" t="n">
        <v>2.5</v>
      </c>
    </row>
    <row r="15" customFormat="false" ht="15" hidden="false" customHeight="false" outlineLevel="0" collapsed="false">
      <c r="A15" s="0" t="s">
        <v>78</v>
      </c>
      <c r="B15" s="7" t="n">
        <v>0</v>
      </c>
      <c r="C15" s="7" t="n">
        <v>1</v>
      </c>
      <c r="D15" s="7" t="n">
        <v>3</v>
      </c>
      <c r="E15" s="7" t="n">
        <v>6</v>
      </c>
      <c r="F15" s="7" t="n">
        <v>9</v>
      </c>
    </row>
    <row r="16" customFormat="false" ht="15" hidden="false" customHeight="false" outlineLevel="0" collapsed="false">
      <c r="A16" s="0" t="s">
        <v>79</v>
      </c>
      <c r="B16" s="7" t="n">
        <v>0</v>
      </c>
      <c r="C16" s="7" t="n">
        <v>0</v>
      </c>
      <c r="D16" s="7" t="n">
        <v>1</v>
      </c>
      <c r="E16" s="7" t="n">
        <v>2</v>
      </c>
      <c r="F16" s="7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8" min="1" style="0" width="14"/>
  </cols>
  <sheetData>
    <row r="1" customFormat="false" ht="41.75" hidden="false" customHeight="false" outlineLevel="0" collapsed="false">
      <c r="A1" s="3" t="s">
        <v>80</v>
      </c>
      <c r="B1" s="3" t="s">
        <v>81</v>
      </c>
      <c r="C1" s="3" t="s">
        <v>82</v>
      </c>
      <c r="D1" s="3" t="s">
        <v>83</v>
      </c>
      <c r="E1" s="3" t="s">
        <v>84</v>
      </c>
      <c r="F1" s="3" t="s">
        <v>85</v>
      </c>
      <c r="G1" s="3" t="s">
        <v>86</v>
      </c>
      <c r="H1" s="3" t="s">
        <v>54</v>
      </c>
      <c r="I1" s="3" t="s">
        <v>55</v>
      </c>
      <c r="J1" s="3" t="s">
        <v>87</v>
      </c>
      <c r="K1" s="3" t="s">
        <v>88</v>
      </c>
      <c r="L1" s="3" t="s">
        <v>89</v>
      </c>
      <c r="M1" s="3" t="s">
        <v>90</v>
      </c>
      <c r="N1" s="3" t="s">
        <v>91</v>
      </c>
      <c r="O1" s="3" t="s">
        <v>92</v>
      </c>
      <c r="P1" s="3" t="s">
        <v>93</v>
      </c>
      <c r="Q1" s="3" t="s">
        <v>94</v>
      </c>
      <c r="R1" s="3" t="s">
        <v>95</v>
      </c>
    </row>
    <row r="2" customFormat="false" ht="15" hidden="false" customHeight="false" outlineLevel="0" collapsed="false">
      <c r="A2" s="0" t="n">
        <v>1</v>
      </c>
      <c r="B2" s="0" t="n">
        <f aca="false">INT((A2-1)/12)+1</f>
        <v>1</v>
      </c>
      <c r="C2" s="0" t="n">
        <f aca="false">IF(A2&lt;=3,1,IF(A2&lt;=6,2,IF(A2&lt;=12,3,IF(A2&lt;=24,4,5))))</f>
        <v>1</v>
      </c>
      <c r="D2" s="0" t="n">
        <f aca="false">INDEX(Объёмы!$B$3:$F$3,C2)</f>
        <v>0.33</v>
      </c>
      <c r="E2" s="0" t="n">
        <f aca="false">INDEX(Объёмы!$B$4:$F$4,C2)</f>
        <v>0</v>
      </c>
      <c r="F2" s="0" t="n">
        <f aca="false">INDEX(Объёмы!$B$5:$F$5,C2)</f>
        <v>0</v>
      </c>
      <c r="G2" s="0" t="n">
        <f aca="false">INDEX(Объёмы!$B$6:$F$6,C2)</f>
        <v>0</v>
      </c>
      <c r="H2" s="8" t="n">
        <f aca="false">(D2*Допущения!$B$2+E2*Допущения!$B$3+F2*Допущения!$B$4)*IF(B2=1,1,IF(B2=2,Допущения!$B$8,Допущения!$B$9))</f>
        <v>29700</v>
      </c>
      <c r="I2" s="8" t="n">
        <f aca="false">(D2*Допущения!$B$2*Допущения!$B$5+E2*Допущения!$B$3*Допущения!$B$6+F2*Допущения!$B$4*Допущения!$B$7)*IF(B2=1,1,IF(B2=2,Допущения!$B$8,Допущения!$B$9))</f>
        <v>5940</v>
      </c>
      <c r="J2" s="8" t="n">
        <f aca="false">H2-I2</f>
        <v>23760</v>
      </c>
      <c r="K2" s="8" t="n">
        <f aca="false">INDEX(Допущения!$B$10:$B$14, C2)+G2*Допущения!$B$15</f>
        <v>35000</v>
      </c>
      <c r="L2" s="8" t="n">
        <f aca="false">IF(R2&gt;Допущения!$B$20,H2*Допущения!$B$21,0)</f>
        <v>0</v>
      </c>
      <c r="M2" s="8" t="n">
        <f aca="false">(H2-L2)*Допущения!$B$16+MAX(0,H2-L2-Допущения!$B$18)*Допущения!$B$17+Допущения!$B$19</f>
        <v>6629</v>
      </c>
      <c r="N2" s="8" t="n">
        <f aca="false">J2-K2-L2-M2</f>
        <v>-17869</v>
      </c>
      <c r="O2" s="8" t="n">
        <f aca="false">MAX(0,N2)*Допущения!$B$22</f>
        <v>0</v>
      </c>
      <c r="P2" s="10" t="n">
        <f aca="false">MAX(0,D2*Допущения!$B$23+E2*Допущения!$B$24+F2*Допущения!$B$25-G2*Допущения!$B$27)+Допущения!$B$26</f>
        <v>19.3</v>
      </c>
      <c r="Q2" s="9" t="n">
        <f aca="false">P2/4.33</f>
        <v>4.45727482678984</v>
      </c>
      <c r="R2" s="8" t="n">
        <v>0</v>
      </c>
    </row>
    <row r="3" customFormat="false" ht="15" hidden="false" customHeight="false" outlineLevel="0" collapsed="false">
      <c r="A3" s="0" t="n">
        <v>2</v>
      </c>
      <c r="B3" s="0" t="n">
        <f aca="false">INT((A3-1)/12)+1</f>
        <v>1</v>
      </c>
      <c r="C3" s="0" t="n">
        <f aca="false">IF(A3&lt;=3,1,IF(A3&lt;=6,2,IF(A3&lt;=12,3,IF(A3&lt;=24,4,5))))</f>
        <v>1</v>
      </c>
      <c r="D3" s="0" t="n">
        <f aca="false">INDEX(Объёмы!$B$3:$F$3,C3)</f>
        <v>0.33</v>
      </c>
      <c r="E3" s="0" t="n">
        <f aca="false">INDEX(Объёмы!$B$4:$F$4,C3)</f>
        <v>0</v>
      </c>
      <c r="F3" s="0" t="n">
        <f aca="false">INDEX(Объёмы!$B$5:$F$5,C3)</f>
        <v>0</v>
      </c>
      <c r="G3" s="0" t="n">
        <f aca="false">INDEX(Объёмы!$B$6:$F$6,C3)</f>
        <v>0</v>
      </c>
      <c r="H3" s="8" t="n">
        <f aca="false">(D3*Допущения!$B$2+E3*Допущения!$B$3+F3*Допущения!$B$4)*IF(B3=1,1,IF(B3=2,Допущения!$B$8,Допущения!$B$9))</f>
        <v>29700</v>
      </c>
      <c r="I3" s="8" t="n">
        <f aca="false">(D3*Допущения!$B$2*Допущения!$B$5+E3*Допущения!$B$3*Допущения!$B$6+F3*Допущения!$B$4*Допущения!$B$7)*IF(B3=1,1,IF(B3=2,Допущения!$B$8,Допущения!$B$9))</f>
        <v>5940</v>
      </c>
      <c r="J3" s="8" t="n">
        <f aca="false">H3-I3</f>
        <v>23760</v>
      </c>
      <c r="K3" s="8" t="n">
        <f aca="false">INDEX(Допущения!$B$10:$B$14, C3)+G3*Допущения!$B$15</f>
        <v>35000</v>
      </c>
      <c r="L3" s="8" t="n">
        <f aca="false">IF(R3&gt;Допущения!$B$20,H3*Допущения!$B$21,0)</f>
        <v>0</v>
      </c>
      <c r="M3" s="8" t="n">
        <f aca="false">(H3-L3)*Допущения!$B$16+MAX(0,H3-L3-Допущения!$B$18)*Допущения!$B$17+Допущения!$B$19</f>
        <v>6629</v>
      </c>
      <c r="N3" s="8" t="n">
        <f aca="false">J3-K3-L3-M3</f>
        <v>-17869</v>
      </c>
      <c r="O3" s="8" t="n">
        <f aca="false">MAX(0,N3)*Допущения!$B$22</f>
        <v>0</v>
      </c>
      <c r="P3" s="10" t="n">
        <f aca="false">MAX(0,D3*Допущения!$B$23+E3*Допущения!$B$24+F3*Допущения!$B$25-G3*Допущения!$B$27)+Допущения!$B$26</f>
        <v>19.3</v>
      </c>
      <c r="Q3" s="9" t="n">
        <f aca="false">P3/4.33</f>
        <v>4.45727482678984</v>
      </c>
      <c r="R3" s="8" t="n">
        <v>0</v>
      </c>
    </row>
    <row r="4" customFormat="false" ht="15" hidden="false" customHeight="false" outlineLevel="0" collapsed="false">
      <c r="A4" s="0" t="n">
        <v>3</v>
      </c>
      <c r="B4" s="0" t="n">
        <f aca="false">INT((A4-1)/12)+1</f>
        <v>1</v>
      </c>
      <c r="C4" s="0" t="n">
        <f aca="false">IF(A4&lt;=3,1,IF(A4&lt;=6,2,IF(A4&lt;=12,3,IF(A4&lt;=24,4,5))))</f>
        <v>1</v>
      </c>
      <c r="D4" s="0" t="n">
        <f aca="false">INDEX(Объёмы!$B$3:$F$3,C4)</f>
        <v>0.33</v>
      </c>
      <c r="E4" s="0" t="n">
        <f aca="false">INDEX(Объёмы!$B$4:$F$4,C4)</f>
        <v>0</v>
      </c>
      <c r="F4" s="0" t="n">
        <f aca="false">INDEX(Объёмы!$B$5:$F$5,C4)</f>
        <v>0</v>
      </c>
      <c r="G4" s="0" t="n">
        <f aca="false">INDEX(Объёмы!$B$6:$F$6,C4)</f>
        <v>0</v>
      </c>
      <c r="H4" s="8" t="n">
        <f aca="false">(D4*Допущения!$B$2+E4*Допущения!$B$3+F4*Допущения!$B$4)*IF(B4=1,1,IF(B4=2,Допущения!$B$8,Допущения!$B$9))</f>
        <v>29700</v>
      </c>
      <c r="I4" s="8" t="n">
        <f aca="false">(D4*Допущения!$B$2*Допущения!$B$5+E4*Допущения!$B$3*Допущения!$B$6+F4*Допущения!$B$4*Допущения!$B$7)*IF(B4=1,1,IF(B4=2,Допущения!$B$8,Допущения!$B$9))</f>
        <v>5940</v>
      </c>
      <c r="J4" s="8" t="n">
        <f aca="false">H4-I4</f>
        <v>23760</v>
      </c>
      <c r="K4" s="8" t="n">
        <f aca="false">INDEX(Допущения!$B$10:$B$14, C4)+G4*Допущения!$B$15</f>
        <v>35000</v>
      </c>
      <c r="L4" s="8" t="n">
        <f aca="false">IF(R4&gt;Допущения!$B$20,H4*Допущения!$B$21,0)</f>
        <v>0</v>
      </c>
      <c r="M4" s="8" t="n">
        <f aca="false">(H4-L4)*Допущения!$B$16+MAX(0,H4-L4-Допущения!$B$18)*Допущения!$B$17+Допущения!$B$19</f>
        <v>6629</v>
      </c>
      <c r="N4" s="8" t="n">
        <f aca="false">J4-K4-L4-M4</f>
        <v>-17869</v>
      </c>
      <c r="O4" s="8" t="n">
        <f aca="false">MAX(0,N4)*Допущения!$B$22</f>
        <v>0</v>
      </c>
      <c r="P4" s="10" t="n">
        <f aca="false">MAX(0,D4*Допущения!$B$23+E4*Допущения!$B$24+F4*Допущения!$B$25-G4*Допущения!$B$27)+Допущения!$B$26</f>
        <v>19.3</v>
      </c>
      <c r="Q4" s="9" t="n">
        <f aca="false">P4/4.33</f>
        <v>4.45727482678984</v>
      </c>
      <c r="R4" s="8" t="n">
        <v>0</v>
      </c>
    </row>
    <row r="5" customFormat="false" ht="15" hidden="false" customHeight="false" outlineLevel="0" collapsed="false">
      <c r="A5" s="0" t="n">
        <v>4</v>
      </c>
      <c r="B5" s="0" t="n">
        <f aca="false">INT((A5-1)/12)+1</f>
        <v>1</v>
      </c>
      <c r="C5" s="0" t="n">
        <f aca="false">IF(A5&lt;=3,1,IF(A5&lt;=6,2,IF(A5&lt;=12,3,IF(A5&lt;=24,4,5))))</f>
        <v>2</v>
      </c>
      <c r="D5" s="0" t="n">
        <f aca="false">INDEX(Объёмы!$B$3:$F$3,C5)</f>
        <v>0.67</v>
      </c>
      <c r="E5" s="0" t="n">
        <f aca="false">INDEX(Объёмы!$B$4:$F$4,C5)</f>
        <v>0.33</v>
      </c>
      <c r="F5" s="0" t="n">
        <f aca="false">INDEX(Объёмы!$B$5:$F$5,C5)</f>
        <v>0</v>
      </c>
      <c r="G5" s="0" t="n">
        <f aca="false">INDEX(Объёмы!$B$6:$F$6,C5)</f>
        <v>0</v>
      </c>
      <c r="H5" s="8" t="n">
        <f aca="false">(D5*Допущения!$B$2+E5*Допущения!$B$3+F5*Допущения!$B$4)*IF(B5=1,1,IF(B5=2,Допущения!$B$8,Допущения!$B$9))</f>
        <v>198900</v>
      </c>
      <c r="I5" s="8" t="n">
        <f aca="false">(D5*Допущения!$B$2*Допущения!$B$5+E5*Допущения!$B$3*Допущения!$B$6+F5*Допущения!$B$4*Допущения!$B$7)*IF(B5=1,1,IF(B5=2,Допущения!$B$8,Допущения!$B$9))</f>
        <v>60570</v>
      </c>
      <c r="J5" s="8" t="n">
        <f aca="false">H5-I5</f>
        <v>138330</v>
      </c>
      <c r="K5" s="8" t="n">
        <f aca="false">INDEX(Допущения!$B$10:$B$14, C5)+G5*Допущения!$B$15</f>
        <v>35000</v>
      </c>
      <c r="L5" s="8" t="n">
        <f aca="false">IF(R5&gt;Допущения!$B$20,H5*Допущения!$B$21,0)</f>
        <v>0</v>
      </c>
      <c r="M5" s="8" t="n">
        <f aca="false">(H5-L5)*Допущения!$B$16+MAX(0,H5-L5-Допущения!$B$18)*Допущения!$B$17+Допущения!$B$19</f>
        <v>18473</v>
      </c>
      <c r="N5" s="8" t="n">
        <f aca="false">J5-K5-L5-M5</f>
        <v>84857</v>
      </c>
      <c r="O5" s="8" t="n">
        <f aca="false">MAX(0,N5)*Допущения!$B$22</f>
        <v>59399.9</v>
      </c>
      <c r="P5" s="10" t="n">
        <f aca="false">MAX(0,D5*Допущения!$B$23+E5*Допущения!$B$24+F5*Допущения!$B$25-G5*Допущения!$B$27)+Допущения!$B$26</f>
        <v>32.6</v>
      </c>
      <c r="Q5" s="9" t="n">
        <f aca="false">P5/4.33</f>
        <v>7.52886836027714</v>
      </c>
      <c r="R5" s="8" t="n">
        <v>0</v>
      </c>
    </row>
    <row r="6" customFormat="false" ht="15" hidden="false" customHeight="false" outlineLevel="0" collapsed="false">
      <c r="A6" s="0" t="n">
        <v>5</v>
      </c>
      <c r="B6" s="0" t="n">
        <f aca="false">INT((A6-1)/12)+1</f>
        <v>1</v>
      </c>
      <c r="C6" s="0" t="n">
        <f aca="false">IF(A6&lt;=3,1,IF(A6&lt;=6,2,IF(A6&lt;=12,3,IF(A6&lt;=24,4,5))))</f>
        <v>2</v>
      </c>
      <c r="D6" s="0" t="n">
        <f aca="false">INDEX(Объёмы!$B$3:$F$3,C6)</f>
        <v>0.67</v>
      </c>
      <c r="E6" s="0" t="n">
        <f aca="false">INDEX(Объёмы!$B$4:$F$4,C6)</f>
        <v>0.33</v>
      </c>
      <c r="F6" s="0" t="n">
        <f aca="false">INDEX(Объёмы!$B$5:$F$5,C6)</f>
        <v>0</v>
      </c>
      <c r="G6" s="0" t="n">
        <f aca="false">INDEX(Объёмы!$B$6:$F$6,C6)</f>
        <v>0</v>
      </c>
      <c r="H6" s="8" t="n">
        <f aca="false">(D6*Допущения!$B$2+E6*Допущения!$B$3+F6*Допущения!$B$4)*IF(B6=1,1,IF(B6=2,Допущения!$B$8,Допущения!$B$9))</f>
        <v>198900</v>
      </c>
      <c r="I6" s="8" t="n">
        <f aca="false">(D6*Допущения!$B$2*Допущения!$B$5+E6*Допущения!$B$3*Допущения!$B$6+F6*Допущения!$B$4*Допущения!$B$7)*IF(B6=1,1,IF(B6=2,Допущения!$B$8,Допущения!$B$9))</f>
        <v>60570</v>
      </c>
      <c r="J6" s="8" t="n">
        <f aca="false">H6-I6</f>
        <v>138330</v>
      </c>
      <c r="K6" s="8" t="n">
        <f aca="false">INDEX(Допущения!$B$10:$B$14, C6)+G6*Допущения!$B$15</f>
        <v>35000</v>
      </c>
      <c r="L6" s="8" t="n">
        <f aca="false">IF(R6&gt;Допущения!$B$20,H6*Допущения!$B$21,0)</f>
        <v>0</v>
      </c>
      <c r="M6" s="8" t="n">
        <f aca="false">(H6-L6)*Допущения!$B$16+MAX(0,H6-L6-Допущения!$B$18)*Допущения!$B$17+Допущения!$B$19</f>
        <v>18473</v>
      </c>
      <c r="N6" s="8" t="n">
        <f aca="false">J6-K6-L6-M6</f>
        <v>84857</v>
      </c>
      <c r="O6" s="8" t="n">
        <f aca="false">MAX(0,N6)*Допущения!$B$22</f>
        <v>59399.9</v>
      </c>
      <c r="P6" s="10" t="n">
        <f aca="false">MAX(0,D6*Допущения!$B$23+E6*Допущения!$B$24+F6*Допущения!$B$25-G6*Допущения!$B$27)+Допущения!$B$26</f>
        <v>32.6</v>
      </c>
      <c r="Q6" s="9" t="n">
        <f aca="false">P6/4.33</f>
        <v>7.52886836027714</v>
      </c>
      <c r="R6" s="8" t="n">
        <v>0</v>
      </c>
    </row>
    <row r="7" customFormat="false" ht="15" hidden="false" customHeight="false" outlineLevel="0" collapsed="false">
      <c r="A7" s="0" t="n">
        <v>6</v>
      </c>
      <c r="B7" s="0" t="n">
        <f aca="false">INT((A7-1)/12)+1</f>
        <v>1</v>
      </c>
      <c r="C7" s="0" t="n">
        <f aca="false">IF(A7&lt;=3,1,IF(A7&lt;=6,2,IF(A7&lt;=12,3,IF(A7&lt;=24,4,5))))</f>
        <v>2</v>
      </c>
      <c r="D7" s="0" t="n">
        <f aca="false">INDEX(Объёмы!$B$3:$F$3,C7)</f>
        <v>0.67</v>
      </c>
      <c r="E7" s="0" t="n">
        <f aca="false">INDEX(Объёмы!$B$4:$F$4,C7)</f>
        <v>0.33</v>
      </c>
      <c r="F7" s="0" t="n">
        <f aca="false">INDEX(Объёмы!$B$5:$F$5,C7)</f>
        <v>0</v>
      </c>
      <c r="G7" s="0" t="n">
        <f aca="false">INDEX(Объёмы!$B$6:$F$6,C7)</f>
        <v>0</v>
      </c>
      <c r="H7" s="8" t="n">
        <f aca="false">(D7*Допущения!$B$2+E7*Допущения!$B$3+F7*Допущения!$B$4)*IF(B7=1,1,IF(B7=2,Допущения!$B$8,Допущения!$B$9))</f>
        <v>198900</v>
      </c>
      <c r="I7" s="8" t="n">
        <f aca="false">(D7*Допущения!$B$2*Допущения!$B$5+E7*Допущения!$B$3*Допущения!$B$6+F7*Допущения!$B$4*Допущения!$B$7)*IF(B7=1,1,IF(B7=2,Допущения!$B$8,Допущения!$B$9))</f>
        <v>60570</v>
      </c>
      <c r="J7" s="8" t="n">
        <f aca="false">H7-I7</f>
        <v>138330</v>
      </c>
      <c r="K7" s="8" t="n">
        <f aca="false">INDEX(Допущения!$B$10:$B$14, C7)+G7*Допущения!$B$15</f>
        <v>35000</v>
      </c>
      <c r="L7" s="8" t="n">
        <f aca="false">IF(R7&gt;Допущения!$B$20,H7*Допущения!$B$21,0)</f>
        <v>0</v>
      </c>
      <c r="M7" s="8" t="n">
        <f aca="false">(H7-L7)*Допущения!$B$16+MAX(0,H7-L7-Допущения!$B$18)*Допущения!$B$17+Допущения!$B$19</f>
        <v>18473</v>
      </c>
      <c r="N7" s="8" t="n">
        <f aca="false">J7-K7-L7-M7</f>
        <v>84857</v>
      </c>
      <c r="O7" s="8" t="n">
        <f aca="false">MAX(0,N7)*Допущения!$B$22</f>
        <v>59399.9</v>
      </c>
      <c r="P7" s="10" t="n">
        <f aca="false">MAX(0,D7*Допущения!$B$23+E7*Допущения!$B$24+F7*Допущения!$B$25-G7*Допущения!$B$27)+Допущения!$B$26</f>
        <v>32.6</v>
      </c>
      <c r="Q7" s="9" t="n">
        <f aca="false">P7/4.33</f>
        <v>7.52886836027714</v>
      </c>
      <c r="R7" s="8" t="n">
        <v>0</v>
      </c>
    </row>
    <row r="8" customFormat="false" ht="15" hidden="false" customHeight="false" outlineLevel="0" collapsed="false">
      <c r="A8" s="0" t="n">
        <v>7</v>
      </c>
      <c r="B8" s="0" t="n">
        <f aca="false">INT((A8-1)/12)+1</f>
        <v>1</v>
      </c>
      <c r="C8" s="0" t="n">
        <f aca="false">IF(A8&lt;=3,1,IF(A8&lt;=6,2,IF(A8&lt;=12,3,IF(A8&lt;=24,4,5))))</f>
        <v>3</v>
      </c>
      <c r="D8" s="0" t="n">
        <f aca="false">INDEX(Объёмы!$B$3:$F$3,C8)</f>
        <v>1</v>
      </c>
      <c r="E8" s="0" t="n">
        <f aca="false">INDEX(Объёмы!$B$4:$F$4,C8)</f>
        <v>0.33</v>
      </c>
      <c r="F8" s="0" t="n">
        <f aca="false">INDEX(Объёмы!$B$5:$F$5,C8)</f>
        <v>1</v>
      </c>
      <c r="G8" s="0" t="n">
        <f aca="false">INDEX(Объёмы!$B$6:$F$6,C8)</f>
        <v>0</v>
      </c>
      <c r="H8" s="8" t="n">
        <f aca="false">(D8*Допущения!$B$2+E8*Допущения!$B$3+F8*Допущения!$B$4)*IF(B8=1,1,IF(B8=2,Допущения!$B$8,Допущения!$B$9))</f>
        <v>368600</v>
      </c>
      <c r="I8" s="8" t="n">
        <f aca="false">(D8*Допущения!$B$2*Допущения!$B$5+E8*Допущения!$B$3*Допущения!$B$6+F8*Допущения!$B$4*Допущения!$B$7)*IF(B8=1,1,IF(B8=2,Допущения!$B$8,Допущения!$B$9))</f>
        <v>122510</v>
      </c>
      <c r="J8" s="8" t="n">
        <f aca="false">H8-I8</f>
        <v>246090</v>
      </c>
      <c r="K8" s="8" t="n">
        <f aca="false">INDEX(Допущения!$B$10:$B$14, C8)+G8*Допущения!$B$15</f>
        <v>45000</v>
      </c>
      <c r="L8" s="8" t="n">
        <f aca="false">IF(R8&gt;Допущения!$B$20,H8*Допущения!$B$21,0)</f>
        <v>0</v>
      </c>
      <c r="M8" s="8" t="n">
        <f aca="false">(H8-L8)*Допущения!$B$16+MAX(0,H8-L8-Допущения!$B$18)*Допущения!$B$17+Допущения!$B$19</f>
        <v>30352</v>
      </c>
      <c r="N8" s="8" t="n">
        <f aca="false">J8-K8-L8-M8</f>
        <v>170738</v>
      </c>
      <c r="O8" s="8" t="n">
        <f aca="false">MAX(0,N8)*Допущения!$B$22</f>
        <v>119516.6</v>
      </c>
      <c r="P8" s="10" t="n">
        <f aca="false">MAX(0,D8*Допущения!$B$23+E8*Допущения!$B$24+F8*Допущения!$B$25-G8*Допущения!$B$27)+Допущения!$B$26</f>
        <v>43.9</v>
      </c>
      <c r="Q8" s="9" t="n">
        <f aca="false">P8/4.33</f>
        <v>10.1385681293303</v>
      </c>
      <c r="R8" s="8" t="n">
        <v>0</v>
      </c>
    </row>
    <row r="9" customFormat="false" ht="15" hidden="false" customHeight="false" outlineLevel="0" collapsed="false">
      <c r="A9" s="0" t="n">
        <v>8</v>
      </c>
      <c r="B9" s="0" t="n">
        <f aca="false">INT((A9-1)/12)+1</f>
        <v>1</v>
      </c>
      <c r="C9" s="0" t="n">
        <f aca="false">IF(A9&lt;=3,1,IF(A9&lt;=6,2,IF(A9&lt;=12,3,IF(A9&lt;=24,4,5))))</f>
        <v>3</v>
      </c>
      <c r="D9" s="0" t="n">
        <f aca="false">INDEX(Объёмы!$B$3:$F$3,C9)</f>
        <v>1</v>
      </c>
      <c r="E9" s="0" t="n">
        <f aca="false">INDEX(Объёмы!$B$4:$F$4,C9)</f>
        <v>0.33</v>
      </c>
      <c r="F9" s="0" t="n">
        <f aca="false">INDEX(Объёмы!$B$5:$F$5,C9)</f>
        <v>1</v>
      </c>
      <c r="G9" s="0" t="n">
        <f aca="false">INDEX(Объёмы!$B$6:$F$6,C9)</f>
        <v>0</v>
      </c>
      <c r="H9" s="8" t="n">
        <f aca="false">(D9*Допущения!$B$2+E9*Допущения!$B$3+F9*Допущения!$B$4)*IF(B9=1,1,IF(B9=2,Допущения!$B$8,Допущения!$B$9))</f>
        <v>368600</v>
      </c>
      <c r="I9" s="8" t="n">
        <f aca="false">(D9*Допущения!$B$2*Допущения!$B$5+E9*Допущения!$B$3*Допущения!$B$6+F9*Допущения!$B$4*Допущения!$B$7)*IF(B9=1,1,IF(B9=2,Допущения!$B$8,Допущения!$B$9))</f>
        <v>122510</v>
      </c>
      <c r="J9" s="8" t="n">
        <f aca="false">H9-I9</f>
        <v>246090</v>
      </c>
      <c r="K9" s="8" t="n">
        <f aca="false">INDEX(Допущения!$B$10:$B$14, C9)+G9*Допущения!$B$15</f>
        <v>45000</v>
      </c>
      <c r="L9" s="8" t="n">
        <f aca="false">IF(R9&gt;Допущения!$B$20,H9*Допущения!$B$21,0)</f>
        <v>0</v>
      </c>
      <c r="M9" s="8" t="n">
        <f aca="false">(H9-L9)*Допущения!$B$16+MAX(0,H9-L9-Допущения!$B$18)*Допущения!$B$17+Допущения!$B$19</f>
        <v>30352</v>
      </c>
      <c r="N9" s="8" t="n">
        <f aca="false">J9-K9-L9-M9</f>
        <v>170738</v>
      </c>
      <c r="O9" s="8" t="n">
        <f aca="false">MAX(0,N9)*Допущения!$B$22</f>
        <v>119516.6</v>
      </c>
      <c r="P9" s="10" t="n">
        <f aca="false">MAX(0,D9*Допущения!$B$23+E9*Допущения!$B$24+F9*Допущения!$B$25-G9*Допущения!$B$27)+Допущения!$B$26</f>
        <v>43.9</v>
      </c>
      <c r="Q9" s="9" t="n">
        <f aca="false">P9/4.33</f>
        <v>10.1385681293303</v>
      </c>
      <c r="R9" s="8" t="n">
        <v>0</v>
      </c>
    </row>
    <row r="10" customFormat="false" ht="15" hidden="false" customHeight="false" outlineLevel="0" collapsed="false">
      <c r="A10" s="0" t="n">
        <v>9</v>
      </c>
      <c r="B10" s="0" t="n">
        <f aca="false">INT((A10-1)/12)+1</f>
        <v>1</v>
      </c>
      <c r="C10" s="0" t="n">
        <f aca="false">IF(A10&lt;=3,1,IF(A10&lt;=6,2,IF(A10&lt;=12,3,IF(A10&lt;=24,4,5))))</f>
        <v>3</v>
      </c>
      <c r="D10" s="0" t="n">
        <f aca="false">INDEX(Объёмы!$B$3:$F$3,C10)</f>
        <v>1</v>
      </c>
      <c r="E10" s="0" t="n">
        <f aca="false">INDEX(Объёмы!$B$4:$F$4,C10)</f>
        <v>0.33</v>
      </c>
      <c r="F10" s="0" t="n">
        <f aca="false">INDEX(Объёмы!$B$5:$F$5,C10)</f>
        <v>1</v>
      </c>
      <c r="G10" s="0" t="n">
        <f aca="false">INDEX(Объёмы!$B$6:$F$6,C10)</f>
        <v>0</v>
      </c>
      <c r="H10" s="8" t="n">
        <f aca="false">(D10*Допущения!$B$2+E10*Допущения!$B$3+F10*Допущения!$B$4)*IF(B10=1,1,IF(B10=2,Допущения!$B$8,Допущения!$B$9))</f>
        <v>368600</v>
      </c>
      <c r="I10" s="8" t="n">
        <f aca="false">(D10*Допущения!$B$2*Допущения!$B$5+E10*Допущения!$B$3*Допущения!$B$6+F10*Допущения!$B$4*Допущения!$B$7)*IF(B10=1,1,IF(B10=2,Допущения!$B$8,Допущения!$B$9))</f>
        <v>122510</v>
      </c>
      <c r="J10" s="8" t="n">
        <f aca="false">H10-I10</f>
        <v>246090</v>
      </c>
      <c r="K10" s="8" t="n">
        <f aca="false">INDEX(Допущения!$B$10:$B$14, C10)+G10*Допущения!$B$15</f>
        <v>45000</v>
      </c>
      <c r="L10" s="8" t="n">
        <f aca="false">IF(R10&gt;Допущения!$B$20,H10*Допущения!$B$21,0)</f>
        <v>0</v>
      </c>
      <c r="M10" s="8" t="n">
        <f aca="false">(H10-L10)*Допущения!$B$16+MAX(0,H10-L10-Допущения!$B$18)*Допущения!$B$17+Допущения!$B$19</f>
        <v>30352</v>
      </c>
      <c r="N10" s="8" t="n">
        <f aca="false">J10-K10-L10-M10</f>
        <v>170738</v>
      </c>
      <c r="O10" s="8" t="n">
        <f aca="false">MAX(0,N10)*Допущения!$B$22</f>
        <v>119516.6</v>
      </c>
      <c r="P10" s="10" t="n">
        <f aca="false">MAX(0,D10*Допущения!$B$23+E10*Допущения!$B$24+F10*Допущения!$B$25-G10*Допущения!$B$27)+Допущения!$B$26</f>
        <v>43.9</v>
      </c>
      <c r="Q10" s="9" t="n">
        <f aca="false">P10/4.33</f>
        <v>10.1385681293303</v>
      </c>
      <c r="R10" s="8" t="n">
        <v>0</v>
      </c>
    </row>
    <row r="11" customFormat="false" ht="15" hidden="false" customHeight="false" outlineLevel="0" collapsed="false">
      <c r="A11" s="0" t="n">
        <v>10</v>
      </c>
      <c r="B11" s="0" t="n">
        <f aca="false">INT((A11-1)/12)+1</f>
        <v>1</v>
      </c>
      <c r="C11" s="0" t="n">
        <f aca="false">IF(A11&lt;=3,1,IF(A11&lt;=6,2,IF(A11&lt;=12,3,IF(A11&lt;=24,4,5))))</f>
        <v>3</v>
      </c>
      <c r="D11" s="0" t="n">
        <f aca="false">INDEX(Объёмы!$B$3:$F$3,C11)</f>
        <v>1</v>
      </c>
      <c r="E11" s="0" t="n">
        <f aca="false">INDEX(Объёмы!$B$4:$F$4,C11)</f>
        <v>0.33</v>
      </c>
      <c r="F11" s="0" t="n">
        <f aca="false">INDEX(Объёмы!$B$5:$F$5,C11)</f>
        <v>1</v>
      </c>
      <c r="G11" s="0" t="n">
        <f aca="false">INDEX(Объёмы!$B$6:$F$6,C11)</f>
        <v>0</v>
      </c>
      <c r="H11" s="8" t="n">
        <f aca="false">(D11*Допущения!$B$2+E11*Допущения!$B$3+F11*Допущения!$B$4)*IF(B11=1,1,IF(B11=2,Допущения!$B$8,Допущения!$B$9))</f>
        <v>368600</v>
      </c>
      <c r="I11" s="8" t="n">
        <f aca="false">(D11*Допущения!$B$2*Допущения!$B$5+E11*Допущения!$B$3*Допущения!$B$6+F11*Допущения!$B$4*Допущения!$B$7)*IF(B11=1,1,IF(B11=2,Допущения!$B$8,Допущения!$B$9))</f>
        <v>122510</v>
      </c>
      <c r="J11" s="8" t="n">
        <f aca="false">H11-I11</f>
        <v>246090</v>
      </c>
      <c r="K11" s="8" t="n">
        <f aca="false">INDEX(Допущения!$B$10:$B$14, C11)+G11*Допущения!$B$15</f>
        <v>45000</v>
      </c>
      <c r="L11" s="8" t="n">
        <f aca="false">IF(R11&gt;Допущения!$B$20,H11*Допущения!$B$21,0)</f>
        <v>0</v>
      </c>
      <c r="M11" s="8" t="n">
        <f aca="false">(H11-L11)*Допущения!$B$16+MAX(0,H11-L11-Допущения!$B$18)*Допущения!$B$17+Допущения!$B$19</f>
        <v>30352</v>
      </c>
      <c r="N11" s="8" t="n">
        <f aca="false">J11-K11-L11-M11</f>
        <v>170738</v>
      </c>
      <c r="O11" s="8" t="n">
        <f aca="false">MAX(0,N11)*Допущения!$B$22</f>
        <v>119516.6</v>
      </c>
      <c r="P11" s="10" t="n">
        <f aca="false">MAX(0,D11*Допущения!$B$23+E11*Допущения!$B$24+F11*Допущения!$B$25-G11*Допущения!$B$27)+Допущения!$B$26</f>
        <v>43.9</v>
      </c>
      <c r="Q11" s="9" t="n">
        <f aca="false">P11/4.33</f>
        <v>10.1385681293303</v>
      </c>
      <c r="R11" s="8" t="n">
        <v>0</v>
      </c>
    </row>
    <row r="12" customFormat="false" ht="15" hidden="false" customHeight="false" outlineLevel="0" collapsed="false">
      <c r="A12" s="0" t="n">
        <v>11</v>
      </c>
      <c r="B12" s="0" t="n">
        <f aca="false">INT((A12-1)/12)+1</f>
        <v>1</v>
      </c>
      <c r="C12" s="0" t="n">
        <f aca="false">IF(A12&lt;=3,1,IF(A12&lt;=6,2,IF(A12&lt;=12,3,IF(A12&lt;=24,4,5))))</f>
        <v>3</v>
      </c>
      <c r="D12" s="0" t="n">
        <f aca="false">INDEX(Объёмы!$B$3:$F$3,C12)</f>
        <v>1</v>
      </c>
      <c r="E12" s="0" t="n">
        <f aca="false">INDEX(Объёмы!$B$4:$F$4,C12)</f>
        <v>0.33</v>
      </c>
      <c r="F12" s="0" t="n">
        <f aca="false">INDEX(Объёмы!$B$5:$F$5,C12)</f>
        <v>1</v>
      </c>
      <c r="G12" s="0" t="n">
        <f aca="false">INDEX(Объёмы!$B$6:$F$6,C12)</f>
        <v>0</v>
      </c>
      <c r="H12" s="8" t="n">
        <f aca="false">(D12*Допущения!$B$2+E12*Допущения!$B$3+F12*Допущения!$B$4)*IF(B12=1,1,IF(B12=2,Допущения!$B$8,Допущения!$B$9))</f>
        <v>368600</v>
      </c>
      <c r="I12" s="8" t="n">
        <f aca="false">(D12*Допущения!$B$2*Допущения!$B$5+E12*Допущения!$B$3*Допущения!$B$6+F12*Допущения!$B$4*Допущения!$B$7)*IF(B12=1,1,IF(B12=2,Допущения!$B$8,Допущения!$B$9))</f>
        <v>122510</v>
      </c>
      <c r="J12" s="8" t="n">
        <f aca="false">H12-I12</f>
        <v>246090</v>
      </c>
      <c r="K12" s="8" t="n">
        <f aca="false">INDEX(Допущения!$B$10:$B$14, C12)+G12*Допущения!$B$15</f>
        <v>45000</v>
      </c>
      <c r="L12" s="8" t="n">
        <f aca="false">IF(R12&gt;Допущения!$B$20,H12*Допущения!$B$21,0)</f>
        <v>0</v>
      </c>
      <c r="M12" s="8" t="n">
        <f aca="false">(H12-L12)*Допущения!$B$16+MAX(0,H12-L12-Допущения!$B$18)*Допущения!$B$17+Допущения!$B$19</f>
        <v>30352</v>
      </c>
      <c r="N12" s="8" t="n">
        <f aca="false">J12-K12-L12-M12</f>
        <v>170738</v>
      </c>
      <c r="O12" s="8" t="n">
        <f aca="false">MAX(0,N12)*Допущения!$B$22</f>
        <v>119516.6</v>
      </c>
      <c r="P12" s="10" t="n">
        <f aca="false">MAX(0,D12*Допущения!$B$23+E12*Допущения!$B$24+F12*Допущения!$B$25-G12*Допущения!$B$27)+Допущения!$B$26</f>
        <v>43.9</v>
      </c>
      <c r="Q12" s="9" t="n">
        <f aca="false">P12/4.33</f>
        <v>10.1385681293303</v>
      </c>
      <c r="R12" s="8" t="n">
        <v>0</v>
      </c>
    </row>
    <row r="13" customFormat="false" ht="15" hidden="false" customHeight="false" outlineLevel="0" collapsed="false">
      <c r="A13" s="0" t="n">
        <v>12</v>
      </c>
      <c r="B13" s="0" t="n">
        <f aca="false">INT((A13-1)/12)+1</f>
        <v>1</v>
      </c>
      <c r="C13" s="0" t="n">
        <f aca="false">IF(A13&lt;=3,1,IF(A13&lt;=6,2,IF(A13&lt;=12,3,IF(A13&lt;=24,4,5))))</f>
        <v>3</v>
      </c>
      <c r="D13" s="0" t="n">
        <f aca="false">INDEX(Объёмы!$B$3:$F$3,C13)</f>
        <v>1</v>
      </c>
      <c r="E13" s="0" t="n">
        <f aca="false">INDEX(Объёмы!$B$4:$F$4,C13)</f>
        <v>0.33</v>
      </c>
      <c r="F13" s="0" t="n">
        <f aca="false">INDEX(Объёмы!$B$5:$F$5,C13)</f>
        <v>1</v>
      </c>
      <c r="G13" s="0" t="n">
        <f aca="false">INDEX(Объёмы!$B$6:$F$6,C13)</f>
        <v>0</v>
      </c>
      <c r="H13" s="8" t="n">
        <f aca="false">(D13*Допущения!$B$2+E13*Допущения!$B$3+F13*Допущения!$B$4)*IF(B13=1,1,IF(B13=2,Допущения!$B$8,Допущения!$B$9))</f>
        <v>368600</v>
      </c>
      <c r="I13" s="8" t="n">
        <f aca="false">(D13*Допущения!$B$2*Допущения!$B$5+E13*Допущения!$B$3*Допущения!$B$6+F13*Допущения!$B$4*Допущения!$B$7)*IF(B13=1,1,IF(B13=2,Допущения!$B$8,Допущения!$B$9))</f>
        <v>122510</v>
      </c>
      <c r="J13" s="8" t="n">
        <f aca="false">H13-I13</f>
        <v>246090</v>
      </c>
      <c r="K13" s="8" t="n">
        <f aca="false">INDEX(Допущения!$B$10:$B$14, C13)+G13*Допущения!$B$15</f>
        <v>45000</v>
      </c>
      <c r="L13" s="8" t="n">
        <f aca="false">IF(R13&gt;Допущения!$B$20,H13*Допущения!$B$21,0)</f>
        <v>0</v>
      </c>
      <c r="M13" s="8" t="n">
        <f aca="false">(H13-L13)*Допущения!$B$16+MAX(0,H13-L13-Допущения!$B$18)*Допущения!$B$17+Допущения!$B$19</f>
        <v>30352</v>
      </c>
      <c r="N13" s="8" t="n">
        <f aca="false">J13-K13-L13-M13</f>
        <v>170738</v>
      </c>
      <c r="O13" s="8" t="n">
        <f aca="false">MAX(0,N13)*Допущения!$B$22</f>
        <v>119516.6</v>
      </c>
      <c r="P13" s="10" t="n">
        <f aca="false">MAX(0,D13*Допущения!$B$23+E13*Допущения!$B$24+F13*Допущения!$B$25-G13*Допущения!$B$27)+Допущения!$B$26</f>
        <v>43.9</v>
      </c>
      <c r="Q13" s="9" t="n">
        <f aca="false">P13/4.33</f>
        <v>10.1385681293303</v>
      </c>
      <c r="R13" s="8" t="n">
        <v>0</v>
      </c>
    </row>
    <row r="14" customFormat="false" ht="15" hidden="false" customHeight="false" outlineLevel="0" collapsed="false">
      <c r="A14" s="0" t="n">
        <v>13</v>
      </c>
      <c r="B14" s="0" t="n">
        <f aca="false">INT((A14-1)/12)+1</f>
        <v>2</v>
      </c>
      <c r="C14" s="0" t="n">
        <f aca="false">IF(A14&lt;=3,1,IF(A14&lt;=6,2,IF(A14&lt;=12,3,IF(A14&lt;=24,4,5))))</f>
        <v>4</v>
      </c>
      <c r="D14" s="0" t="n">
        <f aca="false">INDEX(Объёмы!$B$3:$F$3,C14)</f>
        <v>1.5</v>
      </c>
      <c r="E14" s="0" t="n">
        <f aca="false">INDEX(Объёмы!$B$4:$F$4,C14)</f>
        <v>0.5</v>
      </c>
      <c r="F14" s="0" t="n">
        <f aca="false">INDEX(Объёмы!$B$5:$F$5,C14)</f>
        <v>2</v>
      </c>
      <c r="G14" s="0" t="n">
        <f aca="false">INDEX(Объёмы!$B$6:$F$6,C14)</f>
        <v>0</v>
      </c>
      <c r="H14" s="8" t="n">
        <f aca="false">(D14*Допущения!$B$2+E14*Допущения!$B$3+F14*Допущения!$B$4)*IF(B14=1,1,IF(B14=2,Допущения!$B$8,Допущения!$B$9))</f>
        <v>687500</v>
      </c>
      <c r="I14" s="8" t="n">
        <f aca="false">(D14*Допущения!$B$2*Допущения!$B$5+E14*Допущения!$B$3*Допущения!$B$6+F14*Допущения!$B$4*Допущения!$B$7)*IF(B14=1,1,IF(B14=2,Допущения!$B$8,Допущения!$B$9))</f>
        <v>233750</v>
      </c>
      <c r="J14" s="8" t="n">
        <f aca="false">H14-I14</f>
        <v>453750</v>
      </c>
      <c r="K14" s="8" t="n">
        <f aca="false">INDEX(Допущения!$B$10:$B$14, C14)+G14*Допущения!$B$15</f>
        <v>70000</v>
      </c>
      <c r="L14" s="8" t="n">
        <f aca="false">IF(R14&gt;Допущения!$B$20,H14*Допущения!$B$21,0)</f>
        <v>0</v>
      </c>
      <c r="M14" s="8" t="n">
        <f aca="false">(H14-L14)*Допущения!$B$16+MAX(0,H14-L14-Допущения!$B$18)*Допущения!$B$17+Допущения!$B$19</f>
        <v>52675</v>
      </c>
      <c r="N14" s="8" t="n">
        <f aca="false">J14-K14-L14-M14</f>
        <v>331075</v>
      </c>
      <c r="O14" s="8" t="n">
        <f aca="false">MAX(0,N14)*Допущения!$B$22</f>
        <v>231752.5</v>
      </c>
      <c r="P14" s="10" t="n">
        <f aca="false">MAX(0,D14*Допущения!$B$23+E14*Допущения!$B$24+F14*Допущения!$B$25-G14*Допущения!$B$27)+Допущения!$B$26</f>
        <v>62</v>
      </c>
      <c r="Q14" s="9" t="n">
        <f aca="false">P14/4.33</f>
        <v>14.3187066974596</v>
      </c>
      <c r="R14" s="8" t="n">
        <f aca="false">SUM(H2:H13)</f>
        <v>2897400</v>
      </c>
    </row>
    <row r="15" customFormat="false" ht="15" hidden="false" customHeight="false" outlineLevel="0" collapsed="false">
      <c r="A15" s="0" t="n">
        <v>14</v>
      </c>
      <c r="B15" s="0" t="n">
        <f aca="false">INT((A15-1)/12)+1</f>
        <v>2</v>
      </c>
      <c r="C15" s="0" t="n">
        <f aca="false">IF(A15&lt;=3,1,IF(A15&lt;=6,2,IF(A15&lt;=12,3,IF(A15&lt;=24,4,5))))</f>
        <v>4</v>
      </c>
      <c r="D15" s="0" t="n">
        <f aca="false">INDEX(Объёмы!$B$3:$F$3,C15)</f>
        <v>1.5</v>
      </c>
      <c r="E15" s="0" t="n">
        <f aca="false">INDEX(Объёмы!$B$4:$F$4,C15)</f>
        <v>0.5</v>
      </c>
      <c r="F15" s="0" t="n">
        <f aca="false">INDEX(Объёмы!$B$5:$F$5,C15)</f>
        <v>2</v>
      </c>
      <c r="G15" s="0" t="n">
        <f aca="false">INDEX(Объёмы!$B$6:$F$6,C15)</f>
        <v>0</v>
      </c>
      <c r="H15" s="8" t="n">
        <f aca="false">(D15*Допущения!$B$2+E15*Допущения!$B$3+F15*Допущения!$B$4)*IF(B15=1,1,IF(B15=2,Допущения!$B$8,Допущения!$B$9))</f>
        <v>687500</v>
      </c>
      <c r="I15" s="8" t="n">
        <f aca="false">(D15*Допущения!$B$2*Допущения!$B$5+E15*Допущения!$B$3*Допущения!$B$6+F15*Допущения!$B$4*Допущения!$B$7)*IF(B15=1,1,IF(B15=2,Допущения!$B$8,Допущения!$B$9))</f>
        <v>233750</v>
      </c>
      <c r="J15" s="8" t="n">
        <f aca="false">H15-I15</f>
        <v>453750</v>
      </c>
      <c r="K15" s="8" t="n">
        <f aca="false">INDEX(Допущения!$B$10:$B$14, C15)+G15*Допущения!$B$15</f>
        <v>70000</v>
      </c>
      <c r="L15" s="8" t="n">
        <f aca="false">IF(R15&gt;Допущения!$B$20,H15*Допущения!$B$21,0)</f>
        <v>0</v>
      </c>
      <c r="M15" s="8" t="n">
        <f aca="false">(H15-L15)*Допущения!$B$16+MAX(0,H15-L15-Допущения!$B$18)*Допущения!$B$17+Допущения!$B$19</f>
        <v>52675</v>
      </c>
      <c r="N15" s="8" t="n">
        <f aca="false">J15-K15-L15-M15</f>
        <v>331075</v>
      </c>
      <c r="O15" s="8" t="n">
        <f aca="false">MAX(0,N15)*Допущения!$B$22</f>
        <v>231752.5</v>
      </c>
      <c r="P15" s="10" t="n">
        <f aca="false">MAX(0,D15*Допущения!$B$23+E15*Допущения!$B$24+F15*Допущения!$B$25-G15*Допущения!$B$27)+Допущения!$B$26</f>
        <v>62</v>
      </c>
      <c r="Q15" s="9" t="n">
        <f aca="false">P15/4.33</f>
        <v>14.3187066974596</v>
      </c>
      <c r="R15" s="8" t="n">
        <f aca="false">SUM(H2:H13)</f>
        <v>2897400</v>
      </c>
    </row>
    <row r="16" customFormat="false" ht="15" hidden="false" customHeight="false" outlineLevel="0" collapsed="false">
      <c r="A16" s="0" t="n">
        <v>15</v>
      </c>
      <c r="B16" s="0" t="n">
        <f aca="false">INT((A16-1)/12)+1</f>
        <v>2</v>
      </c>
      <c r="C16" s="0" t="n">
        <f aca="false">IF(A16&lt;=3,1,IF(A16&lt;=6,2,IF(A16&lt;=12,3,IF(A16&lt;=24,4,5))))</f>
        <v>4</v>
      </c>
      <c r="D16" s="0" t="n">
        <f aca="false">INDEX(Объёмы!$B$3:$F$3,C16)</f>
        <v>1.5</v>
      </c>
      <c r="E16" s="0" t="n">
        <f aca="false">INDEX(Объёмы!$B$4:$F$4,C16)</f>
        <v>0.5</v>
      </c>
      <c r="F16" s="0" t="n">
        <f aca="false">INDEX(Объёмы!$B$5:$F$5,C16)</f>
        <v>2</v>
      </c>
      <c r="G16" s="0" t="n">
        <f aca="false">INDEX(Объёмы!$B$6:$F$6,C16)</f>
        <v>0</v>
      </c>
      <c r="H16" s="8" t="n">
        <f aca="false">(D16*Допущения!$B$2+E16*Допущения!$B$3+F16*Допущения!$B$4)*IF(B16=1,1,IF(B16=2,Допущения!$B$8,Допущения!$B$9))</f>
        <v>687500</v>
      </c>
      <c r="I16" s="8" t="n">
        <f aca="false">(D16*Допущения!$B$2*Допущения!$B$5+E16*Допущения!$B$3*Допущения!$B$6+F16*Допущения!$B$4*Допущения!$B$7)*IF(B16=1,1,IF(B16=2,Допущения!$B$8,Допущения!$B$9))</f>
        <v>233750</v>
      </c>
      <c r="J16" s="8" t="n">
        <f aca="false">H16-I16</f>
        <v>453750</v>
      </c>
      <c r="K16" s="8" t="n">
        <f aca="false">INDEX(Допущения!$B$10:$B$14, C16)+G16*Допущения!$B$15</f>
        <v>70000</v>
      </c>
      <c r="L16" s="8" t="n">
        <f aca="false">IF(R16&gt;Допущения!$B$20,H16*Допущения!$B$21,0)</f>
        <v>0</v>
      </c>
      <c r="M16" s="8" t="n">
        <f aca="false">(H16-L16)*Допущения!$B$16+MAX(0,H16-L16-Допущения!$B$18)*Допущения!$B$17+Допущения!$B$19</f>
        <v>52675</v>
      </c>
      <c r="N16" s="8" t="n">
        <f aca="false">J16-K16-L16-M16</f>
        <v>331075</v>
      </c>
      <c r="O16" s="8" t="n">
        <f aca="false">MAX(0,N16)*Допущения!$B$22</f>
        <v>231752.5</v>
      </c>
      <c r="P16" s="10" t="n">
        <f aca="false">MAX(0,D16*Допущения!$B$23+E16*Допущения!$B$24+F16*Допущения!$B$25-G16*Допущения!$B$27)+Допущения!$B$26</f>
        <v>62</v>
      </c>
      <c r="Q16" s="9" t="n">
        <f aca="false">P16/4.33</f>
        <v>14.3187066974596</v>
      </c>
      <c r="R16" s="8" t="n">
        <f aca="false">SUM(H2:H13)</f>
        <v>2897400</v>
      </c>
    </row>
    <row r="17" customFormat="false" ht="15" hidden="false" customHeight="false" outlineLevel="0" collapsed="false">
      <c r="A17" s="0" t="n">
        <v>16</v>
      </c>
      <c r="B17" s="0" t="n">
        <f aca="false">INT((A17-1)/12)+1</f>
        <v>2</v>
      </c>
      <c r="C17" s="0" t="n">
        <f aca="false">IF(A17&lt;=3,1,IF(A17&lt;=6,2,IF(A17&lt;=12,3,IF(A17&lt;=24,4,5))))</f>
        <v>4</v>
      </c>
      <c r="D17" s="0" t="n">
        <f aca="false">INDEX(Объёмы!$B$3:$F$3,C17)</f>
        <v>1.5</v>
      </c>
      <c r="E17" s="0" t="n">
        <f aca="false">INDEX(Объёмы!$B$4:$F$4,C17)</f>
        <v>0.5</v>
      </c>
      <c r="F17" s="0" t="n">
        <f aca="false">INDEX(Объёмы!$B$5:$F$5,C17)</f>
        <v>2</v>
      </c>
      <c r="G17" s="0" t="n">
        <f aca="false">INDEX(Объёмы!$B$6:$F$6,C17)</f>
        <v>0</v>
      </c>
      <c r="H17" s="8" t="n">
        <f aca="false">(D17*Допущения!$B$2+E17*Допущения!$B$3+F17*Допущения!$B$4)*IF(B17=1,1,IF(B17=2,Допущения!$B$8,Допущения!$B$9))</f>
        <v>687500</v>
      </c>
      <c r="I17" s="8" t="n">
        <f aca="false">(D17*Допущения!$B$2*Допущения!$B$5+E17*Допущения!$B$3*Допущения!$B$6+F17*Допущения!$B$4*Допущения!$B$7)*IF(B17=1,1,IF(B17=2,Допущения!$B$8,Допущения!$B$9))</f>
        <v>233750</v>
      </c>
      <c r="J17" s="8" t="n">
        <f aca="false">H17-I17</f>
        <v>453750</v>
      </c>
      <c r="K17" s="8" t="n">
        <f aca="false">INDEX(Допущения!$B$10:$B$14, C17)+G17*Допущения!$B$15</f>
        <v>70000</v>
      </c>
      <c r="L17" s="8" t="n">
        <f aca="false">IF(R17&gt;Допущения!$B$20,H17*Допущения!$B$21,0)</f>
        <v>0</v>
      </c>
      <c r="M17" s="8" t="n">
        <f aca="false">(H17-L17)*Допущения!$B$16+MAX(0,H17-L17-Допущения!$B$18)*Допущения!$B$17+Допущения!$B$19</f>
        <v>52675</v>
      </c>
      <c r="N17" s="8" t="n">
        <f aca="false">J17-K17-L17-M17</f>
        <v>331075</v>
      </c>
      <c r="O17" s="8" t="n">
        <f aca="false">MAX(0,N17)*Допущения!$B$22</f>
        <v>231752.5</v>
      </c>
      <c r="P17" s="10" t="n">
        <f aca="false">MAX(0,D17*Допущения!$B$23+E17*Допущения!$B$24+F17*Допущения!$B$25-G17*Допущения!$B$27)+Допущения!$B$26</f>
        <v>62</v>
      </c>
      <c r="Q17" s="9" t="n">
        <f aca="false">P17/4.33</f>
        <v>14.3187066974596</v>
      </c>
      <c r="R17" s="8" t="n">
        <f aca="false">SUM(H2:H13)</f>
        <v>2897400</v>
      </c>
    </row>
    <row r="18" customFormat="false" ht="15" hidden="false" customHeight="false" outlineLevel="0" collapsed="false">
      <c r="A18" s="0" t="n">
        <v>17</v>
      </c>
      <c r="B18" s="0" t="n">
        <f aca="false">INT((A18-1)/12)+1</f>
        <v>2</v>
      </c>
      <c r="C18" s="0" t="n">
        <f aca="false">IF(A18&lt;=3,1,IF(A18&lt;=6,2,IF(A18&lt;=12,3,IF(A18&lt;=24,4,5))))</f>
        <v>4</v>
      </c>
      <c r="D18" s="0" t="n">
        <f aca="false">INDEX(Объёмы!$B$3:$F$3,C18)</f>
        <v>1.5</v>
      </c>
      <c r="E18" s="0" t="n">
        <f aca="false">INDEX(Объёмы!$B$4:$F$4,C18)</f>
        <v>0.5</v>
      </c>
      <c r="F18" s="0" t="n">
        <f aca="false">INDEX(Объёмы!$B$5:$F$5,C18)</f>
        <v>2</v>
      </c>
      <c r="G18" s="0" t="n">
        <f aca="false">INDEX(Объёмы!$B$6:$F$6,C18)</f>
        <v>0</v>
      </c>
      <c r="H18" s="8" t="n">
        <f aca="false">(D18*Допущения!$B$2+E18*Допущения!$B$3+F18*Допущения!$B$4)*IF(B18=1,1,IF(B18=2,Допущения!$B$8,Допущения!$B$9))</f>
        <v>687500</v>
      </c>
      <c r="I18" s="8" t="n">
        <f aca="false">(D18*Допущения!$B$2*Допущения!$B$5+E18*Допущения!$B$3*Допущения!$B$6+F18*Допущения!$B$4*Допущения!$B$7)*IF(B18=1,1,IF(B18=2,Допущения!$B$8,Допущения!$B$9))</f>
        <v>233750</v>
      </c>
      <c r="J18" s="8" t="n">
        <f aca="false">H18-I18</f>
        <v>453750</v>
      </c>
      <c r="K18" s="8" t="n">
        <f aca="false">INDEX(Допущения!$B$10:$B$14, C18)+G18*Допущения!$B$15</f>
        <v>70000</v>
      </c>
      <c r="L18" s="8" t="n">
        <f aca="false">IF(R18&gt;Допущения!$B$20,H18*Допущения!$B$21,0)</f>
        <v>0</v>
      </c>
      <c r="M18" s="8" t="n">
        <f aca="false">(H18-L18)*Допущения!$B$16+MAX(0,H18-L18-Допущения!$B$18)*Допущения!$B$17+Допущения!$B$19</f>
        <v>52675</v>
      </c>
      <c r="N18" s="8" t="n">
        <f aca="false">J18-K18-L18-M18</f>
        <v>331075</v>
      </c>
      <c r="O18" s="8" t="n">
        <f aca="false">MAX(0,N18)*Допущения!$B$22</f>
        <v>231752.5</v>
      </c>
      <c r="P18" s="10" t="n">
        <f aca="false">MAX(0,D18*Допущения!$B$23+E18*Допущения!$B$24+F18*Допущения!$B$25-G18*Допущения!$B$27)+Допущения!$B$26</f>
        <v>62</v>
      </c>
      <c r="Q18" s="9" t="n">
        <f aca="false">P18/4.33</f>
        <v>14.3187066974596</v>
      </c>
      <c r="R18" s="8" t="n">
        <f aca="false">SUM(H2:H13)</f>
        <v>2897400</v>
      </c>
    </row>
    <row r="19" customFormat="false" ht="15" hidden="false" customHeight="false" outlineLevel="0" collapsed="false">
      <c r="A19" s="0" t="n">
        <v>18</v>
      </c>
      <c r="B19" s="0" t="n">
        <f aca="false">INT((A19-1)/12)+1</f>
        <v>2</v>
      </c>
      <c r="C19" s="0" t="n">
        <f aca="false">IF(A19&lt;=3,1,IF(A19&lt;=6,2,IF(A19&lt;=12,3,IF(A19&lt;=24,4,5))))</f>
        <v>4</v>
      </c>
      <c r="D19" s="0" t="n">
        <f aca="false">INDEX(Объёмы!$B$3:$F$3,C19)</f>
        <v>1.5</v>
      </c>
      <c r="E19" s="0" t="n">
        <f aca="false">INDEX(Объёмы!$B$4:$F$4,C19)</f>
        <v>0.5</v>
      </c>
      <c r="F19" s="0" t="n">
        <f aca="false">INDEX(Объёмы!$B$5:$F$5,C19)</f>
        <v>2</v>
      </c>
      <c r="G19" s="0" t="n">
        <f aca="false">INDEX(Объёмы!$B$6:$F$6,C19)</f>
        <v>0</v>
      </c>
      <c r="H19" s="8" t="n">
        <f aca="false">(D19*Допущения!$B$2+E19*Допущения!$B$3+F19*Допущения!$B$4)*IF(B19=1,1,IF(B19=2,Допущения!$B$8,Допущения!$B$9))</f>
        <v>687500</v>
      </c>
      <c r="I19" s="8" t="n">
        <f aca="false">(D19*Допущения!$B$2*Допущения!$B$5+E19*Допущения!$B$3*Допущения!$B$6+F19*Допущения!$B$4*Допущения!$B$7)*IF(B19=1,1,IF(B19=2,Допущения!$B$8,Допущения!$B$9))</f>
        <v>233750</v>
      </c>
      <c r="J19" s="8" t="n">
        <f aca="false">H19-I19</f>
        <v>453750</v>
      </c>
      <c r="K19" s="8" t="n">
        <f aca="false">INDEX(Допущения!$B$10:$B$14, C19)+G19*Допущения!$B$15</f>
        <v>70000</v>
      </c>
      <c r="L19" s="8" t="n">
        <f aca="false">IF(R19&gt;Допущения!$B$20,H19*Допущения!$B$21,0)</f>
        <v>0</v>
      </c>
      <c r="M19" s="8" t="n">
        <f aca="false">(H19-L19)*Допущения!$B$16+MAX(0,H19-L19-Допущения!$B$18)*Допущения!$B$17+Допущения!$B$19</f>
        <v>52675</v>
      </c>
      <c r="N19" s="8" t="n">
        <f aca="false">J19-K19-L19-M19</f>
        <v>331075</v>
      </c>
      <c r="O19" s="8" t="n">
        <f aca="false">MAX(0,N19)*Допущения!$B$22</f>
        <v>231752.5</v>
      </c>
      <c r="P19" s="10" t="n">
        <f aca="false">MAX(0,D19*Допущения!$B$23+E19*Допущения!$B$24+F19*Допущения!$B$25-G19*Допущения!$B$27)+Допущения!$B$26</f>
        <v>62</v>
      </c>
      <c r="Q19" s="9" t="n">
        <f aca="false">P19/4.33</f>
        <v>14.3187066974596</v>
      </c>
      <c r="R19" s="8" t="n">
        <f aca="false">SUM(H2:H13)</f>
        <v>2897400</v>
      </c>
    </row>
    <row r="20" customFormat="false" ht="15" hidden="false" customHeight="false" outlineLevel="0" collapsed="false">
      <c r="A20" s="0" t="n">
        <v>19</v>
      </c>
      <c r="B20" s="0" t="n">
        <f aca="false">INT((A20-1)/12)+1</f>
        <v>2</v>
      </c>
      <c r="C20" s="0" t="n">
        <f aca="false">IF(A20&lt;=3,1,IF(A20&lt;=6,2,IF(A20&lt;=12,3,IF(A20&lt;=24,4,5))))</f>
        <v>4</v>
      </c>
      <c r="D20" s="0" t="n">
        <f aca="false">INDEX(Объёмы!$B$3:$F$3,C20)</f>
        <v>1.5</v>
      </c>
      <c r="E20" s="0" t="n">
        <f aca="false">INDEX(Объёмы!$B$4:$F$4,C20)</f>
        <v>0.5</v>
      </c>
      <c r="F20" s="0" t="n">
        <f aca="false">INDEX(Объёмы!$B$5:$F$5,C20)</f>
        <v>2</v>
      </c>
      <c r="G20" s="0" t="n">
        <f aca="false">INDEX(Объёмы!$B$6:$F$6,C20)</f>
        <v>0</v>
      </c>
      <c r="H20" s="8" t="n">
        <f aca="false">(D20*Допущения!$B$2+E20*Допущения!$B$3+F20*Допущения!$B$4)*IF(B20=1,1,IF(B20=2,Допущения!$B$8,Допущения!$B$9))</f>
        <v>687500</v>
      </c>
      <c r="I20" s="8" t="n">
        <f aca="false">(D20*Допущения!$B$2*Допущения!$B$5+E20*Допущения!$B$3*Допущения!$B$6+F20*Допущения!$B$4*Допущения!$B$7)*IF(B20=1,1,IF(B20=2,Допущения!$B$8,Допущения!$B$9))</f>
        <v>233750</v>
      </c>
      <c r="J20" s="8" t="n">
        <f aca="false">H20-I20</f>
        <v>453750</v>
      </c>
      <c r="K20" s="8" t="n">
        <f aca="false">INDEX(Допущения!$B$10:$B$14, C20)+G20*Допущения!$B$15</f>
        <v>70000</v>
      </c>
      <c r="L20" s="8" t="n">
        <f aca="false">IF(R20&gt;Допущения!$B$20,H20*Допущения!$B$21,0)</f>
        <v>0</v>
      </c>
      <c r="M20" s="8" t="n">
        <f aca="false">(H20-L20)*Допущения!$B$16+MAX(0,H20-L20-Допущения!$B$18)*Допущения!$B$17+Допущения!$B$19</f>
        <v>52675</v>
      </c>
      <c r="N20" s="8" t="n">
        <f aca="false">J20-K20-L20-M20</f>
        <v>331075</v>
      </c>
      <c r="O20" s="8" t="n">
        <f aca="false">MAX(0,N20)*Допущения!$B$22</f>
        <v>231752.5</v>
      </c>
      <c r="P20" s="10" t="n">
        <f aca="false">MAX(0,D20*Допущения!$B$23+E20*Допущения!$B$24+F20*Допущения!$B$25-G20*Допущения!$B$27)+Допущения!$B$26</f>
        <v>62</v>
      </c>
      <c r="Q20" s="9" t="n">
        <f aca="false">P20/4.33</f>
        <v>14.3187066974596</v>
      </c>
      <c r="R20" s="8" t="n">
        <f aca="false">SUM(H2:H13)</f>
        <v>2897400</v>
      </c>
    </row>
    <row r="21" customFormat="false" ht="15" hidden="false" customHeight="false" outlineLevel="0" collapsed="false">
      <c r="A21" s="0" t="n">
        <v>20</v>
      </c>
      <c r="B21" s="0" t="n">
        <f aca="false">INT((A21-1)/12)+1</f>
        <v>2</v>
      </c>
      <c r="C21" s="0" t="n">
        <f aca="false">IF(A21&lt;=3,1,IF(A21&lt;=6,2,IF(A21&lt;=12,3,IF(A21&lt;=24,4,5))))</f>
        <v>4</v>
      </c>
      <c r="D21" s="0" t="n">
        <f aca="false">INDEX(Объёмы!$B$3:$F$3,C21)</f>
        <v>1.5</v>
      </c>
      <c r="E21" s="0" t="n">
        <f aca="false">INDEX(Объёмы!$B$4:$F$4,C21)</f>
        <v>0.5</v>
      </c>
      <c r="F21" s="0" t="n">
        <f aca="false">INDEX(Объёмы!$B$5:$F$5,C21)</f>
        <v>2</v>
      </c>
      <c r="G21" s="0" t="n">
        <f aca="false">INDEX(Объёмы!$B$6:$F$6,C21)</f>
        <v>0</v>
      </c>
      <c r="H21" s="8" t="n">
        <f aca="false">(D21*Допущения!$B$2+E21*Допущения!$B$3+F21*Допущения!$B$4)*IF(B21=1,1,IF(B21=2,Допущения!$B$8,Допущения!$B$9))</f>
        <v>687500</v>
      </c>
      <c r="I21" s="8" t="n">
        <f aca="false">(D21*Допущения!$B$2*Допущения!$B$5+E21*Допущения!$B$3*Допущения!$B$6+F21*Допущения!$B$4*Допущения!$B$7)*IF(B21=1,1,IF(B21=2,Допущения!$B$8,Допущения!$B$9))</f>
        <v>233750</v>
      </c>
      <c r="J21" s="8" t="n">
        <f aca="false">H21-I21</f>
        <v>453750</v>
      </c>
      <c r="K21" s="8" t="n">
        <f aca="false">INDEX(Допущения!$B$10:$B$14, C21)+G21*Допущения!$B$15</f>
        <v>70000</v>
      </c>
      <c r="L21" s="8" t="n">
        <f aca="false">IF(R21&gt;Допущения!$B$20,H21*Допущения!$B$21,0)</f>
        <v>0</v>
      </c>
      <c r="M21" s="8" t="n">
        <f aca="false">(H21-L21)*Допущения!$B$16+MAX(0,H21-L21-Допущения!$B$18)*Допущения!$B$17+Допущения!$B$19</f>
        <v>52675</v>
      </c>
      <c r="N21" s="8" t="n">
        <f aca="false">J21-K21-L21-M21</f>
        <v>331075</v>
      </c>
      <c r="O21" s="8" t="n">
        <f aca="false">MAX(0,N21)*Допущения!$B$22</f>
        <v>231752.5</v>
      </c>
      <c r="P21" s="10" t="n">
        <f aca="false">MAX(0,D21*Допущения!$B$23+E21*Допущения!$B$24+F21*Допущения!$B$25-G21*Допущения!$B$27)+Допущения!$B$26</f>
        <v>62</v>
      </c>
      <c r="Q21" s="9" t="n">
        <f aca="false">P21/4.33</f>
        <v>14.3187066974596</v>
      </c>
      <c r="R21" s="8" t="n">
        <f aca="false">SUM(H2:H13)</f>
        <v>2897400</v>
      </c>
    </row>
    <row r="22" customFormat="false" ht="15" hidden="false" customHeight="false" outlineLevel="0" collapsed="false">
      <c r="A22" s="0" t="n">
        <v>21</v>
      </c>
      <c r="B22" s="0" t="n">
        <f aca="false">INT((A22-1)/12)+1</f>
        <v>2</v>
      </c>
      <c r="C22" s="0" t="n">
        <f aca="false">IF(A22&lt;=3,1,IF(A22&lt;=6,2,IF(A22&lt;=12,3,IF(A22&lt;=24,4,5))))</f>
        <v>4</v>
      </c>
      <c r="D22" s="0" t="n">
        <f aca="false">INDEX(Объёмы!$B$3:$F$3,C22)</f>
        <v>1.5</v>
      </c>
      <c r="E22" s="0" t="n">
        <f aca="false">INDEX(Объёмы!$B$4:$F$4,C22)</f>
        <v>0.5</v>
      </c>
      <c r="F22" s="0" t="n">
        <f aca="false">INDEX(Объёмы!$B$5:$F$5,C22)</f>
        <v>2</v>
      </c>
      <c r="G22" s="0" t="n">
        <f aca="false">INDEX(Объёмы!$B$6:$F$6,C22)</f>
        <v>0</v>
      </c>
      <c r="H22" s="8" t="n">
        <f aca="false">(D22*Допущения!$B$2+E22*Допущения!$B$3+F22*Допущения!$B$4)*IF(B22=1,1,IF(B22=2,Допущения!$B$8,Допущения!$B$9))</f>
        <v>687500</v>
      </c>
      <c r="I22" s="8" t="n">
        <f aca="false">(D22*Допущения!$B$2*Допущения!$B$5+E22*Допущения!$B$3*Допущения!$B$6+F22*Допущения!$B$4*Допущения!$B$7)*IF(B22=1,1,IF(B22=2,Допущения!$B$8,Допущения!$B$9))</f>
        <v>233750</v>
      </c>
      <c r="J22" s="8" t="n">
        <f aca="false">H22-I22</f>
        <v>453750</v>
      </c>
      <c r="K22" s="8" t="n">
        <f aca="false">INDEX(Допущения!$B$10:$B$14, C22)+G22*Допущения!$B$15</f>
        <v>70000</v>
      </c>
      <c r="L22" s="8" t="n">
        <f aca="false">IF(R22&gt;Допущения!$B$20,H22*Допущения!$B$21,0)</f>
        <v>0</v>
      </c>
      <c r="M22" s="8" t="n">
        <f aca="false">(H22-L22)*Допущения!$B$16+MAX(0,H22-L22-Допущения!$B$18)*Допущения!$B$17+Допущения!$B$19</f>
        <v>52675</v>
      </c>
      <c r="N22" s="8" t="n">
        <f aca="false">J22-K22-L22-M22</f>
        <v>331075</v>
      </c>
      <c r="O22" s="8" t="n">
        <f aca="false">MAX(0,N22)*Допущения!$B$22</f>
        <v>231752.5</v>
      </c>
      <c r="P22" s="10" t="n">
        <f aca="false">MAX(0,D22*Допущения!$B$23+E22*Допущения!$B$24+F22*Допущения!$B$25-G22*Допущения!$B$27)+Допущения!$B$26</f>
        <v>62</v>
      </c>
      <c r="Q22" s="9" t="n">
        <f aca="false">P22/4.33</f>
        <v>14.3187066974596</v>
      </c>
      <c r="R22" s="8" t="n">
        <f aca="false">SUM(H2:H13)</f>
        <v>2897400</v>
      </c>
    </row>
    <row r="23" customFormat="false" ht="15" hidden="false" customHeight="false" outlineLevel="0" collapsed="false">
      <c r="A23" s="0" t="n">
        <v>22</v>
      </c>
      <c r="B23" s="0" t="n">
        <f aca="false">INT((A23-1)/12)+1</f>
        <v>2</v>
      </c>
      <c r="C23" s="0" t="n">
        <f aca="false">IF(A23&lt;=3,1,IF(A23&lt;=6,2,IF(A23&lt;=12,3,IF(A23&lt;=24,4,5))))</f>
        <v>4</v>
      </c>
      <c r="D23" s="0" t="n">
        <f aca="false">INDEX(Объёмы!$B$3:$F$3,C23)</f>
        <v>1.5</v>
      </c>
      <c r="E23" s="0" t="n">
        <f aca="false">INDEX(Объёмы!$B$4:$F$4,C23)</f>
        <v>0.5</v>
      </c>
      <c r="F23" s="0" t="n">
        <f aca="false">INDEX(Объёмы!$B$5:$F$5,C23)</f>
        <v>2</v>
      </c>
      <c r="G23" s="0" t="n">
        <f aca="false">INDEX(Объёмы!$B$6:$F$6,C23)</f>
        <v>0</v>
      </c>
      <c r="H23" s="8" t="n">
        <f aca="false">(D23*Допущения!$B$2+E23*Допущения!$B$3+F23*Допущения!$B$4)*IF(B23=1,1,IF(B23=2,Допущения!$B$8,Допущения!$B$9))</f>
        <v>687500</v>
      </c>
      <c r="I23" s="8" t="n">
        <f aca="false">(D23*Допущения!$B$2*Допущения!$B$5+E23*Допущения!$B$3*Допущения!$B$6+F23*Допущения!$B$4*Допущения!$B$7)*IF(B23=1,1,IF(B23=2,Допущения!$B$8,Допущения!$B$9))</f>
        <v>233750</v>
      </c>
      <c r="J23" s="8" t="n">
        <f aca="false">H23-I23</f>
        <v>453750</v>
      </c>
      <c r="K23" s="8" t="n">
        <f aca="false">INDEX(Допущения!$B$10:$B$14, C23)+G23*Допущения!$B$15</f>
        <v>70000</v>
      </c>
      <c r="L23" s="8" t="n">
        <f aca="false">IF(R23&gt;Допущения!$B$20,H23*Допущения!$B$21,0)</f>
        <v>0</v>
      </c>
      <c r="M23" s="8" t="n">
        <f aca="false">(H23-L23)*Допущения!$B$16+MAX(0,H23-L23-Допущения!$B$18)*Допущения!$B$17+Допущения!$B$19</f>
        <v>52675</v>
      </c>
      <c r="N23" s="8" t="n">
        <f aca="false">J23-K23-L23-M23</f>
        <v>331075</v>
      </c>
      <c r="O23" s="8" t="n">
        <f aca="false">MAX(0,N23)*Допущения!$B$22</f>
        <v>231752.5</v>
      </c>
      <c r="P23" s="10" t="n">
        <f aca="false">MAX(0,D23*Допущения!$B$23+E23*Допущения!$B$24+F23*Допущения!$B$25-G23*Допущения!$B$27)+Допущения!$B$26</f>
        <v>62</v>
      </c>
      <c r="Q23" s="9" t="n">
        <f aca="false">P23/4.33</f>
        <v>14.3187066974596</v>
      </c>
      <c r="R23" s="8" t="n">
        <f aca="false">SUM(H2:H13)</f>
        <v>2897400</v>
      </c>
    </row>
    <row r="24" customFormat="false" ht="15" hidden="false" customHeight="false" outlineLevel="0" collapsed="false">
      <c r="A24" s="0" t="n">
        <v>23</v>
      </c>
      <c r="B24" s="0" t="n">
        <f aca="false">INT((A24-1)/12)+1</f>
        <v>2</v>
      </c>
      <c r="C24" s="0" t="n">
        <f aca="false">IF(A24&lt;=3,1,IF(A24&lt;=6,2,IF(A24&lt;=12,3,IF(A24&lt;=24,4,5))))</f>
        <v>4</v>
      </c>
      <c r="D24" s="0" t="n">
        <f aca="false">INDEX(Объёмы!$B$3:$F$3,C24)</f>
        <v>1.5</v>
      </c>
      <c r="E24" s="0" t="n">
        <f aca="false">INDEX(Объёмы!$B$4:$F$4,C24)</f>
        <v>0.5</v>
      </c>
      <c r="F24" s="0" t="n">
        <f aca="false">INDEX(Объёмы!$B$5:$F$5,C24)</f>
        <v>2</v>
      </c>
      <c r="G24" s="0" t="n">
        <f aca="false">INDEX(Объёмы!$B$6:$F$6,C24)</f>
        <v>0</v>
      </c>
      <c r="H24" s="8" t="n">
        <f aca="false">(D24*Допущения!$B$2+E24*Допущения!$B$3+F24*Допущения!$B$4)*IF(B24=1,1,IF(B24=2,Допущения!$B$8,Допущения!$B$9))</f>
        <v>687500</v>
      </c>
      <c r="I24" s="8" t="n">
        <f aca="false">(D24*Допущения!$B$2*Допущения!$B$5+E24*Допущения!$B$3*Допущения!$B$6+F24*Допущения!$B$4*Допущения!$B$7)*IF(B24=1,1,IF(B24=2,Допущения!$B$8,Допущения!$B$9))</f>
        <v>233750</v>
      </c>
      <c r="J24" s="8" t="n">
        <f aca="false">H24-I24</f>
        <v>453750</v>
      </c>
      <c r="K24" s="8" t="n">
        <f aca="false">INDEX(Допущения!$B$10:$B$14, C24)+G24*Допущения!$B$15</f>
        <v>70000</v>
      </c>
      <c r="L24" s="8" t="n">
        <f aca="false">IF(R24&gt;Допущения!$B$20,H24*Допущения!$B$21,0)</f>
        <v>0</v>
      </c>
      <c r="M24" s="8" t="n">
        <f aca="false">(H24-L24)*Допущения!$B$16+MAX(0,H24-L24-Допущения!$B$18)*Допущения!$B$17+Допущения!$B$19</f>
        <v>52675</v>
      </c>
      <c r="N24" s="8" t="n">
        <f aca="false">J24-K24-L24-M24</f>
        <v>331075</v>
      </c>
      <c r="O24" s="8" t="n">
        <f aca="false">MAX(0,N24)*Допущения!$B$22</f>
        <v>231752.5</v>
      </c>
      <c r="P24" s="10" t="n">
        <f aca="false">MAX(0,D24*Допущения!$B$23+E24*Допущения!$B$24+F24*Допущения!$B$25-G24*Допущения!$B$27)+Допущения!$B$26</f>
        <v>62</v>
      </c>
      <c r="Q24" s="9" t="n">
        <f aca="false">P24/4.33</f>
        <v>14.3187066974596</v>
      </c>
      <c r="R24" s="8" t="n">
        <f aca="false">SUM(H2:H13)</f>
        <v>2897400</v>
      </c>
    </row>
    <row r="25" customFormat="false" ht="15" hidden="false" customHeight="false" outlineLevel="0" collapsed="false">
      <c r="A25" s="0" t="n">
        <v>24</v>
      </c>
      <c r="B25" s="0" t="n">
        <f aca="false">INT((A25-1)/12)+1</f>
        <v>2</v>
      </c>
      <c r="C25" s="0" t="n">
        <f aca="false">IF(A25&lt;=3,1,IF(A25&lt;=6,2,IF(A25&lt;=12,3,IF(A25&lt;=24,4,5))))</f>
        <v>4</v>
      </c>
      <c r="D25" s="0" t="n">
        <f aca="false">INDEX(Объёмы!$B$3:$F$3,C25)</f>
        <v>1.5</v>
      </c>
      <c r="E25" s="0" t="n">
        <f aca="false">INDEX(Объёмы!$B$4:$F$4,C25)</f>
        <v>0.5</v>
      </c>
      <c r="F25" s="0" t="n">
        <f aca="false">INDEX(Объёмы!$B$5:$F$5,C25)</f>
        <v>2</v>
      </c>
      <c r="G25" s="0" t="n">
        <f aca="false">INDEX(Объёмы!$B$6:$F$6,C25)</f>
        <v>0</v>
      </c>
      <c r="H25" s="8" t="n">
        <f aca="false">(D25*Допущения!$B$2+E25*Допущения!$B$3+F25*Допущения!$B$4)*IF(B25=1,1,IF(B25=2,Допущения!$B$8,Допущения!$B$9))</f>
        <v>687500</v>
      </c>
      <c r="I25" s="8" t="n">
        <f aca="false">(D25*Допущения!$B$2*Допущения!$B$5+E25*Допущения!$B$3*Допущения!$B$6+F25*Допущения!$B$4*Допущения!$B$7)*IF(B25=1,1,IF(B25=2,Допущения!$B$8,Допущения!$B$9))</f>
        <v>233750</v>
      </c>
      <c r="J25" s="8" t="n">
        <f aca="false">H25-I25</f>
        <v>453750</v>
      </c>
      <c r="K25" s="8" t="n">
        <f aca="false">INDEX(Допущения!$B$10:$B$14, C25)+G25*Допущения!$B$15</f>
        <v>70000</v>
      </c>
      <c r="L25" s="8" t="n">
        <f aca="false">IF(R25&gt;Допущения!$B$20,H25*Допущения!$B$21,0)</f>
        <v>0</v>
      </c>
      <c r="M25" s="8" t="n">
        <f aca="false">(H25-L25)*Допущения!$B$16+MAX(0,H25-L25-Допущения!$B$18)*Допущения!$B$17+Допущения!$B$19</f>
        <v>52675</v>
      </c>
      <c r="N25" s="8" t="n">
        <f aca="false">J25-K25-L25-M25</f>
        <v>331075</v>
      </c>
      <c r="O25" s="8" t="n">
        <f aca="false">MAX(0,N25)*Допущения!$B$22</f>
        <v>231752.5</v>
      </c>
      <c r="P25" s="10" t="n">
        <f aca="false">MAX(0,D25*Допущения!$B$23+E25*Допущения!$B$24+F25*Допущения!$B$25-G25*Допущения!$B$27)+Допущения!$B$26</f>
        <v>62</v>
      </c>
      <c r="Q25" s="9" t="n">
        <f aca="false">P25/4.33</f>
        <v>14.3187066974596</v>
      </c>
      <c r="R25" s="8" t="n">
        <f aca="false">SUM(H2:H13)</f>
        <v>2897400</v>
      </c>
    </row>
    <row r="26" customFormat="false" ht="15" hidden="false" customHeight="false" outlineLevel="0" collapsed="false">
      <c r="A26" s="0" t="n">
        <v>25</v>
      </c>
      <c r="B26" s="0" t="n">
        <f aca="false">INT((A26-1)/12)+1</f>
        <v>3</v>
      </c>
      <c r="C26" s="0" t="n">
        <f aca="false">IF(A26&lt;=3,1,IF(A26&lt;=6,2,IF(A26&lt;=12,3,IF(A26&lt;=24,4,5))))</f>
        <v>5</v>
      </c>
      <c r="D26" s="0" t="n">
        <f aca="false">INDEX(Объёмы!$B$3:$F$3,C26)</f>
        <v>2</v>
      </c>
      <c r="E26" s="0" t="n">
        <f aca="false">INDEX(Объёмы!$B$4:$F$4,C26)</f>
        <v>0.75</v>
      </c>
      <c r="F26" s="0" t="n">
        <f aca="false">INDEX(Объёмы!$B$5:$F$5,C26)</f>
        <v>3</v>
      </c>
      <c r="G26" s="0" t="n">
        <f aca="false">INDEX(Объёмы!$B$6:$F$6,C26)</f>
        <v>1</v>
      </c>
      <c r="H26" s="8" t="n">
        <f aca="false">(D26*Допущения!$B$2+E26*Допущения!$B$3+F26*Допущения!$B$4)*IF(B26=1,1,IF(B26=2,Допущения!$B$8,Допущения!$B$9))</f>
        <v>1098000</v>
      </c>
      <c r="I26" s="8" t="n">
        <f aca="false">(D26*Допущения!$B$2*Допущения!$B$5+E26*Допущения!$B$3*Допущения!$B$6+F26*Допущения!$B$4*Допущения!$B$7)*IF(B26=1,1,IF(B26=2,Допущения!$B$8,Допущения!$B$9))</f>
        <v>377100</v>
      </c>
      <c r="J26" s="8" t="n">
        <f aca="false">H26-I26</f>
        <v>720900</v>
      </c>
      <c r="K26" s="8" t="n">
        <f aca="false">INDEX(Допущения!$B$10:$B$14, C26)+G26*Допущения!$B$15</f>
        <v>260000</v>
      </c>
      <c r="L26" s="8" t="n">
        <f aca="false">IF(R26&gt;Допущения!$B$20,H26*Допущения!$B$21,0)</f>
        <v>0</v>
      </c>
      <c r="M26" s="8" t="n">
        <f aca="false">(H26-L26)*Допущения!$B$16+MAX(0,H26-L26-Допущения!$B$18)*Допущения!$B$17+Допущения!$B$19</f>
        <v>81410</v>
      </c>
      <c r="N26" s="8" t="n">
        <f aca="false">J26-K26-L26-M26</f>
        <v>379490</v>
      </c>
      <c r="O26" s="8" t="n">
        <f aca="false">MAX(0,N26)*Допущения!$B$22</f>
        <v>265643</v>
      </c>
      <c r="P26" s="10" t="n">
        <f aca="false">MAX(0,D26*Допущения!$B$23+E26*Допущения!$B$24+F26*Допущения!$B$25-G26*Допущения!$B$27)+Допущения!$B$26</f>
        <v>42.5</v>
      </c>
      <c r="Q26" s="9" t="n">
        <f aca="false">P26/4.33</f>
        <v>9.81524249422633</v>
      </c>
      <c r="R26" s="8" t="n">
        <f aca="false">SUM(H14:H25)</f>
        <v>8250000</v>
      </c>
    </row>
    <row r="27" customFormat="false" ht="15" hidden="false" customHeight="false" outlineLevel="0" collapsed="false">
      <c r="A27" s="0" t="n">
        <v>26</v>
      </c>
      <c r="B27" s="0" t="n">
        <f aca="false">INT((A27-1)/12)+1</f>
        <v>3</v>
      </c>
      <c r="C27" s="0" t="n">
        <f aca="false">IF(A27&lt;=3,1,IF(A27&lt;=6,2,IF(A27&lt;=12,3,IF(A27&lt;=24,4,5))))</f>
        <v>5</v>
      </c>
      <c r="D27" s="0" t="n">
        <f aca="false">INDEX(Объёмы!$B$3:$F$3,C27)</f>
        <v>2</v>
      </c>
      <c r="E27" s="0" t="n">
        <f aca="false">INDEX(Объёмы!$B$4:$F$4,C27)</f>
        <v>0.75</v>
      </c>
      <c r="F27" s="0" t="n">
        <f aca="false">INDEX(Объёмы!$B$5:$F$5,C27)</f>
        <v>3</v>
      </c>
      <c r="G27" s="0" t="n">
        <f aca="false">INDEX(Объёмы!$B$6:$F$6,C27)</f>
        <v>1</v>
      </c>
      <c r="H27" s="8" t="n">
        <f aca="false">(D27*Допущения!$B$2+E27*Допущения!$B$3+F27*Допущения!$B$4)*IF(B27=1,1,IF(B27=2,Допущения!$B$8,Допущения!$B$9))</f>
        <v>1098000</v>
      </c>
      <c r="I27" s="8" t="n">
        <f aca="false">(D27*Допущения!$B$2*Допущения!$B$5+E27*Допущения!$B$3*Допущения!$B$6+F27*Допущения!$B$4*Допущения!$B$7)*IF(B27=1,1,IF(B27=2,Допущения!$B$8,Допущения!$B$9))</f>
        <v>377100</v>
      </c>
      <c r="J27" s="8" t="n">
        <f aca="false">H27-I27</f>
        <v>720900</v>
      </c>
      <c r="K27" s="8" t="n">
        <f aca="false">INDEX(Допущения!$B$10:$B$14, C27)+G27*Допущения!$B$15</f>
        <v>260000</v>
      </c>
      <c r="L27" s="8" t="n">
        <f aca="false">IF(R27&gt;Допущения!$B$20,H27*Допущения!$B$21,0)</f>
        <v>0</v>
      </c>
      <c r="M27" s="8" t="n">
        <f aca="false">(H27-L27)*Допущения!$B$16+MAX(0,H27-L27-Допущения!$B$18)*Допущения!$B$17+Допущения!$B$19</f>
        <v>81410</v>
      </c>
      <c r="N27" s="8" t="n">
        <f aca="false">J27-K27-L27-M27</f>
        <v>379490</v>
      </c>
      <c r="O27" s="8" t="n">
        <f aca="false">MAX(0,N27)*Допущения!$B$22</f>
        <v>265643</v>
      </c>
      <c r="P27" s="10" t="n">
        <f aca="false">MAX(0,D27*Допущения!$B$23+E27*Допущения!$B$24+F27*Допущения!$B$25-G27*Допущения!$B$27)+Допущения!$B$26</f>
        <v>42.5</v>
      </c>
      <c r="Q27" s="9" t="n">
        <f aca="false">P27/4.33</f>
        <v>9.81524249422633</v>
      </c>
      <c r="R27" s="8" t="n">
        <f aca="false">SUM(H14:H25)</f>
        <v>8250000</v>
      </c>
    </row>
    <row r="28" customFormat="false" ht="15" hidden="false" customHeight="false" outlineLevel="0" collapsed="false">
      <c r="A28" s="0" t="n">
        <v>27</v>
      </c>
      <c r="B28" s="0" t="n">
        <f aca="false">INT((A28-1)/12)+1</f>
        <v>3</v>
      </c>
      <c r="C28" s="0" t="n">
        <f aca="false">IF(A28&lt;=3,1,IF(A28&lt;=6,2,IF(A28&lt;=12,3,IF(A28&lt;=24,4,5))))</f>
        <v>5</v>
      </c>
      <c r="D28" s="0" t="n">
        <f aca="false">INDEX(Объёмы!$B$3:$F$3,C28)</f>
        <v>2</v>
      </c>
      <c r="E28" s="0" t="n">
        <f aca="false">INDEX(Объёмы!$B$4:$F$4,C28)</f>
        <v>0.75</v>
      </c>
      <c r="F28" s="0" t="n">
        <f aca="false">INDEX(Объёмы!$B$5:$F$5,C28)</f>
        <v>3</v>
      </c>
      <c r="G28" s="0" t="n">
        <f aca="false">INDEX(Объёмы!$B$6:$F$6,C28)</f>
        <v>1</v>
      </c>
      <c r="H28" s="8" t="n">
        <f aca="false">(D28*Допущения!$B$2+E28*Допущения!$B$3+F28*Допущения!$B$4)*IF(B28=1,1,IF(B28=2,Допущения!$B$8,Допущения!$B$9))</f>
        <v>1098000</v>
      </c>
      <c r="I28" s="8" t="n">
        <f aca="false">(D28*Допущения!$B$2*Допущения!$B$5+E28*Допущения!$B$3*Допущения!$B$6+F28*Допущения!$B$4*Допущения!$B$7)*IF(B28=1,1,IF(B28=2,Допущения!$B$8,Допущения!$B$9))</f>
        <v>377100</v>
      </c>
      <c r="J28" s="8" t="n">
        <f aca="false">H28-I28</f>
        <v>720900</v>
      </c>
      <c r="K28" s="8" t="n">
        <f aca="false">INDEX(Допущения!$B$10:$B$14, C28)+G28*Допущения!$B$15</f>
        <v>260000</v>
      </c>
      <c r="L28" s="8" t="n">
        <f aca="false">IF(R28&gt;Допущения!$B$20,H28*Допущения!$B$21,0)</f>
        <v>0</v>
      </c>
      <c r="M28" s="8" t="n">
        <f aca="false">(H28-L28)*Допущения!$B$16+MAX(0,H28-L28-Допущения!$B$18)*Допущения!$B$17+Допущения!$B$19</f>
        <v>81410</v>
      </c>
      <c r="N28" s="8" t="n">
        <f aca="false">J28-K28-L28-M28</f>
        <v>379490</v>
      </c>
      <c r="O28" s="8" t="n">
        <f aca="false">MAX(0,N28)*Допущения!$B$22</f>
        <v>265643</v>
      </c>
      <c r="P28" s="10" t="n">
        <f aca="false">MAX(0,D28*Допущения!$B$23+E28*Допущения!$B$24+F28*Допущения!$B$25-G28*Допущения!$B$27)+Допущения!$B$26</f>
        <v>42.5</v>
      </c>
      <c r="Q28" s="9" t="n">
        <f aca="false">P28/4.33</f>
        <v>9.81524249422633</v>
      </c>
      <c r="R28" s="8" t="n">
        <f aca="false">SUM(H14:H25)</f>
        <v>8250000</v>
      </c>
    </row>
    <row r="29" customFormat="false" ht="15" hidden="false" customHeight="false" outlineLevel="0" collapsed="false">
      <c r="A29" s="0" t="n">
        <v>28</v>
      </c>
      <c r="B29" s="0" t="n">
        <f aca="false">INT((A29-1)/12)+1</f>
        <v>3</v>
      </c>
      <c r="C29" s="0" t="n">
        <f aca="false">IF(A29&lt;=3,1,IF(A29&lt;=6,2,IF(A29&lt;=12,3,IF(A29&lt;=24,4,5))))</f>
        <v>5</v>
      </c>
      <c r="D29" s="0" t="n">
        <f aca="false">INDEX(Объёмы!$B$3:$F$3,C29)</f>
        <v>2</v>
      </c>
      <c r="E29" s="0" t="n">
        <f aca="false">INDEX(Объёмы!$B$4:$F$4,C29)</f>
        <v>0.75</v>
      </c>
      <c r="F29" s="0" t="n">
        <f aca="false">INDEX(Объёмы!$B$5:$F$5,C29)</f>
        <v>3</v>
      </c>
      <c r="G29" s="0" t="n">
        <f aca="false">INDEX(Объёмы!$B$6:$F$6,C29)</f>
        <v>1</v>
      </c>
      <c r="H29" s="8" t="n">
        <f aca="false">(D29*Допущения!$B$2+E29*Допущения!$B$3+F29*Допущения!$B$4)*IF(B29=1,1,IF(B29=2,Допущения!$B$8,Допущения!$B$9))</f>
        <v>1098000</v>
      </c>
      <c r="I29" s="8" t="n">
        <f aca="false">(D29*Допущения!$B$2*Допущения!$B$5+E29*Допущения!$B$3*Допущения!$B$6+F29*Допущения!$B$4*Допущения!$B$7)*IF(B29=1,1,IF(B29=2,Допущения!$B$8,Допущения!$B$9))</f>
        <v>377100</v>
      </c>
      <c r="J29" s="8" t="n">
        <f aca="false">H29-I29</f>
        <v>720900</v>
      </c>
      <c r="K29" s="8" t="n">
        <f aca="false">INDEX(Допущения!$B$10:$B$14, C29)+G29*Допущения!$B$15</f>
        <v>260000</v>
      </c>
      <c r="L29" s="8" t="n">
        <f aca="false">IF(R29&gt;Допущения!$B$20,H29*Допущения!$B$21,0)</f>
        <v>0</v>
      </c>
      <c r="M29" s="8" t="n">
        <f aca="false">(H29-L29)*Допущения!$B$16+MAX(0,H29-L29-Допущения!$B$18)*Допущения!$B$17+Допущения!$B$19</f>
        <v>81410</v>
      </c>
      <c r="N29" s="8" t="n">
        <f aca="false">J29-K29-L29-M29</f>
        <v>379490</v>
      </c>
      <c r="O29" s="8" t="n">
        <f aca="false">MAX(0,N29)*Допущения!$B$22</f>
        <v>265643</v>
      </c>
      <c r="P29" s="10" t="n">
        <f aca="false">MAX(0,D29*Допущения!$B$23+E29*Допущения!$B$24+F29*Допущения!$B$25-G29*Допущения!$B$27)+Допущения!$B$26</f>
        <v>42.5</v>
      </c>
      <c r="Q29" s="9" t="n">
        <f aca="false">P29/4.33</f>
        <v>9.81524249422633</v>
      </c>
      <c r="R29" s="8" t="n">
        <f aca="false">SUM(H14:H25)</f>
        <v>8250000</v>
      </c>
    </row>
    <row r="30" customFormat="false" ht="15" hidden="false" customHeight="false" outlineLevel="0" collapsed="false">
      <c r="A30" s="0" t="n">
        <v>29</v>
      </c>
      <c r="B30" s="0" t="n">
        <f aca="false">INT((A30-1)/12)+1</f>
        <v>3</v>
      </c>
      <c r="C30" s="0" t="n">
        <f aca="false">IF(A30&lt;=3,1,IF(A30&lt;=6,2,IF(A30&lt;=12,3,IF(A30&lt;=24,4,5))))</f>
        <v>5</v>
      </c>
      <c r="D30" s="0" t="n">
        <f aca="false">INDEX(Объёмы!$B$3:$F$3,C30)</f>
        <v>2</v>
      </c>
      <c r="E30" s="0" t="n">
        <f aca="false">INDEX(Объёмы!$B$4:$F$4,C30)</f>
        <v>0.75</v>
      </c>
      <c r="F30" s="0" t="n">
        <f aca="false">INDEX(Объёмы!$B$5:$F$5,C30)</f>
        <v>3</v>
      </c>
      <c r="G30" s="0" t="n">
        <f aca="false">INDEX(Объёмы!$B$6:$F$6,C30)</f>
        <v>1</v>
      </c>
      <c r="H30" s="8" t="n">
        <f aca="false">(D30*Допущения!$B$2+E30*Допущения!$B$3+F30*Допущения!$B$4)*IF(B30=1,1,IF(B30=2,Допущения!$B$8,Допущения!$B$9))</f>
        <v>1098000</v>
      </c>
      <c r="I30" s="8" t="n">
        <f aca="false">(D30*Допущения!$B$2*Допущения!$B$5+E30*Допущения!$B$3*Допущения!$B$6+F30*Допущения!$B$4*Допущения!$B$7)*IF(B30=1,1,IF(B30=2,Допущения!$B$8,Допущения!$B$9))</f>
        <v>377100</v>
      </c>
      <c r="J30" s="8" t="n">
        <f aca="false">H30-I30</f>
        <v>720900</v>
      </c>
      <c r="K30" s="8" t="n">
        <f aca="false">INDEX(Допущения!$B$10:$B$14, C30)+G30*Допущения!$B$15</f>
        <v>260000</v>
      </c>
      <c r="L30" s="8" t="n">
        <f aca="false">IF(R30&gt;Допущения!$B$20,H30*Допущения!$B$21,0)</f>
        <v>0</v>
      </c>
      <c r="M30" s="8" t="n">
        <f aca="false">(H30-L30)*Допущения!$B$16+MAX(0,H30-L30-Допущения!$B$18)*Допущения!$B$17+Допущения!$B$19</f>
        <v>81410</v>
      </c>
      <c r="N30" s="8" t="n">
        <f aca="false">J30-K30-L30-M30</f>
        <v>379490</v>
      </c>
      <c r="O30" s="8" t="n">
        <f aca="false">MAX(0,N30)*Допущения!$B$22</f>
        <v>265643</v>
      </c>
      <c r="P30" s="10" t="n">
        <f aca="false">MAX(0,D30*Допущения!$B$23+E30*Допущения!$B$24+F30*Допущения!$B$25-G30*Допущения!$B$27)+Допущения!$B$26</f>
        <v>42.5</v>
      </c>
      <c r="Q30" s="9" t="n">
        <f aca="false">P30/4.33</f>
        <v>9.81524249422633</v>
      </c>
      <c r="R30" s="8" t="n">
        <f aca="false">SUM(H14:H25)</f>
        <v>8250000</v>
      </c>
    </row>
    <row r="31" customFormat="false" ht="15" hidden="false" customHeight="false" outlineLevel="0" collapsed="false">
      <c r="A31" s="0" t="n">
        <v>30</v>
      </c>
      <c r="B31" s="0" t="n">
        <f aca="false">INT((A31-1)/12)+1</f>
        <v>3</v>
      </c>
      <c r="C31" s="0" t="n">
        <f aca="false">IF(A31&lt;=3,1,IF(A31&lt;=6,2,IF(A31&lt;=12,3,IF(A31&lt;=24,4,5))))</f>
        <v>5</v>
      </c>
      <c r="D31" s="0" t="n">
        <f aca="false">INDEX(Объёмы!$B$3:$F$3,C31)</f>
        <v>2</v>
      </c>
      <c r="E31" s="0" t="n">
        <f aca="false">INDEX(Объёмы!$B$4:$F$4,C31)</f>
        <v>0.75</v>
      </c>
      <c r="F31" s="0" t="n">
        <f aca="false">INDEX(Объёмы!$B$5:$F$5,C31)</f>
        <v>3</v>
      </c>
      <c r="G31" s="0" t="n">
        <f aca="false">INDEX(Объёмы!$B$6:$F$6,C31)</f>
        <v>1</v>
      </c>
      <c r="H31" s="8" t="n">
        <f aca="false">(D31*Допущения!$B$2+E31*Допущения!$B$3+F31*Допущения!$B$4)*IF(B31=1,1,IF(B31=2,Допущения!$B$8,Допущения!$B$9))</f>
        <v>1098000</v>
      </c>
      <c r="I31" s="8" t="n">
        <f aca="false">(D31*Допущения!$B$2*Допущения!$B$5+E31*Допущения!$B$3*Допущения!$B$6+F31*Допущения!$B$4*Допущения!$B$7)*IF(B31=1,1,IF(B31=2,Допущения!$B$8,Допущения!$B$9))</f>
        <v>377100</v>
      </c>
      <c r="J31" s="8" t="n">
        <f aca="false">H31-I31</f>
        <v>720900</v>
      </c>
      <c r="K31" s="8" t="n">
        <f aca="false">INDEX(Допущения!$B$10:$B$14, C31)+G31*Допущения!$B$15</f>
        <v>260000</v>
      </c>
      <c r="L31" s="8" t="n">
        <f aca="false">IF(R31&gt;Допущения!$B$20,H31*Допущения!$B$21,0)</f>
        <v>0</v>
      </c>
      <c r="M31" s="8" t="n">
        <f aca="false">(H31-L31)*Допущения!$B$16+MAX(0,H31-L31-Допущения!$B$18)*Допущения!$B$17+Допущения!$B$19</f>
        <v>81410</v>
      </c>
      <c r="N31" s="8" t="n">
        <f aca="false">J31-K31-L31-M31</f>
        <v>379490</v>
      </c>
      <c r="O31" s="8" t="n">
        <f aca="false">MAX(0,N31)*Допущения!$B$22</f>
        <v>265643</v>
      </c>
      <c r="P31" s="10" t="n">
        <f aca="false">MAX(0,D31*Допущения!$B$23+E31*Допущения!$B$24+F31*Допущения!$B$25-G31*Допущения!$B$27)+Допущения!$B$26</f>
        <v>42.5</v>
      </c>
      <c r="Q31" s="9" t="n">
        <f aca="false">P31/4.33</f>
        <v>9.81524249422633</v>
      </c>
      <c r="R31" s="8" t="n">
        <f aca="false">SUM(H14:H25)</f>
        <v>8250000</v>
      </c>
    </row>
    <row r="32" customFormat="false" ht="15" hidden="false" customHeight="false" outlineLevel="0" collapsed="false">
      <c r="A32" s="0" t="n">
        <v>31</v>
      </c>
      <c r="B32" s="0" t="n">
        <f aca="false">INT((A32-1)/12)+1</f>
        <v>3</v>
      </c>
      <c r="C32" s="0" t="n">
        <f aca="false">IF(A32&lt;=3,1,IF(A32&lt;=6,2,IF(A32&lt;=12,3,IF(A32&lt;=24,4,5))))</f>
        <v>5</v>
      </c>
      <c r="D32" s="0" t="n">
        <f aca="false">INDEX(Объёмы!$B$3:$F$3,C32)</f>
        <v>2</v>
      </c>
      <c r="E32" s="0" t="n">
        <f aca="false">INDEX(Объёмы!$B$4:$F$4,C32)</f>
        <v>0.75</v>
      </c>
      <c r="F32" s="0" t="n">
        <f aca="false">INDEX(Объёмы!$B$5:$F$5,C32)</f>
        <v>3</v>
      </c>
      <c r="G32" s="0" t="n">
        <f aca="false">INDEX(Объёмы!$B$6:$F$6,C32)</f>
        <v>1</v>
      </c>
      <c r="H32" s="8" t="n">
        <f aca="false">(D32*Допущения!$B$2+E32*Допущения!$B$3+F32*Допущения!$B$4)*IF(B32=1,1,IF(B32=2,Допущения!$B$8,Допущения!$B$9))</f>
        <v>1098000</v>
      </c>
      <c r="I32" s="8" t="n">
        <f aca="false">(D32*Допущения!$B$2*Допущения!$B$5+E32*Допущения!$B$3*Допущения!$B$6+F32*Допущения!$B$4*Допущения!$B$7)*IF(B32=1,1,IF(B32=2,Допущения!$B$8,Допущения!$B$9))</f>
        <v>377100</v>
      </c>
      <c r="J32" s="8" t="n">
        <f aca="false">H32-I32</f>
        <v>720900</v>
      </c>
      <c r="K32" s="8" t="n">
        <f aca="false">INDEX(Допущения!$B$10:$B$14, C32)+G32*Допущения!$B$15</f>
        <v>260000</v>
      </c>
      <c r="L32" s="8" t="n">
        <f aca="false">IF(R32&gt;Допущения!$B$20,H32*Допущения!$B$21,0)</f>
        <v>0</v>
      </c>
      <c r="M32" s="8" t="n">
        <f aca="false">(H32-L32)*Допущения!$B$16+MAX(0,H32-L32-Допущения!$B$18)*Допущения!$B$17+Допущения!$B$19</f>
        <v>81410</v>
      </c>
      <c r="N32" s="8" t="n">
        <f aca="false">J32-K32-L32-M32</f>
        <v>379490</v>
      </c>
      <c r="O32" s="8" t="n">
        <f aca="false">MAX(0,N32)*Допущения!$B$22</f>
        <v>265643</v>
      </c>
      <c r="P32" s="10" t="n">
        <f aca="false">MAX(0,D32*Допущения!$B$23+E32*Допущения!$B$24+F32*Допущения!$B$25-G32*Допущения!$B$27)+Допущения!$B$26</f>
        <v>42.5</v>
      </c>
      <c r="Q32" s="9" t="n">
        <f aca="false">P32/4.33</f>
        <v>9.81524249422633</v>
      </c>
      <c r="R32" s="8" t="n">
        <f aca="false">SUM(H14:H25)</f>
        <v>8250000</v>
      </c>
    </row>
    <row r="33" customFormat="false" ht="15" hidden="false" customHeight="false" outlineLevel="0" collapsed="false">
      <c r="A33" s="0" t="n">
        <v>32</v>
      </c>
      <c r="B33" s="0" t="n">
        <f aca="false">INT((A33-1)/12)+1</f>
        <v>3</v>
      </c>
      <c r="C33" s="0" t="n">
        <f aca="false">IF(A33&lt;=3,1,IF(A33&lt;=6,2,IF(A33&lt;=12,3,IF(A33&lt;=24,4,5))))</f>
        <v>5</v>
      </c>
      <c r="D33" s="0" t="n">
        <f aca="false">INDEX(Объёмы!$B$3:$F$3,C33)</f>
        <v>2</v>
      </c>
      <c r="E33" s="0" t="n">
        <f aca="false">INDEX(Объёмы!$B$4:$F$4,C33)</f>
        <v>0.75</v>
      </c>
      <c r="F33" s="0" t="n">
        <f aca="false">INDEX(Объёмы!$B$5:$F$5,C33)</f>
        <v>3</v>
      </c>
      <c r="G33" s="0" t="n">
        <f aca="false">INDEX(Объёмы!$B$6:$F$6,C33)</f>
        <v>1</v>
      </c>
      <c r="H33" s="8" t="n">
        <f aca="false">(D33*Допущения!$B$2+E33*Допущения!$B$3+F33*Допущения!$B$4)*IF(B33=1,1,IF(B33=2,Допущения!$B$8,Допущения!$B$9))</f>
        <v>1098000</v>
      </c>
      <c r="I33" s="8" t="n">
        <f aca="false">(D33*Допущения!$B$2*Допущения!$B$5+E33*Допущения!$B$3*Допущения!$B$6+F33*Допущения!$B$4*Допущения!$B$7)*IF(B33=1,1,IF(B33=2,Допущения!$B$8,Допущения!$B$9))</f>
        <v>377100</v>
      </c>
      <c r="J33" s="8" t="n">
        <f aca="false">H33-I33</f>
        <v>720900</v>
      </c>
      <c r="K33" s="8" t="n">
        <f aca="false">INDEX(Допущения!$B$10:$B$14, C33)+G33*Допущения!$B$15</f>
        <v>260000</v>
      </c>
      <c r="L33" s="8" t="n">
        <f aca="false">IF(R33&gt;Допущения!$B$20,H33*Допущения!$B$21,0)</f>
        <v>0</v>
      </c>
      <c r="M33" s="8" t="n">
        <f aca="false">(H33-L33)*Допущения!$B$16+MAX(0,H33-L33-Допущения!$B$18)*Допущения!$B$17+Допущения!$B$19</f>
        <v>81410</v>
      </c>
      <c r="N33" s="8" t="n">
        <f aca="false">J33-K33-L33-M33</f>
        <v>379490</v>
      </c>
      <c r="O33" s="8" t="n">
        <f aca="false">MAX(0,N33)*Допущения!$B$22</f>
        <v>265643</v>
      </c>
      <c r="P33" s="10" t="n">
        <f aca="false">MAX(0,D33*Допущения!$B$23+E33*Допущения!$B$24+F33*Допущения!$B$25-G33*Допущения!$B$27)+Допущения!$B$26</f>
        <v>42.5</v>
      </c>
      <c r="Q33" s="9" t="n">
        <f aca="false">P33/4.33</f>
        <v>9.81524249422633</v>
      </c>
      <c r="R33" s="8" t="n">
        <f aca="false">SUM(H14:H25)</f>
        <v>8250000</v>
      </c>
    </row>
    <row r="34" customFormat="false" ht="15" hidden="false" customHeight="false" outlineLevel="0" collapsed="false">
      <c r="A34" s="0" t="n">
        <v>33</v>
      </c>
      <c r="B34" s="0" t="n">
        <f aca="false">INT((A34-1)/12)+1</f>
        <v>3</v>
      </c>
      <c r="C34" s="0" t="n">
        <f aca="false">IF(A34&lt;=3,1,IF(A34&lt;=6,2,IF(A34&lt;=12,3,IF(A34&lt;=24,4,5))))</f>
        <v>5</v>
      </c>
      <c r="D34" s="0" t="n">
        <f aca="false">INDEX(Объёмы!$B$3:$F$3,C34)</f>
        <v>2</v>
      </c>
      <c r="E34" s="0" t="n">
        <f aca="false">INDEX(Объёмы!$B$4:$F$4,C34)</f>
        <v>0.75</v>
      </c>
      <c r="F34" s="0" t="n">
        <f aca="false">INDEX(Объёмы!$B$5:$F$5,C34)</f>
        <v>3</v>
      </c>
      <c r="G34" s="0" t="n">
        <f aca="false">INDEX(Объёмы!$B$6:$F$6,C34)</f>
        <v>1</v>
      </c>
      <c r="H34" s="8" t="n">
        <f aca="false">(D34*Допущения!$B$2+E34*Допущения!$B$3+F34*Допущения!$B$4)*IF(B34=1,1,IF(B34=2,Допущения!$B$8,Допущения!$B$9))</f>
        <v>1098000</v>
      </c>
      <c r="I34" s="8" t="n">
        <f aca="false">(D34*Допущения!$B$2*Допущения!$B$5+E34*Допущения!$B$3*Допущения!$B$6+F34*Допущения!$B$4*Допущения!$B$7)*IF(B34=1,1,IF(B34=2,Допущения!$B$8,Допущения!$B$9))</f>
        <v>377100</v>
      </c>
      <c r="J34" s="8" t="n">
        <f aca="false">H34-I34</f>
        <v>720900</v>
      </c>
      <c r="K34" s="8" t="n">
        <f aca="false">INDEX(Допущения!$B$10:$B$14, C34)+G34*Допущения!$B$15</f>
        <v>260000</v>
      </c>
      <c r="L34" s="8" t="n">
        <f aca="false">IF(R34&gt;Допущения!$B$20,H34*Допущения!$B$21,0)</f>
        <v>0</v>
      </c>
      <c r="M34" s="8" t="n">
        <f aca="false">(H34-L34)*Допущения!$B$16+MAX(0,H34-L34-Допущения!$B$18)*Допущения!$B$17+Допущения!$B$19</f>
        <v>81410</v>
      </c>
      <c r="N34" s="8" t="n">
        <f aca="false">J34-K34-L34-M34</f>
        <v>379490</v>
      </c>
      <c r="O34" s="8" t="n">
        <f aca="false">MAX(0,N34)*Допущения!$B$22</f>
        <v>265643</v>
      </c>
      <c r="P34" s="10" t="n">
        <f aca="false">MAX(0,D34*Допущения!$B$23+E34*Допущения!$B$24+F34*Допущения!$B$25-G34*Допущения!$B$27)+Допущения!$B$26</f>
        <v>42.5</v>
      </c>
      <c r="Q34" s="9" t="n">
        <f aca="false">P34/4.33</f>
        <v>9.81524249422633</v>
      </c>
      <c r="R34" s="8" t="n">
        <f aca="false">SUM(H14:H25)</f>
        <v>8250000</v>
      </c>
    </row>
    <row r="35" customFormat="false" ht="15" hidden="false" customHeight="false" outlineLevel="0" collapsed="false">
      <c r="A35" s="0" t="n">
        <v>34</v>
      </c>
      <c r="B35" s="0" t="n">
        <f aca="false">INT((A35-1)/12)+1</f>
        <v>3</v>
      </c>
      <c r="C35" s="0" t="n">
        <f aca="false">IF(A35&lt;=3,1,IF(A35&lt;=6,2,IF(A35&lt;=12,3,IF(A35&lt;=24,4,5))))</f>
        <v>5</v>
      </c>
      <c r="D35" s="0" t="n">
        <f aca="false">INDEX(Объёмы!$B$3:$F$3,C35)</f>
        <v>2</v>
      </c>
      <c r="E35" s="0" t="n">
        <f aca="false">INDEX(Объёмы!$B$4:$F$4,C35)</f>
        <v>0.75</v>
      </c>
      <c r="F35" s="0" t="n">
        <f aca="false">INDEX(Объёмы!$B$5:$F$5,C35)</f>
        <v>3</v>
      </c>
      <c r="G35" s="0" t="n">
        <f aca="false">INDEX(Объёмы!$B$6:$F$6,C35)</f>
        <v>1</v>
      </c>
      <c r="H35" s="8" t="n">
        <f aca="false">(D35*Допущения!$B$2+E35*Допущения!$B$3+F35*Допущения!$B$4)*IF(B35=1,1,IF(B35=2,Допущения!$B$8,Допущения!$B$9))</f>
        <v>1098000</v>
      </c>
      <c r="I35" s="8" t="n">
        <f aca="false">(D35*Допущения!$B$2*Допущения!$B$5+E35*Допущения!$B$3*Допущения!$B$6+F35*Допущения!$B$4*Допущения!$B$7)*IF(B35=1,1,IF(B35=2,Допущения!$B$8,Допущения!$B$9))</f>
        <v>377100</v>
      </c>
      <c r="J35" s="8" t="n">
        <f aca="false">H35-I35</f>
        <v>720900</v>
      </c>
      <c r="K35" s="8" t="n">
        <f aca="false">INDEX(Допущения!$B$10:$B$14, C35)+G35*Допущения!$B$15</f>
        <v>260000</v>
      </c>
      <c r="L35" s="8" t="n">
        <f aca="false">IF(R35&gt;Допущения!$B$20,H35*Допущения!$B$21,0)</f>
        <v>0</v>
      </c>
      <c r="M35" s="8" t="n">
        <f aca="false">(H35-L35)*Допущения!$B$16+MAX(0,H35-L35-Допущения!$B$18)*Допущения!$B$17+Допущения!$B$19</f>
        <v>81410</v>
      </c>
      <c r="N35" s="8" t="n">
        <f aca="false">J35-K35-L35-M35</f>
        <v>379490</v>
      </c>
      <c r="O35" s="8" t="n">
        <f aca="false">MAX(0,N35)*Допущения!$B$22</f>
        <v>265643</v>
      </c>
      <c r="P35" s="10" t="n">
        <f aca="false">MAX(0,D35*Допущения!$B$23+E35*Допущения!$B$24+F35*Допущения!$B$25-G35*Допущения!$B$27)+Допущения!$B$26</f>
        <v>42.5</v>
      </c>
      <c r="Q35" s="9" t="n">
        <f aca="false">P35/4.33</f>
        <v>9.81524249422633</v>
      </c>
      <c r="R35" s="8" t="n">
        <f aca="false">SUM(H14:H25)</f>
        <v>8250000</v>
      </c>
    </row>
    <row r="36" customFormat="false" ht="15" hidden="false" customHeight="false" outlineLevel="0" collapsed="false">
      <c r="A36" s="0" t="n">
        <v>35</v>
      </c>
      <c r="B36" s="0" t="n">
        <f aca="false">INT((A36-1)/12)+1</f>
        <v>3</v>
      </c>
      <c r="C36" s="0" t="n">
        <f aca="false">IF(A36&lt;=3,1,IF(A36&lt;=6,2,IF(A36&lt;=12,3,IF(A36&lt;=24,4,5))))</f>
        <v>5</v>
      </c>
      <c r="D36" s="0" t="n">
        <f aca="false">INDEX(Объёмы!$B$3:$F$3,C36)</f>
        <v>2</v>
      </c>
      <c r="E36" s="0" t="n">
        <f aca="false">INDEX(Объёмы!$B$4:$F$4,C36)</f>
        <v>0.75</v>
      </c>
      <c r="F36" s="0" t="n">
        <f aca="false">INDEX(Объёмы!$B$5:$F$5,C36)</f>
        <v>3</v>
      </c>
      <c r="G36" s="0" t="n">
        <f aca="false">INDEX(Объёмы!$B$6:$F$6,C36)</f>
        <v>1</v>
      </c>
      <c r="H36" s="8" t="n">
        <f aca="false">(D36*Допущения!$B$2+E36*Допущения!$B$3+F36*Допущения!$B$4)*IF(B36=1,1,IF(B36=2,Допущения!$B$8,Допущения!$B$9))</f>
        <v>1098000</v>
      </c>
      <c r="I36" s="8" t="n">
        <f aca="false">(D36*Допущения!$B$2*Допущения!$B$5+E36*Допущения!$B$3*Допущения!$B$6+F36*Допущения!$B$4*Допущения!$B$7)*IF(B36=1,1,IF(B36=2,Допущения!$B$8,Допущения!$B$9))</f>
        <v>377100</v>
      </c>
      <c r="J36" s="8" t="n">
        <f aca="false">H36-I36</f>
        <v>720900</v>
      </c>
      <c r="K36" s="8" t="n">
        <f aca="false">INDEX(Допущения!$B$10:$B$14, C36)+G36*Допущения!$B$15</f>
        <v>260000</v>
      </c>
      <c r="L36" s="8" t="n">
        <f aca="false">IF(R36&gt;Допущения!$B$20,H36*Допущения!$B$21,0)</f>
        <v>0</v>
      </c>
      <c r="M36" s="8" t="n">
        <f aca="false">(H36-L36)*Допущения!$B$16+MAX(0,H36-L36-Допущения!$B$18)*Допущения!$B$17+Допущения!$B$19</f>
        <v>81410</v>
      </c>
      <c r="N36" s="8" t="n">
        <f aca="false">J36-K36-L36-M36</f>
        <v>379490</v>
      </c>
      <c r="O36" s="8" t="n">
        <f aca="false">MAX(0,N36)*Допущения!$B$22</f>
        <v>265643</v>
      </c>
      <c r="P36" s="10" t="n">
        <f aca="false">MAX(0,D36*Допущения!$B$23+E36*Допущения!$B$24+F36*Допущения!$B$25-G36*Допущения!$B$27)+Допущения!$B$26</f>
        <v>42.5</v>
      </c>
      <c r="Q36" s="9" t="n">
        <f aca="false">P36/4.33</f>
        <v>9.81524249422633</v>
      </c>
      <c r="R36" s="8" t="n">
        <f aca="false">SUM(H14:H25)</f>
        <v>8250000</v>
      </c>
    </row>
    <row r="37" customFormat="false" ht="15" hidden="false" customHeight="false" outlineLevel="0" collapsed="false">
      <c r="A37" s="0" t="n">
        <v>36</v>
      </c>
      <c r="B37" s="0" t="n">
        <f aca="false">INT((A37-1)/12)+1</f>
        <v>3</v>
      </c>
      <c r="C37" s="0" t="n">
        <f aca="false">IF(A37&lt;=3,1,IF(A37&lt;=6,2,IF(A37&lt;=12,3,IF(A37&lt;=24,4,5))))</f>
        <v>5</v>
      </c>
      <c r="D37" s="0" t="n">
        <f aca="false">INDEX(Объёмы!$B$3:$F$3,C37)</f>
        <v>2</v>
      </c>
      <c r="E37" s="0" t="n">
        <f aca="false">INDEX(Объёмы!$B$4:$F$4,C37)</f>
        <v>0.75</v>
      </c>
      <c r="F37" s="0" t="n">
        <f aca="false">INDEX(Объёмы!$B$5:$F$5,C37)</f>
        <v>3</v>
      </c>
      <c r="G37" s="0" t="n">
        <f aca="false">INDEX(Объёмы!$B$6:$F$6,C37)</f>
        <v>1</v>
      </c>
      <c r="H37" s="8" t="n">
        <f aca="false">(D37*Допущения!$B$2+E37*Допущения!$B$3+F37*Допущения!$B$4)*IF(B37=1,1,IF(B37=2,Допущения!$B$8,Допущения!$B$9))</f>
        <v>1098000</v>
      </c>
      <c r="I37" s="8" t="n">
        <f aca="false">(D37*Допущения!$B$2*Допущения!$B$5+E37*Допущения!$B$3*Допущения!$B$6+F37*Допущения!$B$4*Допущения!$B$7)*IF(B37=1,1,IF(B37=2,Допущения!$B$8,Допущения!$B$9))</f>
        <v>377100</v>
      </c>
      <c r="J37" s="8" t="n">
        <f aca="false">H37-I37</f>
        <v>720900</v>
      </c>
      <c r="K37" s="8" t="n">
        <f aca="false">INDEX(Допущения!$B$10:$B$14, C37)+G37*Допущения!$B$15</f>
        <v>260000</v>
      </c>
      <c r="L37" s="8" t="n">
        <f aca="false">IF(R37&gt;Допущения!$B$20,H37*Допущения!$B$21,0)</f>
        <v>0</v>
      </c>
      <c r="M37" s="8" t="n">
        <f aca="false">(H37-L37)*Допущения!$B$16+MAX(0,H37-L37-Допущения!$B$18)*Допущения!$B$17+Допущения!$B$19</f>
        <v>81410</v>
      </c>
      <c r="N37" s="8" t="n">
        <f aca="false">J37-K37-L37-M37</f>
        <v>379490</v>
      </c>
      <c r="O37" s="8" t="n">
        <f aca="false">MAX(0,N37)*Допущения!$B$22</f>
        <v>265643</v>
      </c>
      <c r="P37" s="10" t="n">
        <f aca="false">MAX(0,D37*Допущения!$B$23+E37*Допущения!$B$24+F37*Допущения!$B$25-G37*Допущения!$B$27)+Допущения!$B$26</f>
        <v>42.5</v>
      </c>
      <c r="Q37" s="9" t="n">
        <f aca="false">P37/4.33</f>
        <v>9.81524249422633</v>
      </c>
      <c r="R37" s="8" t="n">
        <f aca="false">SUM(H14:H25)</f>
        <v>8250000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8" min="1" style="0" width="14"/>
  </cols>
  <sheetData>
    <row r="1" customFormat="false" ht="41.75" hidden="false" customHeight="false" outlineLevel="0" collapsed="false">
      <c r="A1" s="3" t="s">
        <v>80</v>
      </c>
      <c r="B1" s="3" t="s">
        <v>81</v>
      </c>
      <c r="C1" s="3" t="s">
        <v>82</v>
      </c>
      <c r="D1" s="3" t="s">
        <v>83</v>
      </c>
      <c r="E1" s="3" t="s">
        <v>84</v>
      </c>
      <c r="F1" s="3" t="s">
        <v>85</v>
      </c>
      <c r="G1" s="3" t="s">
        <v>86</v>
      </c>
      <c r="H1" s="3" t="s">
        <v>54</v>
      </c>
      <c r="I1" s="3" t="s">
        <v>55</v>
      </c>
      <c r="J1" s="3" t="s">
        <v>87</v>
      </c>
      <c r="K1" s="3" t="s">
        <v>88</v>
      </c>
      <c r="L1" s="3" t="s">
        <v>89</v>
      </c>
      <c r="M1" s="3" t="s">
        <v>90</v>
      </c>
      <c r="N1" s="3" t="s">
        <v>91</v>
      </c>
      <c r="O1" s="3" t="s">
        <v>92</v>
      </c>
      <c r="P1" s="3" t="s">
        <v>93</v>
      </c>
      <c r="Q1" s="3" t="s">
        <v>94</v>
      </c>
      <c r="R1" s="3" t="s">
        <v>95</v>
      </c>
    </row>
    <row r="2" customFormat="false" ht="15" hidden="false" customHeight="false" outlineLevel="0" collapsed="false">
      <c r="A2" s="0" t="n">
        <v>1</v>
      </c>
      <c r="B2" s="0" t="n">
        <f aca="false">INT((A2-1)/12)+1</f>
        <v>1</v>
      </c>
      <c r="C2" s="0" t="n">
        <f aca="false">IF(A2&lt;=3,1,IF(A2&lt;=6,2,IF(A2&lt;=12,3,IF(A2&lt;=24,4,5))))</f>
        <v>1</v>
      </c>
      <c r="D2" s="0" t="n">
        <f aca="false">INDEX(Объёмы!$B$8:$F$8,C2)</f>
        <v>0.67</v>
      </c>
      <c r="E2" s="0" t="n">
        <f aca="false">INDEX(Объёмы!$B$9:$F$9,C2)</f>
        <v>0</v>
      </c>
      <c r="F2" s="0" t="n">
        <f aca="false">INDEX(Объёмы!$B$10:$F$10,C2)</f>
        <v>0</v>
      </c>
      <c r="G2" s="0" t="n">
        <f aca="false">INDEX(Объёмы!$B$11:$F$11,C2)</f>
        <v>0</v>
      </c>
      <c r="H2" s="8" t="n">
        <f aca="false">(D2*Допущения!$B$2+E2*Допущения!$B$3+F2*Допущения!$B$4)*IF(B2=1,1,IF(B2=2,Допущения!$B$8,Допущения!$B$9))</f>
        <v>60300</v>
      </c>
      <c r="I2" s="8" t="n">
        <f aca="false">(D2*Допущения!$B$2*Допущения!$B$5+E2*Допущения!$B$3*Допущения!$B$6+F2*Допущения!$B$4*Допущения!$B$7)*IF(B2=1,1,IF(B2=2,Допущения!$B$8,Допущения!$B$9))</f>
        <v>12060</v>
      </c>
      <c r="J2" s="8" t="n">
        <f aca="false">H2-I2</f>
        <v>48240</v>
      </c>
      <c r="K2" s="8" t="n">
        <f aca="false">INDEX(Допущения!$B$10:$B$14, C2)+G2*Допущения!$B$15</f>
        <v>35000</v>
      </c>
      <c r="L2" s="8" t="n">
        <f aca="false">IF(R2&gt;Допущения!$B$20,H2*Допущения!$B$21,0)</f>
        <v>0</v>
      </c>
      <c r="M2" s="8" t="n">
        <f aca="false">(H2-L2)*Допущения!$B$16+MAX(0,H2-L2-Допущения!$B$18)*Допущения!$B$17+Допущения!$B$19</f>
        <v>8771</v>
      </c>
      <c r="N2" s="8" t="n">
        <f aca="false">J2-K2-L2-M2</f>
        <v>4469</v>
      </c>
      <c r="O2" s="8" t="n">
        <f aca="false">MAX(0,N2)*Допущения!$B$22</f>
        <v>3128.3</v>
      </c>
      <c r="P2" s="10" t="n">
        <f aca="false">MAX(0,D2*Допущения!$B$23+E2*Допущения!$B$24+F2*Допущения!$B$25-G2*Допущения!$B$27)+Допущения!$B$26</f>
        <v>22.7</v>
      </c>
      <c r="Q2" s="9" t="n">
        <f aca="false">P2/4.33</f>
        <v>5.24249422632795</v>
      </c>
      <c r="R2" s="8" t="n">
        <v>0</v>
      </c>
    </row>
    <row r="3" customFormat="false" ht="15" hidden="false" customHeight="false" outlineLevel="0" collapsed="false">
      <c r="A3" s="0" t="n">
        <v>2</v>
      </c>
      <c r="B3" s="0" t="n">
        <f aca="false">INT((A3-1)/12)+1</f>
        <v>1</v>
      </c>
      <c r="C3" s="0" t="n">
        <f aca="false">IF(A3&lt;=3,1,IF(A3&lt;=6,2,IF(A3&lt;=12,3,IF(A3&lt;=24,4,5))))</f>
        <v>1</v>
      </c>
      <c r="D3" s="0" t="n">
        <f aca="false">INDEX(Объёмы!$B$8:$F$8,C3)</f>
        <v>0.67</v>
      </c>
      <c r="E3" s="0" t="n">
        <f aca="false">INDEX(Объёмы!$B$9:$F$9,C3)</f>
        <v>0</v>
      </c>
      <c r="F3" s="0" t="n">
        <f aca="false">INDEX(Объёмы!$B$10:$F$10,C3)</f>
        <v>0</v>
      </c>
      <c r="G3" s="0" t="n">
        <f aca="false">INDEX(Объёмы!$B$11:$F$11,C3)</f>
        <v>0</v>
      </c>
      <c r="H3" s="8" t="n">
        <f aca="false">(D3*Допущения!$B$2+E3*Допущения!$B$3+F3*Допущения!$B$4)*IF(B3=1,1,IF(B3=2,Допущения!$B$8,Допущения!$B$9))</f>
        <v>60300</v>
      </c>
      <c r="I3" s="8" t="n">
        <f aca="false">(D3*Допущения!$B$2*Допущения!$B$5+E3*Допущения!$B$3*Допущения!$B$6+F3*Допущения!$B$4*Допущения!$B$7)*IF(B3=1,1,IF(B3=2,Допущения!$B$8,Допущения!$B$9))</f>
        <v>12060</v>
      </c>
      <c r="J3" s="8" t="n">
        <f aca="false">H3-I3</f>
        <v>48240</v>
      </c>
      <c r="K3" s="8" t="n">
        <f aca="false">INDEX(Допущения!$B$10:$B$14, C3)+G3*Допущения!$B$15</f>
        <v>35000</v>
      </c>
      <c r="L3" s="8" t="n">
        <f aca="false">IF(R3&gt;Допущения!$B$20,H3*Допущения!$B$21,0)</f>
        <v>0</v>
      </c>
      <c r="M3" s="8" t="n">
        <f aca="false">(H3-L3)*Допущения!$B$16+MAX(0,H3-L3-Допущения!$B$18)*Допущения!$B$17+Допущения!$B$19</f>
        <v>8771</v>
      </c>
      <c r="N3" s="8" t="n">
        <f aca="false">J3-K3-L3-M3</f>
        <v>4469</v>
      </c>
      <c r="O3" s="8" t="n">
        <f aca="false">MAX(0,N3)*Допущения!$B$22</f>
        <v>3128.3</v>
      </c>
      <c r="P3" s="10" t="n">
        <f aca="false">MAX(0,D3*Допущения!$B$23+E3*Допущения!$B$24+F3*Допущения!$B$25-G3*Допущения!$B$27)+Допущения!$B$26</f>
        <v>22.7</v>
      </c>
      <c r="Q3" s="9" t="n">
        <f aca="false">P3/4.33</f>
        <v>5.24249422632795</v>
      </c>
      <c r="R3" s="8" t="n">
        <v>0</v>
      </c>
    </row>
    <row r="4" customFormat="false" ht="15" hidden="false" customHeight="false" outlineLevel="0" collapsed="false">
      <c r="A4" s="0" t="n">
        <v>3</v>
      </c>
      <c r="B4" s="0" t="n">
        <f aca="false">INT((A4-1)/12)+1</f>
        <v>1</v>
      </c>
      <c r="C4" s="0" t="n">
        <f aca="false">IF(A4&lt;=3,1,IF(A4&lt;=6,2,IF(A4&lt;=12,3,IF(A4&lt;=24,4,5))))</f>
        <v>1</v>
      </c>
      <c r="D4" s="0" t="n">
        <f aca="false">INDEX(Объёмы!$B$8:$F$8,C4)</f>
        <v>0.67</v>
      </c>
      <c r="E4" s="0" t="n">
        <f aca="false">INDEX(Объёмы!$B$9:$F$9,C4)</f>
        <v>0</v>
      </c>
      <c r="F4" s="0" t="n">
        <f aca="false">INDEX(Объёмы!$B$10:$F$10,C4)</f>
        <v>0</v>
      </c>
      <c r="G4" s="0" t="n">
        <f aca="false">INDEX(Объёмы!$B$11:$F$11,C4)</f>
        <v>0</v>
      </c>
      <c r="H4" s="8" t="n">
        <f aca="false">(D4*Допущения!$B$2+E4*Допущения!$B$3+F4*Допущения!$B$4)*IF(B4=1,1,IF(B4=2,Допущения!$B$8,Допущения!$B$9))</f>
        <v>60300</v>
      </c>
      <c r="I4" s="8" t="n">
        <f aca="false">(D4*Допущения!$B$2*Допущения!$B$5+E4*Допущения!$B$3*Допущения!$B$6+F4*Допущения!$B$4*Допущения!$B$7)*IF(B4=1,1,IF(B4=2,Допущения!$B$8,Допущения!$B$9))</f>
        <v>12060</v>
      </c>
      <c r="J4" s="8" t="n">
        <f aca="false">H4-I4</f>
        <v>48240</v>
      </c>
      <c r="K4" s="8" t="n">
        <f aca="false">INDEX(Допущения!$B$10:$B$14, C4)+G4*Допущения!$B$15</f>
        <v>35000</v>
      </c>
      <c r="L4" s="8" t="n">
        <f aca="false">IF(R4&gt;Допущения!$B$20,H4*Допущения!$B$21,0)</f>
        <v>0</v>
      </c>
      <c r="M4" s="8" t="n">
        <f aca="false">(H4-L4)*Допущения!$B$16+MAX(0,H4-L4-Допущения!$B$18)*Допущения!$B$17+Допущения!$B$19</f>
        <v>8771</v>
      </c>
      <c r="N4" s="8" t="n">
        <f aca="false">J4-K4-L4-M4</f>
        <v>4469</v>
      </c>
      <c r="O4" s="8" t="n">
        <f aca="false">MAX(0,N4)*Допущения!$B$22</f>
        <v>3128.3</v>
      </c>
      <c r="P4" s="10" t="n">
        <f aca="false">MAX(0,D4*Допущения!$B$23+E4*Допущения!$B$24+F4*Допущения!$B$25-G4*Допущения!$B$27)+Допущения!$B$26</f>
        <v>22.7</v>
      </c>
      <c r="Q4" s="9" t="n">
        <f aca="false">P4/4.33</f>
        <v>5.24249422632795</v>
      </c>
      <c r="R4" s="8" t="n">
        <v>0</v>
      </c>
    </row>
    <row r="5" customFormat="false" ht="15" hidden="false" customHeight="false" outlineLevel="0" collapsed="false">
      <c r="A5" s="0" t="n">
        <v>4</v>
      </c>
      <c r="B5" s="0" t="n">
        <f aca="false">INT((A5-1)/12)+1</f>
        <v>1</v>
      </c>
      <c r="C5" s="0" t="n">
        <f aca="false">IF(A5&lt;=3,1,IF(A5&lt;=6,2,IF(A5&lt;=12,3,IF(A5&lt;=24,4,5))))</f>
        <v>2</v>
      </c>
      <c r="D5" s="0" t="n">
        <f aca="false">INDEX(Объёмы!$B$8:$F$8,C5)</f>
        <v>1</v>
      </c>
      <c r="E5" s="0" t="n">
        <f aca="false">INDEX(Объёмы!$B$9:$F$9,C5)</f>
        <v>0.5</v>
      </c>
      <c r="F5" s="0" t="n">
        <f aca="false">INDEX(Объёмы!$B$10:$F$10,C5)</f>
        <v>1</v>
      </c>
      <c r="G5" s="0" t="n">
        <f aca="false">INDEX(Объёмы!$B$11:$F$11,C5)</f>
        <v>0</v>
      </c>
      <c r="H5" s="8" t="n">
        <f aca="false">(D5*Допущения!$B$2+E5*Допущения!$B$3+F5*Допущения!$B$4)*IF(B5=1,1,IF(B5=2,Допущения!$B$8,Допущения!$B$9))</f>
        <v>440000</v>
      </c>
      <c r="I5" s="8" t="n">
        <f aca="false">(D5*Допущения!$B$2*Допущения!$B$5+E5*Допущения!$B$3*Допущения!$B$6+F5*Допущения!$B$4*Допущения!$B$7)*IF(B5=1,1,IF(B5=2,Допущения!$B$8,Допущения!$B$9))</f>
        <v>147500</v>
      </c>
      <c r="J5" s="8" t="n">
        <f aca="false">H5-I5</f>
        <v>292500</v>
      </c>
      <c r="K5" s="8" t="n">
        <f aca="false">INDEX(Допущения!$B$10:$B$14, C5)+G5*Допущения!$B$15</f>
        <v>35000</v>
      </c>
      <c r="L5" s="8" t="n">
        <f aca="false">IF(R5&gt;Допущения!$B$20,H5*Допущения!$B$21,0)</f>
        <v>0</v>
      </c>
      <c r="M5" s="8" t="n">
        <f aca="false">(H5-L5)*Допущения!$B$16+MAX(0,H5-L5-Допущения!$B$18)*Допущения!$B$17+Допущения!$B$19</f>
        <v>35350</v>
      </c>
      <c r="N5" s="8" t="n">
        <f aca="false">J5-K5-L5-M5</f>
        <v>222150</v>
      </c>
      <c r="O5" s="8" t="n">
        <f aca="false">MAX(0,N5)*Допущения!$B$22</f>
        <v>155505</v>
      </c>
      <c r="P5" s="10" t="n">
        <f aca="false">MAX(0,D5*Допущения!$B$23+E5*Допущения!$B$24+F5*Допущения!$B$25-G5*Допущения!$B$27)+Допущения!$B$26</f>
        <v>49</v>
      </c>
      <c r="Q5" s="9" t="n">
        <f aca="false">P5/4.33</f>
        <v>11.3163972286374</v>
      </c>
      <c r="R5" s="8" t="n">
        <v>0</v>
      </c>
    </row>
    <row r="6" customFormat="false" ht="15" hidden="false" customHeight="false" outlineLevel="0" collapsed="false">
      <c r="A6" s="0" t="n">
        <v>5</v>
      </c>
      <c r="B6" s="0" t="n">
        <f aca="false">INT((A6-1)/12)+1</f>
        <v>1</v>
      </c>
      <c r="C6" s="0" t="n">
        <f aca="false">IF(A6&lt;=3,1,IF(A6&lt;=6,2,IF(A6&lt;=12,3,IF(A6&lt;=24,4,5))))</f>
        <v>2</v>
      </c>
      <c r="D6" s="0" t="n">
        <f aca="false">INDEX(Объёмы!$B$8:$F$8,C6)</f>
        <v>1</v>
      </c>
      <c r="E6" s="0" t="n">
        <f aca="false">INDEX(Объёмы!$B$9:$F$9,C6)</f>
        <v>0.5</v>
      </c>
      <c r="F6" s="0" t="n">
        <f aca="false">INDEX(Объёмы!$B$10:$F$10,C6)</f>
        <v>1</v>
      </c>
      <c r="G6" s="0" t="n">
        <f aca="false">INDEX(Объёмы!$B$11:$F$11,C6)</f>
        <v>0</v>
      </c>
      <c r="H6" s="8" t="n">
        <f aca="false">(D6*Допущения!$B$2+E6*Допущения!$B$3+F6*Допущения!$B$4)*IF(B6=1,1,IF(B6=2,Допущения!$B$8,Допущения!$B$9))</f>
        <v>440000</v>
      </c>
      <c r="I6" s="8" t="n">
        <f aca="false">(D6*Допущения!$B$2*Допущения!$B$5+E6*Допущения!$B$3*Допущения!$B$6+F6*Допущения!$B$4*Допущения!$B$7)*IF(B6=1,1,IF(B6=2,Допущения!$B$8,Допущения!$B$9))</f>
        <v>147500</v>
      </c>
      <c r="J6" s="8" t="n">
        <f aca="false">H6-I6</f>
        <v>292500</v>
      </c>
      <c r="K6" s="8" t="n">
        <f aca="false">INDEX(Допущения!$B$10:$B$14, C6)+G6*Допущения!$B$15</f>
        <v>35000</v>
      </c>
      <c r="L6" s="8" t="n">
        <f aca="false">IF(R6&gt;Допущения!$B$20,H6*Допущения!$B$21,0)</f>
        <v>0</v>
      </c>
      <c r="M6" s="8" t="n">
        <f aca="false">(H6-L6)*Допущения!$B$16+MAX(0,H6-L6-Допущения!$B$18)*Допущения!$B$17+Допущения!$B$19</f>
        <v>35350</v>
      </c>
      <c r="N6" s="8" t="n">
        <f aca="false">J6-K6-L6-M6</f>
        <v>222150</v>
      </c>
      <c r="O6" s="8" t="n">
        <f aca="false">MAX(0,N6)*Допущения!$B$22</f>
        <v>155505</v>
      </c>
      <c r="P6" s="10" t="n">
        <f aca="false">MAX(0,D6*Допущения!$B$23+E6*Допущения!$B$24+F6*Допущения!$B$25-G6*Допущения!$B$27)+Допущения!$B$26</f>
        <v>49</v>
      </c>
      <c r="Q6" s="9" t="n">
        <f aca="false">P6/4.33</f>
        <v>11.3163972286374</v>
      </c>
      <c r="R6" s="8" t="n">
        <v>0</v>
      </c>
    </row>
    <row r="7" customFormat="false" ht="15" hidden="false" customHeight="false" outlineLevel="0" collapsed="false">
      <c r="A7" s="0" t="n">
        <v>6</v>
      </c>
      <c r="B7" s="0" t="n">
        <f aca="false">INT((A7-1)/12)+1</f>
        <v>1</v>
      </c>
      <c r="C7" s="0" t="n">
        <f aca="false">IF(A7&lt;=3,1,IF(A7&lt;=6,2,IF(A7&lt;=12,3,IF(A7&lt;=24,4,5))))</f>
        <v>2</v>
      </c>
      <c r="D7" s="0" t="n">
        <f aca="false">INDEX(Объёмы!$B$8:$F$8,C7)</f>
        <v>1</v>
      </c>
      <c r="E7" s="0" t="n">
        <f aca="false">INDEX(Объёмы!$B$9:$F$9,C7)</f>
        <v>0.5</v>
      </c>
      <c r="F7" s="0" t="n">
        <f aca="false">INDEX(Объёмы!$B$10:$F$10,C7)</f>
        <v>1</v>
      </c>
      <c r="G7" s="0" t="n">
        <f aca="false">INDEX(Объёмы!$B$11:$F$11,C7)</f>
        <v>0</v>
      </c>
      <c r="H7" s="8" t="n">
        <f aca="false">(D7*Допущения!$B$2+E7*Допущения!$B$3+F7*Допущения!$B$4)*IF(B7=1,1,IF(B7=2,Допущения!$B$8,Допущения!$B$9))</f>
        <v>440000</v>
      </c>
      <c r="I7" s="8" t="n">
        <f aca="false">(D7*Допущения!$B$2*Допущения!$B$5+E7*Допущения!$B$3*Допущения!$B$6+F7*Допущения!$B$4*Допущения!$B$7)*IF(B7=1,1,IF(B7=2,Допущения!$B$8,Допущения!$B$9))</f>
        <v>147500</v>
      </c>
      <c r="J7" s="8" t="n">
        <f aca="false">H7-I7</f>
        <v>292500</v>
      </c>
      <c r="K7" s="8" t="n">
        <f aca="false">INDEX(Допущения!$B$10:$B$14, C7)+G7*Допущения!$B$15</f>
        <v>35000</v>
      </c>
      <c r="L7" s="8" t="n">
        <f aca="false">IF(R7&gt;Допущения!$B$20,H7*Допущения!$B$21,0)</f>
        <v>0</v>
      </c>
      <c r="M7" s="8" t="n">
        <f aca="false">(H7-L7)*Допущения!$B$16+MAX(0,H7-L7-Допущения!$B$18)*Допущения!$B$17+Допущения!$B$19</f>
        <v>35350</v>
      </c>
      <c r="N7" s="8" t="n">
        <f aca="false">J7-K7-L7-M7</f>
        <v>222150</v>
      </c>
      <c r="O7" s="8" t="n">
        <f aca="false">MAX(0,N7)*Допущения!$B$22</f>
        <v>155505</v>
      </c>
      <c r="P7" s="10" t="n">
        <f aca="false">MAX(0,D7*Допущения!$B$23+E7*Допущения!$B$24+F7*Допущения!$B$25-G7*Допущения!$B$27)+Допущения!$B$26</f>
        <v>49</v>
      </c>
      <c r="Q7" s="9" t="n">
        <f aca="false">P7/4.33</f>
        <v>11.3163972286374</v>
      </c>
      <c r="R7" s="8" t="n">
        <v>0</v>
      </c>
    </row>
    <row r="8" customFormat="false" ht="15" hidden="false" customHeight="false" outlineLevel="0" collapsed="false">
      <c r="A8" s="0" t="n">
        <v>7</v>
      </c>
      <c r="B8" s="0" t="n">
        <f aca="false">INT((A8-1)/12)+1</f>
        <v>1</v>
      </c>
      <c r="C8" s="0" t="n">
        <f aca="false">IF(A8&lt;=3,1,IF(A8&lt;=6,2,IF(A8&lt;=12,3,IF(A8&lt;=24,4,5))))</f>
        <v>3</v>
      </c>
      <c r="D8" s="0" t="n">
        <f aca="false">INDEX(Объёмы!$B$8:$F$8,C8)</f>
        <v>1</v>
      </c>
      <c r="E8" s="0" t="n">
        <f aca="false">INDEX(Объёмы!$B$9:$F$9,C8)</f>
        <v>0.5</v>
      </c>
      <c r="F8" s="0" t="n">
        <f aca="false">INDEX(Объёмы!$B$10:$F$10,C8)</f>
        <v>2</v>
      </c>
      <c r="G8" s="0" t="n">
        <f aca="false">INDEX(Объёмы!$B$11:$F$11,C8)</f>
        <v>0</v>
      </c>
      <c r="H8" s="8" t="n">
        <f aca="false">(D8*Допущения!$B$2+E8*Допущения!$B$3+F8*Допущения!$B$4)*IF(B8=1,1,IF(B8=2,Допущения!$B$8,Допущения!$B$9))</f>
        <v>580000</v>
      </c>
      <c r="I8" s="8" t="n">
        <f aca="false">(D8*Допущения!$B$2*Допущения!$B$5+E8*Допущения!$B$3*Допущения!$B$6+F8*Допущения!$B$4*Допущения!$B$7)*IF(B8=1,1,IF(B8=2,Допущения!$B$8,Допущения!$B$9))</f>
        <v>203500</v>
      </c>
      <c r="J8" s="8" t="n">
        <f aca="false">H8-I8</f>
        <v>376500</v>
      </c>
      <c r="K8" s="8" t="n">
        <f aca="false">INDEX(Допущения!$B$10:$B$14, C8)+G8*Допущения!$B$15</f>
        <v>45000</v>
      </c>
      <c r="L8" s="8" t="n">
        <f aca="false">IF(R8&gt;Допущения!$B$20,H8*Допущения!$B$21,0)</f>
        <v>0</v>
      </c>
      <c r="M8" s="8" t="n">
        <f aca="false">(H8-L8)*Допущения!$B$16+MAX(0,H8-L8-Допущения!$B$18)*Допущения!$B$17+Допущения!$B$19</f>
        <v>45150</v>
      </c>
      <c r="N8" s="8" t="n">
        <f aca="false">J8-K8-L8-M8</f>
        <v>286350</v>
      </c>
      <c r="O8" s="8" t="n">
        <f aca="false">MAX(0,N8)*Допущения!$B$22</f>
        <v>200445</v>
      </c>
      <c r="P8" s="10" t="n">
        <f aca="false">MAX(0,D8*Допущения!$B$23+E8*Допущения!$B$24+F8*Допущения!$B$25-G8*Допущения!$B$27)+Допущения!$B$26</f>
        <v>57</v>
      </c>
      <c r="Q8" s="9" t="n">
        <f aca="false">P8/4.33</f>
        <v>13.1639722863741</v>
      </c>
      <c r="R8" s="8" t="n">
        <v>0</v>
      </c>
    </row>
    <row r="9" customFormat="false" ht="15" hidden="false" customHeight="false" outlineLevel="0" collapsed="false">
      <c r="A9" s="0" t="n">
        <v>8</v>
      </c>
      <c r="B9" s="0" t="n">
        <f aca="false">INT((A9-1)/12)+1</f>
        <v>1</v>
      </c>
      <c r="C9" s="0" t="n">
        <f aca="false">IF(A9&lt;=3,1,IF(A9&lt;=6,2,IF(A9&lt;=12,3,IF(A9&lt;=24,4,5))))</f>
        <v>3</v>
      </c>
      <c r="D9" s="0" t="n">
        <f aca="false">INDEX(Объёмы!$B$8:$F$8,C9)</f>
        <v>1</v>
      </c>
      <c r="E9" s="0" t="n">
        <f aca="false">INDEX(Объёмы!$B$9:$F$9,C9)</f>
        <v>0.5</v>
      </c>
      <c r="F9" s="0" t="n">
        <f aca="false">INDEX(Объёмы!$B$10:$F$10,C9)</f>
        <v>2</v>
      </c>
      <c r="G9" s="0" t="n">
        <f aca="false">INDEX(Объёмы!$B$11:$F$11,C9)</f>
        <v>0</v>
      </c>
      <c r="H9" s="8" t="n">
        <f aca="false">(D9*Допущения!$B$2+E9*Допущения!$B$3+F9*Допущения!$B$4)*IF(B9=1,1,IF(B9=2,Допущения!$B$8,Допущения!$B$9))</f>
        <v>580000</v>
      </c>
      <c r="I9" s="8" t="n">
        <f aca="false">(D9*Допущения!$B$2*Допущения!$B$5+E9*Допущения!$B$3*Допущения!$B$6+F9*Допущения!$B$4*Допущения!$B$7)*IF(B9=1,1,IF(B9=2,Допущения!$B$8,Допущения!$B$9))</f>
        <v>203500</v>
      </c>
      <c r="J9" s="8" t="n">
        <f aca="false">H9-I9</f>
        <v>376500</v>
      </c>
      <c r="K9" s="8" t="n">
        <f aca="false">INDEX(Допущения!$B$10:$B$14, C9)+G9*Допущения!$B$15</f>
        <v>45000</v>
      </c>
      <c r="L9" s="8" t="n">
        <f aca="false">IF(R9&gt;Допущения!$B$20,H9*Допущения!$B$21,0)</f>
        <v>0</v>
      </c>
      <c r="M9" s="8" t="n">
        <f aca="false">(H9-L9)*Допущения!$B$16+MAX(0,H9-L9-Допущения!$B$18)*Допущения!$B$17+Допущения!$B$19</f>
        <v>45150</v>
      </c>
      <c r="N9" s="8" t="n">
        <f aca="false">J9-K9-L9-M9</f>
        <v>286350</v>
      </c>
      <c r="O9" s="8" t="n">
        <f aca="false">MAX(0,N9)*Допущения!$B$22</f>
        <v>200445</v>
      </c>
      <c r="P9" s="10" t="n">
        <f aca="false">MAX(0,D9*Допущения!$B$23+E9*Допущения!$B$24+F9*Допущения!$B$25-G9*Допущения!$B$27)+Допущения!$B$26</f>
        <v>57</v>
      </c>
      <c r="Q9" s="9" t="n">
        <f aca="false">P9/4.33</f>
        <v>13.1639722863741</v>
      </c>
      <c r="R9" s="8" t="n">
        <v>0</v>
      </c>
    </row>
    <row r="10" customFormat="false" ht="15" hidden="false" customHeight="false" outlineLevel="0" collapsed="false">
      <c r="A10" s="0" t="n">
        <v>9</v>
      </c>
      <c r="B10" s="0" t="n">
        <f aca="false">INT((A10-1)/12)+1</f>
        <v>1</v>
      </c>
      <c r="C10" s="0" t="n">
        <f aca="false">IF(A10&lt;=3,1,IF(A10&lt;=6,2,IF(A10&lt;=12,3,IF(A10&lt;=24,4,5))))</f>
        <v>3</v>
      </c>
      <c r="D10" s="0" t="n">
        <f aca="false">INDEX(Объёмы!$B$8:$F$8,C10)</f>
        <v>1</v>
      </c>
      <c r="E10" s="0" t="n">
        <f aca="false">INDEX(Объёмы!$B$9:$F$9,C10)</f>
        <v>0.5</v>
      </c>
      <c r="F10" s="0" t="n">
        <f aca="false">INDEX(Объёмы!$B$10:$F$10,C10)</f>
        <v>2</v>
      </c>
      <c r="G10" s="0" t="n">
        <f aca="false">INDEX(Объёмы!$B$11:$F$11,C10)</f>
        <v>0</v>
      </c>
      <c r="H10" s="8" t="n">
        <f aca="false">(D10*Допущения!$B$2+E10*Допущения!$B$3+F10*Допущения!$B$4)*IF(B10=1,1,IF(B10=2,Допущения!$B$8,Допущения!$B$9))</f>
        <v>580000</v>
      </c>
      <c r="I10" s="8" t="n">
        <f aca="false">(D10*Допущения!$B$2*Допущения!$B$5+E10*Допущения!$B$3*Допущения!$B$6+F10*Допущения!$B$4*Допущения!$B$7)*IF(B10=1,1,IF(B10=2,Допущения!$B$8,Допущения!$B$9))</f>
        <v>203500</v>
      </c>
      <c r="J10" s="8" t="n">
        <f aca="false">H10-I10</f>
        <v>376500</v>
      </c>
      <c r="K10" s="8" t="n">
        <f aca="false">INDEX(Допущения!$B$10:$B$14, C10)+G10*Допущения!$B$15</f>
        <v>45000</v>
      </c>
      <c r="L10" s="8" t="n">
        <f aca="false">IF(R10&gt;Допущения!$B$20,H10*Допущения!$B$21,0)</f>
        <v>0</v>
      </c>
      <c r="M10" s="8" t="n">
        <f aca="false">(H10-L10)*Допущения!$B$16+MAX(0,H10-L10-Допущения!$B$18)*Допущения!$B$17+Допущения!$B$19</f>
        <v>45150</v>
      </c>
      <c r="N10" s="8" t="n">
        <f aca="false">J10-K10-L10-M10</f>
        <v>286350</v>
      </c>
      <c r="O10" s="8" t="n">
        <f aca="false">MAX(0,N10)*Допущения!$B$22</f>
        <v>200445</v>
      </c>
      <c r="P10" s="10" t="n">
        <f aca="false">MAX(0,D10*Допущения!$B$23+E10*Допущения!$B$24+F10*Допущения!$B$25-G10*Допущения!$B$27)+Допущения!$B$26</f>
        <v>57</v>
      </c>
      <c r="Q10" s="9" t="n">
        <f aca="false">P10/4.33</f>
        <v>13.1639722863741</v>
      </c>
      <c r="R10" s="8" t="n">
        <v>0</v>
      </c>
    </row>
    <row r="11" customFormat="false" ht="15" hidden="false" customHeight="false" outlineLevel="0" collapsed="false">
      <c r="A11" s="0" t="n">
        <v>10</v>
      </c>
      <c r="B11" s="0" t="n">
        <f aca="false">INT((A11-1)/12)+1</f>
        <v>1</v>
      </c>
      <c r="C11" s="0" t="n">
        <f aca="false">IF(A11&lt;=3,1,IF(A11&lt;=6,2,IF(A11&lt;=12,3,IF(A11&lt;=24,4,5))))</f>
        <v>3</v>
      </c>
      <c r="D11" s="0" t="n">
        <f aca="false">INDEX(Объёмы!$B$8:$F$8,C11)</f>
        <v>1</v>
      </c>
      <c r="E11" s="0" t="n">
        <f aca="false">INDEX(Объёмы!$B$9:$F$9,C11)</f>
        <v>0.5</v>
      </c>
      <c r="F11" s="0" t="n">
        <f aca="false">INDEX(Объёмы!$B$10:$F$10,C11)</f>
        <v>2</v>
      </c>
      <c r="G11" s="0" t="n">
        <f aca="false">INDEX(Объёмы!$B$11:$F$11,C11)</f>
        <v>0</v>
      </c>
      <c r="H11" s="8" t="n">
        <f aca="false">(D11*Допущения!$B$2+E11*Допущения!$B$3+F11*Допущения!$B$4)*IF(B11=1,1,IF(B11=2,Допущения!$B$8,Допущения!$B$9))</f>
        <v>580000</v>
      </c>
      <c r="I11" s="8" t="n">
        <f aca="false">(D11*Допущения!$B$2*Допущения!$B$5+E11*Допущения!$B$3*Допущения!$B$6+F11*Допущения!$B$4*Допущения!$B$7)*IF(B11=1,1,IF(B11=2,Допущения!$B$8,Допущения!$B$9))</f>
        <v>203500</v>
      </c>
      <c r="J11" s="8" t="n">
        <f aca="false">H11-I11</f>
        <v>376500</v>
      </c>
      <c r="K11" s="8" t="n">
        <f aca="false">INDEX(Допущения!$B$10:$B$14, C11)+G11*Допущения!$B$15</f>
        <v>45000</v>
      </c>
      <c r="L11" s="8" t="n">
        <f aca="false">IF(R11&gt;Допущения!$B$20,H11*Допущения!$B$21,0)</f>
        <v>0</v>
      </c>
      <c r="M11" s="8" t="n">
        <f aca="false">(H11-L11)*Допущения!$B$16+MAX(0,H11-L11-Допущения!$B$18)*Допущения!$B$17+Допущения!$B$19</f>
        <v>45150</v>
      </c>
      <c r="N11" s="8" t="n">
        <f aca="false">J11-K11-L11-M11</f>
        <v>286350</v>
      </c>
      <c r="O11" s="8" t="n">
        <f aca="false">MAX(0,N11)*Допущения!$B$22</f>
        <v>200445</v>
      </c>
      <c r="P11" s="10" t="n">
        <f aca="false">MAX(0,D11*Допущения!$B$23+E11*Допущения!$B$24+F11*Допущения!$B$25-G11*Допущения!$B$27)+Допущения!$B$26</f>
        <v>57</v>
      </c>
      <c r="Q11" s="9" t="n">
        <f aca="false">P11/4.33</f>
        <v>13.1639722863741</v>
      </c>
      <c r="R11" s="8" t="n">
        <v>0</v>
      </c>
    </row>
    <row r="12" customFormat="false" ht="15" hidden="false" customHeight="false" outlineLevel="0" collapsed="false">
      <c r="A12" s="0" t="n">
        <v>11</v>
      </c>
      <c r="B12" s="0" t="n">
        <f aca="false">INT((A12-1)/12)+1</f>
        <v>1</v>
      </c>
      <c r="C12" s="0" t="n">
        <f aca="false">IF(A12&lt;=3,1,IF(A12&lt;=6,2,IF(A12&lt;=12,3,IF(A12&lt;=24,4,5))))</f>
        <v>3</v>
      </c>
      <c r="D12" s="0" t="n">
        <f aca="false">INDEX(Объёмы!$B$8:$F$8,C12)</f>
        <v>1</v>
      </c>
      <c r="E12" s="0" t="n">
        <f aca="false">INDEX(Объёмы!$B$9:$F$9,C12)</f>
        <v>0.5</v>
      </c>
      <c r="F12" s="0" t="n">
        <f aca="false">INDEX(Объёмы!$B$10:$F$10,C12)</f>
        <v>2</v>
      </c>
      <c r="G12" s="0" t="n">
        <f aca="false">INDEX(Объёмы!$B$11:$F$11,C12)</f>
        <v>0</v>
      </c>
      <c r="H12" s="8" t="n">
        <f aca="false">(D12*Допущения!$B$2+E12*Допущения!$B$3+F12*Допущения!$B$4)*IF(B12=1,1,IF(B12=2,Допущения!$B$8,Допущения!$B$9))</f>
        <v>580000</v>
      </c>
      <c r="I12" s="8" t="n">
        <f aca="false">(D12*Допущения!$B$2*Допущения!$B$5+E12*Допущения!$B$3*Допущения!$B$6+F12*Допущения!$B$4*Допущения!$B$7)*IF(B12=1,1,IF(B12=2,Допущения!$B$8,Допущения!$B$9))</f>
        <v>203500</v>
      </c>
      <c r="J12" s="8" t="n">
        <f aca="false">H12-I12</f>
        <v>376500</v>
      </c>
      <c r="K12" s="8" t="n">
        <f aca="false">INDEX(Допущения!$B$10:$B$14, C12)+G12*Допущения!$B$15</f>
        <v>45000</v>
      </c>
      <c r="L12" s="8" t="n">
        <f aca="false">IF(R12&gt;Допущения!$B$20,H12*Допущения!$B$21,0)</f>
        <v>0</v>
      </c>
      <c r="M12" s="8" t="n">
        <f aca="false">(H12-L12)*Допущения!$B$16+MAX(0,H12-L12-Допущения!$B$18)*Допущения!$B$17+Допущения!$B$19</f>
        <v>45150</v>
      </c>
      <c r="N12" s="8" t="n">
        <f aca="false">J12-K12-L12-M12</f>
        <v>286350</v>
      </c>
      <c r="O12" s="8" t="n">
        <f aca="false">MAX(0,N12)*Допущения!$B$22</f>
        <v>200445</v>
      </c>
      <c r="P12" s="10" t="n">
        <f aca="false">MAX(0,D12*Допущения!$B$23+E12*Допущения!$B$24+F12*Допущения!$B$25-G12*Допущения!$B$27)+Допущения!$B$26</f>
        <v>57</v>
      </c>
      <c r="Q12" s="9" t="n">
        <f aca="false">P12/4.33</f>
        <v>13.1639722863741</v>
      </c>
      <c r="R12" s="8" t="n">
        <v>0</v>
      </c>
    </row>
    <row r="13" customFormat="false" ht="15" hidden="false" customHeight="false" outlineLevel="0" collapsed="false">
      <c r="A13" s="0" t="n">
        <v>12</v>
      </c>
      <c r="B13" s="0" t="n">
        <f aca="false">INT((A13-1)/12)+1</f>
        <v>1</v>
      </c>
      <c r="C13" s="0" t="n">
        <f aca="false">IF(A13&lt;=3,1,IF(A13&lt;=6,2,IF(A13&lt;=12,3,IF(A13&lt;=24,4,5))))</f>
        <v>3</v>
      </c>
      <c r="D13" s="0" t="n">
        <f aca="false">INDEX(Объёмы!$B$8:$F$8,C13)</f>
        <v>1</v>
      </c>
      <c r="E13" s="0" t="n">
        <f aca="false">INDEX(Объёмы!$B$9:$F$9,C13)</f>
        <v>0.5</v>
      </c>
      <c r="F13" s="0" t="n">
        <f aca="false">INDEX(Объёмы!$B$10:$F$10,C13)</f>
        <v>2</v>
      </c>
      <c r="G13" s="0" t="n">
        <f aca="false">INDEX(Объёмы!$B$11:$F$11,C13)</f>
        <v>0</v>
      </c>
      <c r="H13" s="8" t="n">
        <f aca="false">(D13*Допущения!$B$2+E13*Допущения!$B$3+F13*Допущения!$B$4)*IF(B13=1,1,IF(B13=2,Допущения!$B$8,Допущения!$B$9))</f>
        <v>580000</v>
      </c>
      <c r="I13" s="8" t="n">
        <f aca="false">(D13*Допущения!$B$2*Допущения!$B$5+E13*Допущения!$B$3*Допущения!$B$6+F13*Допущения!$B$4*Допущения!$B$7)*IF(B13=1,1,IF(B13=2,Допущения!$B$8,Допущения!$B$9))</f>
        <v>203500</v>
      </c>
      <c r="J13" s="8" t="n">
        <f aca="false">H13-I13</f>
        <v>376500</v>
      </c>
      <c r="K13" s="8" t="n">
        <f aca="false">INDEX(Допущения!$B$10:$B$14, C13)+G13*Допущения!$B$15</f>
        <v>45000</v>
      </c>
      <c r="L13" s="8" t="n">
        <f aca="false">IF(R13&gt;Допущения!$B$20,H13*Допущения!$B$21,0)</f>
        <v>0</v>
      </c>
      <c r="M13" s="8" t="n">
        <f aca="false">(H13-L13)*Допущения!$B$16+MAX(0,H13-L13-Допущения!$B$18)*Допущения!$B$17+Допущения!$B$19</f>
        <v>45150</v>
      </c>
      <c r="N13" s="8" t="n">
        <f aca="false">J13-K13-L13-M13</f>
        <v>286350</v>
      </c>
      <c r="O13" s="8" t="n">
        <f aca="false">MAX(0,N13)*Допущения!$B$22</f>
        <v>200445</v>
      </c>
      <c r="P13" s="10" t="n">
        <f aca="false">MAX(0,D13*Допущения!$B$23+E13*Допущения!$B$24+F13*Допущения!$B$25-G13*Допущения!$B$27)+Допущения!$B$26</f>
        <v>57</v>
      </c>
      <c r="Q13" s="9" t="n">
        <f aca="false">P13/4.33</f>
        <v>13.1639722863741</v>
      </c>
      <c r="R13" s="8" t="n">
        <v>0</v>
      </c>
    </row>
    <row r="14" customFormat="false" ht="15" hidden="false" customHeight="false" outlineLevel="0" collapsed="false">
      <c r="A14" s="0" t="n">
        <v>13</v>
      </c>
      <c r="B14" s="0" t="n">
        <f aca="false">INT((A14-1)/12)+1</f>
        <v>2</v>
      </c>
      <c r="C14" s="0" t="n">
        <f aca="false">IF(A14&lt;=3,1,IF(A14&lt;=6,2,IF(A14&lt;=12,3,IF(A14&lt;=24,4,5))))</f>
        <v>4</v>
      </c>
      <c r="D14" s="0" t="n">
        <f aca="false">INDEX(Объёмы!$B$8:$F$8,C14)</f>
        <v>2</v>
      </c>
      <c r="E14" s="0" t="n">
        <f aca="false">INDEX(Объёмы!$B$9:$F$9,C14)</f>
        <v>1</v>
      </c>
      <c r="F14" s="0" t="n">
        <f aca="false">INDEX(Объёмы!$B$10:$F$10,C14)</f>
        <v>4</v>
      </c>
      <c r="G14" s="0" t="n">
        <f aca="false">INDEX(Объёмы!$B$11:$F$11,C14)</f>
        <v>1</v>
      </c>
      <c r="H14" s="8" t="n">
        <f aca="false">(D14*Допущения!$B$2+E14*Допущения!$B$3+F14*Допущения!$B$4)*IF(B14=1,1,IF(B14=2,Допущения!$B$8,Допущения!$B$9))</f>
        <v>1276000</v>
      </c>
      <c r="I14" s="8" t="n">
        <f aca="false">(D14*Допущения!$B$2*Допущения!$B$5+E14*Допущения!$B$3*Допущения!$B$6+F14*Допущения!$B$4*Допущения!$B$7)*IF(B14=1,1,IF(B14=2,Допущения!$B$8,Допущения!$B$9))</f>
        <v>447700</v>
      </c>
      <c r="J14" s="8" t="n">
        <f aca="false">H14-I14</f>
        <v>828300</v>
      </c>
      <c r="K14" s="8" t="n">
        <f aca="false">INDEX(Допущения!$B$10:$B$14, C14)+G14*Допущения!$B$15</f>
        <v>240000</v>
      </c>
      <c r="L14" s="8" t="n">
        <f aca="false">IF(R14&gt;Допущения!$B$20,H14*Допущения!$B$21,0)</f>
        <v>0</v>
      </c>
      <c r="M14" s="8" t="n">
        <f aca="false">(H14-L14)*Допущения!$B$16+MAX(0,H14-L14-Допущения!$B$18)*Допущения!$B$17+Допущения!$B$19</f>
        <v>93870</v>
      </c>
      <c r="N14" s="8" t="n">
        <f aca="false">J14-K14-L14-M14</f>
        <v>494430</v>
      </c>
      <c r="O14" s="8" t="n">
        <f aca="false">MAX(0,N14)*Допущения!$B$22</f>
        <v>346101</v>
      </c>
      <c r="P14" s="10" t="n">
        <f aca="false">MAX(0,D14*Допущения!$B$23+E14*Допущения!$B$24+F14*Допущения!$B$25-G14*Допущения!$B$27)+Допущения!$B$26</f>
        <v>58</v>
      </c>
      <c r="Q14" s="9" t="n">
        <f aca="false">P14/4.33</f>
        <v>13.3949191685912</v>
      </c>
      <c r="R14" s="8" t="n">
        <f aca="false">SUM(H2:H13)</f>
        <v>4980900</v>
      </c>
    </row>
    <row r="15" customFormat="false" ht="15" hidden="false" customHeight="false" outlineLevel="0" collapsed="false">
      <c r="A15" s="0" t="n">
        <v>14</v>
      </c>
      <c r="B15" s="0" t="n">
        <f aca="false">INT((A15-1)/12)+1</f>
        <v>2</v>
      </c>
      <c r="C15" s="0" t="n">
        <f aca="false">IF(A15&lt;=3,1,IF(A15&lt;=6,2,IF(A15&lt;=12,3,IF(A15&lt;=24,4,5))))</f>
        <v>4</v>
      </c>
      <c r="D15" s="0" t="n">
        <f aca="false">INDEX(Объёмы!$B$8:$F$8,C15)</f>
        <v>2</v>
      </c>
      <c r="E15" s="0" t="n">
        <f aca="false">INDEX(Объёмы!$B$9:$F$9,C15)</f>
        <v>1</v>
      </c>
      <c r="F15" s="0" t="n">
        <f aca="false">INDEX(Объёмы!$B$10:$F$10,C15)</f>
        <v>4</v>
      </c>
      <c r="G15" s="0" t="n">
        <f aca="false">INDEX(Объёмы!$B$11:$F$11,C15)</f>
        <v>1</v>
      </c>
      <c r="H15" s="8" t="n">
        <f aca="false">(D15*Допущения!$B$2+E15*Допущения!$B$3+F15*Допущения!$B$4)*IF(B15=1,1,IF(B15=2,Допущения!$B$8,Допущения!$B$9))</f>
        <v>1276000</v>
      </c>
      <c r="I15" s="8" t="n">
        <f aca="false">(D15*Допущения!$B$2*Допущения!$B$5+E15*Допущения!$B$3*Допущения!$B$6+F15*Допущения!$B$4*Допущения!$B$7)*IF(B15=1,1,IF(B15=2,Допущения!$B$8,Допущения!$B$9))</f>
        <v>447700</v>
      </c>
      <c r="J15" s="8" t="n">
        <f aca="false">H15-I15</f>
        <v>828300</v>
      </c>
      <c r="K15" s="8" t="n">
        <f aca="false">INDEX(Допущения!$B$10:$B$14, C15)+G15*Допущения!$B$15</f>
        <v>240000</v>
      </c>
      <c r="L15" s="8" t="n">
        <f aca="false">IF(R15&gt;Допущения!$B$20,H15*Допущения!$B$21,0)</f>
        <v>0</v>
      </c>
      <c r="M15" s="8" t="n">
        <f aca="false">(H15-L15)*Допущения!$B$16+MAX(0,H15-L15-Допущения!$B$18)*Допущения!$B$17+Допущения!$B$19</f>
        <v>93870</v>
      </c>
      <c r="N15" s="8" t="n">
        <f aca="false">J15-K15-L15-M15</f>
        <v>494430</v>
      </c>
      <c r="O15" s="8" t="n">
        <f aca="false">MAX(0,N15)*Допущения!$B$22</f>
        <v>346101</v>
      </c>
      <c r="P15" s="10" t="n">
        <f aca="false">MAX(0,D15*Допущения!$B$23+E15*Допущения!$B$24+F15*Допущения!$B$25-G15*Допущения!$B$27)+Допущения!$B$26</f>
        <v>58</v>
      </c>
      <c r="Q15" s="9" t="n">
        <f aca="false">P15/4.33</f>
        <v>13.3949191685912</v>
      </c>
      <c r="R15" s="8" t="n">
        <f aca="false">SUM(H2:H13)</f>
        <v>4980900</v>
      </c>
    </row>
    <row r="16" customFormat="false" ht="15" hidden="false" customHeight="false" outlineLevel="0" collapsed="false">
      <c r="A16" s="0" t="n">
        <v>15</v>
      </c>
      <c r="B16" s="0" t="n">
        <f aca="false">INT((A16-1)/12)+1</f>
        <v>2</v>
      </c>
      <c r="C16" s="0" t="n">
        <f aca="false">IF(A16&lt;=3,1,IF(A16&lt;=6,2,IF(A16&lt;=12,3,IF(A16&lt;=24,4,5))))</f>
        <v>4</v>
      </c>
      <c r="D16" s="0" t="n">
        <f aca="false">INDEX(Объёмы!$B$8:$F$8,C16)</f>
        <v>2</v>
      </c>
      <c r="E16" s="0" t="n">
        <f aca="false">INDEX(Объёмы!$B$9:$F$9,C16)</f>
        <v>1</v>
      </c>
      <c r="F16" s="0" t="n">
        <f aca="false">INDEX(Объёмы!$B$10:$F$10,C16)</f>
        <v>4</v>
      </c>
      <c r="G16" s="0" t="n">
        <f aca="false">INDEX(Объёмы!$B$11:$F$11,C16)</f>
        <v>1</v>
      </c>
      <c r="H16" s="8" t="n">
        <f aca="false">(D16*Допущения!$B$2+E16*Допущения!$B$3+F16*Допущения!$B$4)*IF(B16=1,1,IF(B16=2,Допущения!$B$8,Допущения!$B$9))</f>
        <v>1276000</v>
      </c>
      <c r="I16" s="8" t="n">
        <f aca="false">(D16*Допущения!$B$2*Допущения!$B$5+E16*Допущения!$B$3*Допущения!$B$6+F16*Допущения!$B$4*Допущения!$B$7)*IF(B16=1,1,IF(B16=2,Допущения!$B$8,Допущения!$B$9))</f>
        <v>447700</v>
      </c>
      <c r="J16" s="8" t="n">
        <f aca="false">H16-I16</f>
        <v>828300</v>
      </c>
      <c r="K16" s="8" t="n">
        <f aca="false">INDEX(Допущения!$B$10:$B$14, C16)+G16*Допущения!$B$15</f>
        <v>240000</v>
      </c>
      <c r="L16" s="8" t="n">
        <f aca="false">IF(R16&gt;Допущения!$B$20,H16*Допущения!$B$21,0)</f>
        <v>0</v>
      </c>
      <c r="M16" s="8" t="n">
        <f aca="false">(H16-L16)*Допущения!$B$16+MAX(0,H16-L16-Допущения!$B$18)*Допущения!$B$17+Допущения!$B$19</f>
        <v>93870</v>
      </c>
      <c r="N16" s="8" t="n">
        <f aca="false">J16-K16-L16-M16</f>
        <v>494430</v>
      </c>
      <c r="O16" s="8" t="n">
        <f aca="false">MAX(0,N16)*Допущения!$B$22</f>
        <v>346101</v>
      </c>
      <c r="P16" s="10" t="n">
        <f aca="false">MAX(0,D16*Допущения!$B$23+E16*Допущения!$B$24+F16*Допущения!$B$25-G16*Допущения!$B$27)+Допущения!$B$26</f>
        <v>58</v>
      </c>
      <c r="Q16" s="9" t="n">
        <f aca="false">P16/4.33</f>
        <v>13.3949191685912</v>
      </c>
      <c r="R16" s="8" t="n">
        <f aca="false">SUM(H2:H13)</f>
        <v>4980900</v>
      </c>
    </row>
    <row r="17" customFormat="false" ht="15" hidden="false" customHeight="false" outlineLevel="0" collapsed="false">
      <c r="A17" s="0" t="n">
        <v>16</v>
      </c>
      <c r="B17" s="0" t="n">
        <f aca="false">INT((A17-1)/12)+1</f>
        <v>2</v>
      </c>
      <c r="C17" s="0" t="n">
        <f aca="false">IF(A17&lt;=3,1,IF(A17&lt;=6,2,IF(A17&lt;=12,3,IF(A17&lt;=24,4,5))))</f>
        <v>4</v>
      </c>
      <c r="D17" s="0" t="n">
        <f aca="false">INDEX(Объёмы!$B$8:$F$8,C17)</f>
        <v>2</v>
      </c>
      <c r="E17" s="0" t="n">
        <f aca="false">INDEX(Объёмы!$B$9:$F$9,C17)</f>
        <v>1</v>
      </c>
      <c r="F17" s="0" t="n">
        <f aca="false">INDEX(Объёмы!$B$10:$F$10,C17)</f>
        <v>4</v>
      </c>
      <c r="G17" s="0" t="n">
        <f aca="false">INDEX(Объёмы!$B$11:$F$11,C17)</f>
        <v>1</v>
      </c>
      <c r="H17" s="8" t="n">
        <f aca="false">(D17*Допущения!$B$2+E17*Допущения!$B$3+F17*Допущения!$B$4)*IF(B17=1,1,IF(B17=2,Допущения!$B$8,Допущения!$B$9))</f>
        <v>1276000</v>
      </c>
      <c r="I17" s="8" t="n">
        <f aca="false">(D17*Допущения!$B$2*Допущения!$B$5+E17*Допущения!$B$3*Допущения!$B$6+F17*Допущения!$B$4*Допущения!$B$7)*IF(B17=1,1,IF(B17=2,Допущения!$B$8,Допущения!$B$9))</f>
        <v>447700</v>
      </c>
      <c r="J17" s="8" t="n">
        <f aca="false">H17-I17</f>
        <v>828300</v>
      </c>
      <c r="K17" s="8" t="n">
        <f aca="false">INDEX(Допущения!$B$10:$B$14, C17)+G17*Допущения!$B$15</f>
        <v>240000</v>
      </c>
      <c r="L17" s="8" t="n">
        <f aca="false">IF(R17&gt;Допущения!$B$20,H17*Допущения!$B$21,0)</f>
        <v>0</v>
      </c>
      <c r="M17" s="8" t="n">
        <f aca="false">(H17-L17)*Допущения!$B$16+MAX(0,H17-L17-Допущения!$B$18)*Допущения!$B$17+Допущения!$B$19</f>
        <v>93870</v>
      </c>
      <c r="N17" s="8" t="n">
        <f aca="false">J17-K17-L17-M17</f>
        <v>494430</v>
      </c>
      <c r="O17" s="8" t="n">
        <f aca="false">MAX(0,N17)*Допущения!$B$22</f>
        <v>346101</v>
      </c>
      <c r="P17" s="10" t="n">
        <f aca="false">MAX(0,D17*Допущения!$B$23+E17*Допущения!$B$24+F17*Допущения!$B$25-G17*Допущения!$B$27)+Допущения!$B$26</f>
        <v>58</v>
      </c>
      <c r="Q17" s="9" t="n">
        <f aca="false">P17/4.33</f>
        <v>13.3949191685912</v>
      </c>
      <c r="R17" s="8" t="n">
        <f aca="false">SUM(H2:H13)</f>
        <v>4980900</v>
      </c>
    </row>
    <row r="18" customFormat="false" ht="15" hidden="false" customHeight="false" outlineLevel="0" collapsed="false">
      <c r="A18" s="0" t="n">
        <v>17</v>
      </c>
      <c r="B18" s="0" t="n">
        <f aca="false">INT((A18-1)/12)+1</f>
        <v>2</v>
      </c>
      <c r="C18" s="0" t="n">
        <f aca="false">IF(A18&lt;=3,1,IF(A18&lt;=6,2,IF(A18&lt;=12,3,IF(A18&lt;=24,4,5))))</f>
        <v>4</v>
      </c>
      <c r="D18" s="0" t="n">
        <f aca="false">INDEX(Объёмы!$B$8:$F$8,C18)</f>
        <v>2</v>
      </c>
      <c r="E18" s="0" t="n">
        <f aca="false">INDEX(Объёмы!$B$9:$F$9,C18)</f>
        <v>1</v>
      </c>
      <c r="F18" s="0" t="n">
        <f aca="false">INDEX(Объёмы!$B$10:$F$10,C18)</f>
        <v>4</v>
      </c>
      <c r="G18" s="0" t="n">
        <f aca="false">INDEX(Объёмы!$B$11:$F$11,C18)</f>
        <v>1</v>
      </c>
      <c r="H18" s="8" t="n">
        <f aca="false">(D18*Допущения!$B$2+E18*Допущения!$B$3+F18*Допущения!$B$4)*IF(B18=1,1,IF(B18=2,Допущения!$B$8,Допущения!$B$9))</f>
        <v>1276000</v>
      </c>
      <c r="I18" s="8" t="n">
        <f aca="false">(D18*Допущения!$B$2*Допущения!$B$5+E18*Допущения!$B$3*Допущения!$B$6+F18*Допущения!$B$4*Допущения!$B$7)*IF(B18=1,1,IF(B18=2,Допущения!$B$8,Допущения!$B$9))</f>
        <v>447700</v>
      </c>
      <c r="J18" s="8" t="n">
        <f aca="false">H18-I18</f>
        <v>828300</v>
      </c>
      <c r="K18" s="8" t="n">
        <f aca="false">INDEX(Допущения!$B$10:$B$14, C18)+G18*Допущения!$B$15</f>
        <v>240000</v>
      </c>
      <c r="L18" s="8" t="n">
        <f aca="false">IF(R18&gt;Допущения!$B$20,H18*Допущения!$B$21,0)</f>
        <v>0</v>
      </c>
      <c r="M18" s="8" t="n">
        <f aca="false">(H18-L18)*Допущения!$B$16+MAX(0,H18-L18-Допущения!$B$18)*Допущения!$B$17+Допущения!$B$19</f>
        <v>93870</v>
      </c>
      <c r="N18" s="8" t="n">
        <f aca="false">J18-K18-L18-M18</f>
        <v>494430</v>
      </c>
      <c r="O18" s="8" t="n">
        <f aca="false">MAX(0,N18)*Допущения!$B$22</f>
        <v>346101</v>
      </c>
      <c r="P18" s="10" t="n">
        <f aca="false">MAX(0,D18*Допущения!$B$23+E18*Допущения!$B$24+F18*Допущения!$B$25-G18*Допущения!$B$27)+Допущения!$B$26</f>
        <v>58</v>
      </c>
      <c r="Q18" s="9" t="n">
        <f aca="false">P18/4.33</f>
        <v>13.3949191685912</v>
      </c>
      <c r="R18" s="8" t="n">
        <f aca="false">SUM(H2:H13)</f>
        <v>4980900</v>
      </c>
    </row>
    <row r="19" customFormat="false" ht="15" hidden="false" customHeight="false" outlineLevel="0" collapsed="false">
      <c r="A19" s="0" t="n">
        <v>18</v>
      </c>
      <c r="B19" s="0" t="n">
        <f aca="false">INT((A19-1)/12)+1</f>
        <v>2</v>
      </c>
      <c r="C19" s="0" t="n">
        <f aca="false">IF(A19&lt;=3,1,IF(A19&lt;=6,2,IF(A19&lt;=12,3,IF(A19&lt;=24,4,5))))</f>
        <v>4</v>
      </c>
      <c r="D19" s="0" t="n">
        <f aca="false">INDEX(Объёмы!$B$8:$F$8,C19)</f>
        <v>2</v>
      </c>
      <c r="E19" s="0" t="n">
        <f aca="false">INDEX(Объёмы!$B$9:$F$9,C19)</f>
        <v>1</v>
      </c>
      <c r="F19" s="0" t="n">
        <f aca="false">INDEX(Объёмы!$B$10:$F$10,C19)</f>
        <v>4</v>
      </c>
      <c r="G19" s="0" t="n">
        <f aca="false">INDEX(Объёмы!$B$11:$F$11,C19)</f>
        <v>1</v>
      </c>
      <c r="H19" s="8" t="n">
        <f aca="false">(D19*Допущения!$B$2+E19*Допущения!$B$3+F19*Допущения!$B$4)*IF(B19=1,1,IF(B19=2,Допущения!$B$8,Допущения!$B$9))</f>
        <v>1276000</v>
      </c>
      <c r="I19" s="8" t="n">
        <f aca="false">(D19*Допущения!$B$2*Допущения!$B$5+E19*Допущения!$B$3*Допущения!$B$6+F19*Допущения!$B$4*Допущения!$B$7)*IF(B19=1,1,IF(B19=2,Допущения!$B$8,Допущения!$B$9))</f>
        <v>447700</v>
      </c>
      <c r="J19" s="8" t="n">
        <f aca="false">H19-I19</f>
        <v>828300</v>
      </c>
      <c r="K19" s="8" t="n">
        <f aca="false">INDEX(Допущения!$B$10:$B$14, C19)+G19*Допущения!$B$15</f>
        <v>240000</v>
      </c>
      <c r="L19" s="8" t="n">
        <f aca="false">IF(R19&gt;Допущения!$B$20,H19*Допущения!$B$21,0)</f>
        <v>0</v>
      </c>
      <c r="M19" s="8" t="n">
        <f aca="false">(H19-L19)*Допущения!$B$16+MAX(0,H19-L19-Допущения!$B$18)*Допущения!$B$17+Допущения!$B$19</f>
        <v>93870</v>
      </c>
      <c r="N19" s="8" t="n">
        <f aca="false">J19-K19-L19-M19</f>
        <v>494430</v>
      </c>
      <c r="O19" s="8" t="n">
        <f aca="false">MAX(0,N19)*Допущения!$B$22</f>
        <v>346101</v>
      </c>
      <c r="P19" s="10" t="n">
        <f aca="false">MAX(0,D19*Допущения!$B$23+E19*Допущения!$B$24+F19*Допущения!$B$25-G19*Допущения!$B$27)+Допущения!$B$26</f>
        <v>58</v>
      </c>
      <c r="Q19" s="9" t="n">
        <f aca="false">P19/4.33</f>
        <v>13.3949191685912</v>
      </c>
      <c r="R19" s="8" t="n">
        <f aca="false">SUM(H2:H13)</f>
        <v>4980900</v>
      </c>
    </row>
    <row r="20" customFormat="false" ht="15" hidden="false" customHeight="false" outlineLevel="0" collapsed="false">
      <c r="A20" s="0" t="n">
        <v>19</v>
      </c>
      <c r="B20" s="0" t="n">
        <f aca="false">INT((A20-1)/12)+1</f>
        <v>2</v>
      </c>
      <c r="C20" s="0" t="n">
        <f aca="false">IF(A20&lt;=3,1,IF(A20&lt;=6,2,IF(A20&lt;=12,3,IF(A20&lt;=24,4,5))))</f>
        <v>4</v>
      </c>
      <c r="D20" s="0" t="n">
        <f aca="false">INDEX(Объёмы!$B$8:$F$8,C20)</f>
        <v>2</v>
      </c>
      <c r="E20" s="0" t="n">
        <f aca="false">INDEX(Объёмы!$B$9:$F$9,C20)</f>
        <v>1</v>
      </c>
      <c r="F20" s="0" t="n">
        <f aca="false">INDEX(Объёмы!$B$10:$F$10,C20)</f>
        <v>4</v>
      </c>
      <c r="G20" s="0" t="n">
        <f aca="false">INDEX(Объёмы!$B$11:$F$11,C20)</f>
        <v>1</v>
      </c>
      <c r="H20" s="8" t="n">
        <f aca="false">(D20*Допущения!$B$2+E20*Допущения!$B$3+F20*Допущения!$B$4)*IF(B20=1,1,IF(B20=2,Допущения!$B$8,Допущения!$B$9))</f>
        <v>1276000</v>
      </c>
      <c r="I20" s="8" t="n">
        <f aca="false">(D20*Допущения!$B$2*Допущения!$B$5+E20*Допущения!$B$3*Допущения!$B$6+F20*Допущения!$B$4*Допущения!$B$7)*IF(B20=1,1,IF(B20=2,Допущения!$B$8,Допущения!$B$9))</f>
        <v>447700</v>
      </c>
      <c r="J20" s="8" t="n">
        <f aca="false">H20-I20</f>
        <v>828300</v>
      </c>
      <c r="K20" s="8" t="n">
        <f aca="false">INDEX(Допущения!$B$10:$B$14, C20)+G20*Допущения!$B$15</f>
        <v>240000</v>
      </c>
      <c r="L20" s="8" t="n">
        <f aca="false">IF(R20&gt;Допущения!$B$20,H20*Допущения!$B$21,0)</f>
        <v>0</v>
      </c>
      <c r="M20" s="8" t="n">
        <f aca="false">(H20-L20)*Допущения!$B$16+MAX(0,H20-L20-Допущения!$B$18)*Допущения!$B$17+Допущения!$B$19</f>
        <v>93870</v>
      </c>
      <c r="N20" s="8" t="n">
        <f aca="false">J20-K20-L20-M20</f>
        <v>494430</v>
      </c>
      <c r="O20" s="8" t="n">
        <f aca="false">MAX(0,N20)*Допущения!$B$22</f>
        <v>346101</v>
      </c>
      <c r="P20" s="10" t="n">
        <f aca="false">MAX(0,D20*Допущения!$B$23+E20*Допущения!$B$24+F20*Допущения!$B$25-G20*Допущения!$B$27)+Допущения!$B$26</f>
        <v>58</v>
      </c>
      <c r="Q20" s="9" t="n">
        <f aca="false">P20/4.33</f>
        <v>13.3949191685912</v>
      </c>
      <c r="R20" s="8" t="n">
        <f aca="false">SUM(H2:H13)</f>
        <v>4980900</v>
      </c>
    </row>
    <row r="21" customFormat="false" ht="15" hidden="false" customHeight="false" outlineLevel="0" collapsed="false">
      <c r="A21" s="0" t="n">
        <v>20</v>
      </c>
      <c r="B21" s="0" t="n">
        <f aca="false">INT((A21-1)/12)+1</f>
        <v>2</v>
      </c>
      <c r="C21" s="0" t="n">
        <f aca="false">IF(A21&lt;=3,1,IF(A21&lt;=6,2,IF(A21&lt;=12,3,IF(A21&lt;=24,4,5))))</f>
        <v>4</v>
      </c>
      <c r="D21" s="0" t="n">
        <f aca="false">INDEX(Объёмы!$B$8:$F$8,C21)</f>
        <v>2</v>
      </c>
      <c r="E21" s="0" t="n">
        <f aca="false">INDEX(Объёмы!$B$9:$F$9,C21)</f>
        <v>1</v>
      </c>
      <c r="F21" s="0" t="n">
        <f aca="false">INDEX(Объёмы!$B$10:$F$10,C21)</f>
        <v>4</v>
      </c>
      <c r="G21" s="0" t="n">
        <f aca="false">INDEX(Объёмы!$B$11:$F$11,C21)</f>
        <v>1</v>
      </c>
      <c r="H21" s="8" t="n">
        <f aca="false">(D21*Допущения!$B$2+E21*Допущения!$B$3+F21*Допущения!$B$4)*IF(B21=1,1,IF(B21=2,Допущения!$B$8,Допущения!$B$9))</f>
        <v>1276000</v>
      </c>
      <c r="I21" s="8" t="n">
        <f aca="false">(D21*Допущения!$B$2*Допущения!$B$5+E21*Допущения!$B$3*Допущения!$B$6+F21*Допущения!$B$4*Допущения!$B$7)*IF(B21=1,1,IF(B21=2,Допущения!$B$8,Допущения!$B$9))</f>
        <v>447700</v>
      </c>
      <c r="J21" s="8" t="n">
        <f aca="false">H21-I21</f>
        <v>828300</v>
      </c>
      <c r="K21" s="8" t="n">
        <f aca="false">INDEX(Допущения!$B$10:$B$14, C21)+G21*Допущения!$B$15</f>
        <v>240000</v>
      </c>
      <c r="L21" s="8" t="n">
        <f aca="false">IF(R21&gt;Допущения!$B$20,H21*Допущения!$B$21,0)</f>
        <v>0</v>
      </c>
      <c r="M21" s="8" t="n">
        <f aca="false">(H21-L21)*Допущения!$B$16+MAX(0,H21-L21-Допущения!$B$18)*Допущения!$B$17+Допущения!$B$19</f>
        <v>93870</v>
      </c>
      <c r="N21" s="8" t="n">
        <f aca="false">J21-K21-L21-M21</f>
        <v>494430</v>
      </c>
      <c r="O21" s="8" t="n">
        <f aca="false">MAX(0,N21)*Допущения!$B$22</f>
        <v>346101</v>
      </c>
      <c r="P21" s="10" t="n">
        <f aca="false">MAX(0,D21*Допущения!$B$23+E21*Допущения!$B$24+F21*Допущения!$B$25-G21*Допущения!$B$27)+Допущения!$B$26</f>
        <v>58</v>
      </c>
      <c r="Q21" s="9" t="n">
        <f aca="false">P21/4.33</f>
        <v>13.3949191685912</v>
      </c>
      <c r="R21" s="8" t="n">
        <f aca="false">SUM(H2:H13)</f>
        <v>4980900</v>
      </c>
    </row>
    <row r="22" customFormat="false" ht="15" hidden="false" customHeight="false" outlineLevel="0" collapsed="false">
      <c r="A22" s="0" t="n">
        <v>21</v>
      </c>
      <c r="B22" s="0" t="n">
        <f aca="false">INT((A22-1)/12)+1</f>
        <v>2</v>
      </c>
      <c r="C22" s="0" t="n">
        <f aca="false">IF(A22&lt;=3,1,IF(A22&lt;=6,2,IF(A22&lt;=12,3,IF(A22&lt;=24,4,5))))</f>
        <v>4</v>
      </c>
      <c r="D22" s="0" t="n">
        <f aca="false">INDEX(Объёмы!$B$8:$F$8,C22)</f>
        <v>2</v>
      </c>
      <c r="E22" s="0" t="n">
        <f aca="false">INDEX(Объёмы!$B$9:$F$9,C22)</f>
        <v>1</v>
      </c>
      <c r="F22" s="0" t="n">
        <f aca="false">INDEX(Объёмы!$B$10:$F$10,C22)</f>
        <v>4</v>
      </c>
      <c r="G22" s="0" t="n">
        <f aca="false">INDEX(Объёмы!$B$11:$F$11,C22)</f>
        <v>1</v>
      </c>
      <c r="H22" s="8" t="n">
        <f aca="false">(D22*Допущения!$B$2+E22*Допущения!$B$3+F22*Допущения!$B$4)*IF(B22=1,1,IF(B22=2,Допущения!$B$8,Допущения!$B$9))</f>
        <v>1276000</v>
      </c>
      <c r="I22" s="8" t="n">
        <f aca="false">(D22*Допущения!$B$2*Допущения!$B$5+E22*Допущения!$B$3*Допущения!$B$6+F22*Допущения!$B$4*Допущения!$B$7)*IF(B22=1,1,IF(B22=2,Допущения!$B$8,Допущения!$B$9))</f>
        <v>447700</v>
      </c>
      <c r="J22" s="8" t="n">
        <f aca="false">H22-I22</f>
        <v>828300</v>
      </c>
      <c r="K22" s="8" t="n">
        <f aca="false">INDEX(Допущения!$B$10:$B$14, C22)+G22*Допущения!$B$15</f>
        <v>240000</v>
      </c>
      <c r="L22" s="8" t="n">
        <f aca="false">IF(R22&gt;Допущения!$B$20,H22*Допущения!$B$21,0)</f>
        <v>0</v>
      </c>
      <c r="M22" s="8" t="n">
        <f aca="false">(H22-L22)*Допущения!$B$16+MAX(0,H22-L22-Допущения!$B$18)*Допущения!$B$17+Допущения!$B$19</f>
        <v>93870</v>
      </c>
      <c r="N22" s="8" t="n">
        <f aca="false">J22-K22-L22-M22</f>
        <v>494430</v>
      </c>
      <c r="O22" s="8" t="n">
        <f aca="false">MAX(0,N22)*Допущения!$B$22</f>
        <v>346101</v>
      </c>
      <c r="P22" s="10" t="n">
        <f aca="false">MAX(0,D22*Допущения!$B$23+E22*Допущения!$B$24+F22*Допущения!$B$25-G22*Допущения!$B$27)+Допущения!$B$26</f>
        <v>58</v>
      </c>
      <c r="Q22" s="9" t="n">
        <f aca="false">P22/4.33</f>
        <v>13.3949191685912</v>
      </c>
      <c r="R22" s="8" t="n">
        <f aca="false">SUM(H2:H13)</f>
        <v>4980900</v>
      </c>
    </row>
    <row r="23" customFormat="false" ht="15" hidden="false" customHeight="false" outlineLevel="0" collapsed="false">
      <c r="A23" s="0" t="n">
        <v>22</v>
      </c>
      <c r="B23" s="0" t="n">
        <f aca="false">INT((A23-1)/12)+1</f>
        <v>2</v>
      </c>
      <c r="C23" s="0" t="n">
        <f aca="false">IF(A23&lt;=3,1,IF(A23&lt;=6,2,IF(A23&lt;=12,3,IF(A23&lt;=24,4,5))))</f>
        <v>4</v>
      </c>
      <c r="D23" s="0" t="n">
        <f aca="false">INDEX(Объёмы!$B$8:$F$8,C23)</f>
        <v>2</v>
      </c>
      <c r="E23" s="0" t="n">
        <f aca="false">INDEX(Объёмы!$B$9:$F$9,C23)</f>
        <v>1</v>
      </c>
      <c r="F23" s="0" t="n">
        <f aca="false">INDEX(Объёмы!$B$10:$F$10,C23)</f>
        <v>4</v>
      </c>
      <c r="G23" s="0" t="n">
        <f aca="false">INDEX(Объёмы!$B$11:$F$11,C23)</f>
        <v>1</v>
      </c>
      <c r="H23" s="8" t="n">
        <f aca="false">(D23*Допущения!$B$2+E23*Допущения!$B$3+F23*Допущения!$B$4)*IF(B23=1,1,IF(B23=2,Допущения!$B$8,Допущения!$B$9))</f>
        <v>1276000</v>
      </c>
      <c r="I23" s="8" t="n">
        <f aca="false">(D23*Допущения!$B$2*Допущения!$B$5+E23*Допущения!$B$3*Допущения!$B$6+F23*Допущения!$B$4*Допущения!$B$7)*IF(B23=1,1,IF(B23=2,Допущения!$B$8,Допущения!$B$9))</f>
        <v>447700</v>
      </c>
      <c r="J23" s="8" t="n">
        <f aca="false">H23-I23</f>
        <v>828300</v>
      </c>
      <c r="K23" s="8" t="n">
        <f aca="false">INDEX(Допущения!$B$10:$B$14, C23)+G23*Допущения!$B$15</f>
        <v>240000</v>
      </c>
      <c r="L23" s="8" t="n">
        <f aca="false">IF(R23&gt;Допущения!$B$20,H23*Допущения!$B$21,0)</f>
        <v>0</v>
      </c>
      <c r="M23" s="8" t="n">
        <f aca="false">(H23-L23)*Допущения!$B$16+MAX(0,H23-L23-Допущения!$B$18)*Допущения!$B$17+Допущения!$B$19</f>
        <v>93870</v>
      </c>
      <c r="N23" s="8" t="n">
        <f aca="false">J23-K23-L23-M23</f>
        <v>494430</v>
      </c>
      <c r="O23" s="8" t="n">
        <f aca="false">MAX(0,N23)*Допущения!$B$22</f>
        <v>346101</v>
      </c>
      <c r="P23" s="10" t="n">
        <f aca="false">MAX(0,D23*Допущения!$B$23+E23*Допущения!$B$24+F23*Допущения!$B$25-G23*Допущения!$B$27)+Допущения!$B$26</f>
        <v>58</v>
      </c>
      <c r="Q23" s="9" t="n">
        <f aca="false">P23/4.33</f>
        <v>13.3949191685912</v>
      </c>
      <c r="R23" s="8" t="n">
        <f aca="false">SUM(H2:H13)</f>
        <v>4980900</v>
      </c>
    </row>
    <row r="24" customFormat="false" ht="15" hidden="false" customHeight="false" outlineLevel="0" collapsed="false">
      <c r="A24" s="0" t="n">
        <v>23</v>
      </c>
      <c r="B24" s="0" t="n">
        <f aca="false">INT((A24-1)/12)+1</f>
        <v>2</v>
      </c>
      <c r="C24" s="0" t="n">
        <f aca="false">IF(A24&lt;=3,1,IF(A24&lt;=6,2,IF(A24&lt;=12,3,IF(A24&lt;=24,4,5))))</f>
        <v>4</v>
      </c>
      <c r="D24" s="0" t="n">
        <f aca="false">INDEX(Объёмы!$B$8:$F$8,C24)</f>
        <v>2</v>
      </c>
      <c r="E24" s="0" t="n">
        <f aca="false">INDEX(Объёмы!$B$9:$F$9,C24)</f>
        <v>1</v>
      </c>
      <c r="F24" s="0" t="n">
        <f aca="false">INDEX(Объёмы!$B$10:$F$10,C24)</f>
        <v>4</v>
      </c>
      <c r="G24" s="0" t="n">
        <f aca="false">INDEX(Объёмы!$B$11:$F$11,C24)</f>
        <v>1</v>
      </c>
      <c r="H24" s="8" t="n">
        <f aca="false">(D24*Допущения!$B$2+E24*Допущения!$B$3+F24*Допущения!$B$4)*IF(B24=1,1,IF(B24=2,Допущения!$B$8,Допущения!$B$9))</f>
        <v>1276000</v>
      </c>
      <c r="I24" s="8" t="n">
        <f aca="false">(D24*Допущения!$B$2*Допущения!$B$5+E24*Допущения!$B$3*Допущения!$B$6+F24*Допущения!$B$4*Допущения!$B$7)*IF(B24=1,1,IF(B24=2,Допущения!$B$8,Допущения!$B$9))</f>
        <v>447700</v>
      </c>
      <c r="J24" s="8" t="n">
        <f aca="false">H24-I24</f>
        <v>828300</v>
      </c>
      <c r="K24" s="8" t="n">
        <f aca="false">INDEX(Допущения!$B$10:$B$14, C24)+G24*Допущения!$B$15</f>
        <v>240000</v>
      </c>
      <c r="L24" s="8" t="n">
        <f aca="false">IF(R24&gt;Допущения!$B$20,H24*Допущения!$B$21,0)</f>
        <v>0</v>
      </c>
      <c r="M24" s="8" t="n">
        <f aca="false">(H24-L24)*Допущения!$B$16+MAX(0,H24-L24-Допущения!$B$18)*Допущения!$B$17+Допущения!$B$19</f>
        <v>93870</v>
      </c>
      <c r="N24" s="8" t="n">
        <f aca="false">J24-K24-L24-M24</f>
        <v>494430</v>
      </c>
      <c r="O24" s="8" t="n">
        <f aca="false">MAX(0,N24)*Допущения!$B$22</f>
        <v>346101</v>
      </c>
      <c r="P24" s="10" t="n">
        <f aca="false">MAX(0,D24*Допущения!$B$23+E24*Допущения!$B$24+F24*Допущения!$B$25-G24*Допущения!$B$27)+Допущения!$B$26</f>
        <v>58</v>
      </c>
      <c r="Q24" s="9" t="n">
        <f aca="false">P24/4.33</f>
        <v>13.3949191685912</v>
      </c>
      <c r="R24" s="8" t="n">
        <f aca="false">SUM(H2:H13)</f>
        <v>4980900</v>
      </c>
    </row>
    <row r="25" customFormat="false" ht="15" hidden="false" customHeight="false" outlineLevel="0" collapsed="false">
      <c r="A25" s="0" t="n">
        <v>24</v>
      </c>
      <c r="B25" s="0" t="n">
        <f aca="false">INT((A25-1)/12)+1</f>
        <v>2</v>
      </c>
      <c r="C25" s="0" t="n">
        <f aca="false">IF(A25&lt;=3,1,IF(A25&lt;=6,2,IF(A25&lt;=12,3,IF(A25&lt;=24,4,5))))</f>
        <v>4</v>
      </c>
      <c r="D25" s="0" t="n">
        <f aca="false">INDEX(Объёмы!$B$8:$F$8,C25)</f>
        <v>2</v>
      </c>
      <c r="E25" s="0" t="n">
        <f aca="false">INDEX(Объёмы!$B$9:$F$9,C25)</f>
        <v>1</v>
      </c>
      <c r="F25" s="0" t="n">
        <f aca="false">INDEX(Объёмы!$B$10:$F$10,C25)</f>
        <v>4</v>
      </c>
      <c r="G25" s="0" t="n">
        <f aca="false">INDEX(Объёмы!$B$11:$F$11,C25)</f>
        <v>1</v>
      </c>
      <c r="H25" s="8" t="n">
        <f aca="false">(D25*Допущения!$B$2+E25*Допущения!$B$3+F25*Допущения!$B$4)*IF(B25=1,1,IF(B25=2,Допущения!$B$8,Допущения!$B$9))</f>
        <v>1276000</v>
      </c>
      <c r="I25" s="8" t="n">
        <f aca="false">(D25*Допущения!$B$2*Допущения!$B$5+E25*Допущения!$B$3*Допущения!$B$6+F25*Допущения!$B$4*Допущения!$B$7)*IF(B25=1,1,IF(B25=2,Допущения!$B$8,Допущения!$B$9))</f>
        <v>447700</v>
      </c>
      <c r="J25" s="8" t="n">
        <f aca="false">H25-I25</f>
        <v>828300</v>
      </c>
      <c r="K25" s="8" t="n">
        <f aca="false">INDEX(Допущения!$B$10:$B$14, C25)+G25*Допущения!$B$15</f>
        <v>240000</v>
      </c>
      <c r="L25" s="8" t="n">
        <f aca="false">IF(R25&gt;Допущения!$B$20,H25*Допущения!$B$21,0)</f>
        <v>0</v>
      </c>
      <c r="M25" s="8" t="n">
        <f aca="false">(H25-L25)*Допущения!$B$16+MAX(0,H25-L25-Допущения!$B$18)*Допущения!$B$17+Допущения!$B$19</f>
        <v>93870</v>
      </c>
      <c r="N25" s="8" t="n">
        <f aca="false">J25-K25-L25-M25</f>
        <v>494430</v>
      </c>
      <c r="O25" s="8" t="n">
        <f aca="false">MAX(0,N25)*Допущения!$B$22</f>
        <v>346101</v>
      </c>
      <c r="P25" s="10" t="n">
        <f aca="false">MAX(0,D25*Допущения!$B$23+E25*Допущения!$B$24+F25*Допущения!$B$25-G25*Допущения!$B$27)+Допущения!$B$26</f>
        <v>58</v>
      </c>
      <c r="Q25" s="9" t="n">
        <f aca="false">P25/4.33</f>
        <v>13.3949191685912</v>
      </c>
      <c r="R25" s="8" t="n">
        <f aca="false">SUM(H2:H13)</f>
        <v>4980900</v>
      </c>
    </row>
    <row r="26" customFormat="false" ht="15" hidden="false" customHeight="false" outlineLevel="0" collapsed="false">
      <c r="A26" s="0" t="n">
        <v>25</v>
      </c>
      <c r="B26" s="0" t="n">
        <f aca="false">INT((A26-1)/12)+1</f>
        <v>3</v>
      </c>
      <c r="C26" s="0" t="n">
        <f aca="false">IF(A26&lt;=3,1,IF(A26&lt;=6,2,IF(A26&lt;=12,3,IF(A26&lt;=24,4,5))))</f>
        <v>5</v>
      </c>
      <c r="D26" s="0" t="n">
        <f aca="false">INDEX(Объёмы!$B$8:$F$8,C26)</f>
        <v>3</v>
      </c>
      <c r="E26" s="0" t="n">
        <f aca="false">INDEX(Объёмы!$B$9:$F$9,C26)</f>
        <v>1.5</v>
      </c>
      <c r="F26" s="0" t="n">
        <f aca="false">INDEX(Объёмы!$B$10:$F$10,C26)</f>
        <v>6</v>
      </c>
      <c r="G26" s="0" t="n">
        <f aca="false">INDEX(Объёмы!$B$11:$F$11,C26)</f>
        <v>2</v>
      </c>
      <c r="H26" s="8" t="n">
        <f aca="false">(D26*Допущения!$B$2+E26*Допущения!$B$3+F26*Допущения!$B$4)*IF(B26=1,1,IF(B26=2,Допущения!$B$8,Допущения!$B$9))</f>
        <v>2088000</v>
      </c>
      <c r="I26" s="8" t="n">
        <f aca="false">(D26*Допущения!$B$2*Допущения!$B$5+E26*Допущения!$B$3*Допущения!$B$6+F26*Допущения!$B$4*Допущения!$B$7)*IF(B26=1,1,IF(B26=2,Допущения!$B$8,Допущения!$B$9))</f>
        <v>732600</v>
      </c>
      <c r="J26" s="8" t="n">
        <f aca="false">H26-I26</f>
        <v>1355400</v>
      </c>
      <c r="K26" s="8" t="n">
        <f aca="false">INDEX(Допущения!$B$10:$B$14, C26)+G26*Допущения!$B$15</f>
        <v>430000</v>
      </c>
      <c r="L26" s="8" t="n">
        <f aca="false">IF(R26&gt;Допущения!$B$20,H26*Допущения!$B$21,0)</f>
        <v>0</v>
      </c>
      <c r="M26" s="8" t="n">
        <f aca="false">(H26-L26)*Допущения!$B$16+MAX(0,H26-L26-Допущения!$B$18)*Допущения!$B$17+Допущения!$B$19</f>
        <v>150710</v>
      </c>
      <c r="N26" s="8" t="n">
        <f aca="false">J26-K26-L26-M26</f>
        <v>774690</v>
      </c>
      <c r="O26" s="8" t="n">
        <f aca="false">MAX(0,N26)*Допущения!$B$22</f>
        <v>542283</v>
      </c>
      <c r="P26" s="10" t="n">
        <f aca="false">MAX(0,D26*Допущения!$B$23+E26*Допущения!$B$24+F26*Допущения!$B$25-G26*Допущения!$B$27)+Допущения!$B$26</f>
        <v>59</v>
      </c>
      <c r="Q26" s="9" t="n">
        <f aca="false">P26/4.33</f>
        <v>13.6258660508083</v>
      </c>
      <c r="R26" s="8" t="n">
        <f aca="false">SUM(H14:H25)</f>
        <v>15312000</v>
      </c>
    </row>
    <row r="27" customFormat="false" ht="15" hidden="false" customHeight="false" outlineLevel="0" collapsed="false">
      <c r="A27" s="0" t="n">
        <v>26</v>
      </c>
      <c r="B27" s="0" t="n">
        <f aca="false">INT((A27-1)/12)+1</f>
        <v>3</v>
      </c>
      <c r="C27" s="0" t="n">
        <f aca="false">IF(A27&lt;=3,1,IF(A27&lt;=6,2,IF(A27&lt;=12,3,IF(A27&lt;=24,4,5))))</f>
        <v>5</v>
      </c>
      <c r="D27" s="0" t="n">
        <f aca="false">INDEX(Объёмы!$B$8:$F$8,C27)</f>
        <v>3</v>
      </c>
      <c r="E27" s="0" t="n">
        <f aca="false">INDEX(Объёмы!$B$9:$F$9,C27)</f>
        <v>1.5</v>
      </c>
      <c r="F27" s="0" t="n">
        <f aca="false">INDEX(Объёмы!$B$10:$F$10,C27)</f>
        <v>6</v>
      </c>
      <c r="G27" s="0" t="n">
        <f aca="false">INDEX(Объёмы!$B$11:$F$11,C27)</f>
        <v>2</v>
      </c>
      <c r="H27" s="8" t="n">
        <f aca="false">(D27*Допущения!$B$2+E27*Допущения!$B$3+F27*Допущения!$B$4)*IF(B27=1,1,IF(B27=2,Допущения!$B$8,Допущения!$B$9))</f>
        <v>2088000</v>
      </c>
      <c r="I27" s="8" t="n">
        <f aca="false">(D27*Допущения!$B$2*Допущения!$B$5+E27*Допущения!$B$3*Допущения!$B$6+F27*Допущения!$B$4*Допущения!$B$7)*IF(B27=1,1,IF(B27=2,Допущения!$B$8,Допущения!$B$9))</f>
        <v>732600</v>
      </c>
      <c r="J27" s="8" t="n">
        <f aca="false">H27-I27</f>
        <v>1355400</v>
      </c>
      <c r="K27" s="8" t="n">
        <f aca="false">INDEX(Допущения!$B$10:$B$14, C27)+G27*Допущения!$B$15</f>
        <v>430000</v>
      </c>
      <c r="L27" s="8" t="n">
        <f aca="false">IF(R27&gt;Допущения!$B$20,H27*Допущения!$B$21,0)</f>
        <v>0</v>
      </c>
      <c r="M27" s="8" t="n">
        <f aca="false">(H27-L27)*Допущения!$B$16+MAX(0,H27-L27-Допущения!$B$18)*Допущения!$B$17+Допущения!$B$19</f>
        <v>150710</v>
      </c>
      <c r="N27" s="8" t="n">
        <f aca="false">J27-K27-L27-M27</f>
        <v>774690</v>
      </c>
      <c r="O27" s="8" t="n">
        <f aca="false">MAX(0,N27)*Допущения!$B$22</f>
        <v>542283</v>
      </c>
      <c r="P27" s="10" t="n">
        <f aca="false">MAX(0,D27*Допущения!$B$23+E27*Допущения!$B$24+F27*Допущения!$B$25-G27*Допущения!$B$27)+Допущения!$B$26</f>
        <v>59</v>
      </c>
      <c r="Q27" s="9" t="n">
        <f aca="false">P27/4.33</f>
        <v>13.6258660508083</v>
      </c>
      <c r="R27" s="8" t="n">
        <f aca="false">SUM(H14:H25)</f>
        <v>15312000</v>
      </c>
    </row>
    <row r="28" customFormat="false" ht="15" hidden="false" customHeight="false" outlineLevel="0" collapsed="false">
      <c r="A28" s="0" t="n">
        <v>27</v>
      </c>
      <c r="B28" s="0" t="n">
        <f aca="false">INT((A28-1)/12)+1</f>
        <v>3</v>
      </c>
      <c r="C28" s="0" t="n">
        <f aca="false">IF(A28&lt;=3,1,IF(A28&lt;=6,2,IF(A28&lt;=12,3,IF(A28&lt;=24,4,5))))</f>
        <v>5</v>
      </c>
      <c r="D28" s="0" t="n">
        <f aca="false">INDEX(Объёмы!$B$8:$F$8,C28)</f>
        <v>3</v>
      </c>
      <c r="E28" s="0" t="n">
        <f aca="false">INDEX(Объёмы!$B$9:$F$9,C28)</f>
        <v>1.5</v>
      </c>
      <c r="F28" s="0" t="n">
        <f aca="false">INDEX(Объёмы!$B$10:$F$10,C28)</f>
        <v>6</v>
      </c>
      <c r="G28" s="0" t="n">
        <f aca="false">INDEX(Объёмы!$B$11:$F$11,C28)</f>
        <v>2</v>
      </c>
      <c r="H28" s="8" t="n">
        <f aca="false">(D28*Допущения!$B$2+E28*Допущения!$B$3+F28*Допущения!$B$4)*IF(B28=1,1,IF(B28=2,Допущения!$B$8,Допущения!$B$9))</f>
        <v>2088000</v>
      </c>
      <c r="I28" s="8" t="n">
        <f aca="false">(D28*Допущения!$B$2*Допущения!$B$5+E28*Допущения!$B$3*Допущения!$B$6+F28*Допущения!$B$4*Допущения!$B$7)*IF(B28=1,1,IF(B28=2,Допущения!$B$8,Допущения!$B$9))</f>
        <v>732600</v>
      </c>
      <c r="J28" s="8" t="n">
        <f aca="false">H28-I28</f>
        <v>1355400</v>
      </c>
      <c r="K28" s="8" t="n">
        <f aca="false">INDEX(Допущения!$B$10:$B$14, C28)+G28*Допущения!$B$15</f>
        <v>430000</v>
      </c>
      <c r="L28" s="8" t="n">
        <f aca="false">IF(R28&gt;Допущения!$B$20,H28*Допущения!$B$21,0)</f>
        <v>0</v>
      </c>
      <c r="M28" s="8" t="n">
        <f aca="false">(H28-L28)*Допущения!$B$16+MAX(0,H28-L28-Допущения!$B$18)*Допущения!$B$17+Допущения!$B$19</f>
        <v>150710</v>
      </c>
      <c r="N28" s="8" t="n">
        <f aca="false">J28-K28-L28-M28</f>
        <v>774690</v>
      </c>
      <c r="O28" s="8" t="n">
        <f aca="false">MAX(0,N28)*Допущения!$B$22</f>
        <v>542283</v>
      </c>
      <c r="P28" s="10" t="n">
        <f aca="false">MAX(0,D28*Допущения!$B$23+E28*Допущения!$B$24+F28*Допущения!$B$25-G28*Допущения!$B$27)+Допущения!$B$26</f>
        <v>59</v>
      </c>
      <c r="Q28" s="9" t="n">
        <f aca="false">P28/4.33</f>
        <v>13.6258660508083</v>
      </c>
      <c r="R28" s="8" t="n">
        <f aca="false">SUM(H14:H25)</f>
        <v>15312000</v>
      </c>
    </row>
    <row r="29" customFormat="false" ht="15" hidden="false" customHeight="false" outlineLevel="0" collapsed="false">
      <c r="A29" s="0" t="n">
        <v>28</v>
      </c>
      <c r="B29" s="0" t="n">
        <f aca="false">INT((A29-1)/12)+1</f>
        <v>3</v>
      </c>
      <c r="C29" s="0" t="n">
        <f aca="false">IF(A29&lt;=3,1,IF(A29&lt;=6,2,IF(A29&lt;=12,3,IF(A29&lt;=24,4,5))))</f>
        <v>5</v>
      </c>
      <c r="D29" s="0" t="n">
        <f aca="false">INDEX(Объёмы!$B$8:$F$8,C29)</f>
        <v>3</v>
      </c>
      <c r="E29" s="0" t="n">
        <f aca="false">INDEX(Объёмы!$B$9:$F$9,C29)</f>
        <v>1.5</v>
      </c>
      <c r="F29" s="0" t="n">
        <f aca="false">INDEX(Объёмы!$B$10:$F$10,C29)</f>
        <v>6</v>
      </c>
      <c r="G29" s="0" t="n">
        <f aca="false">INDEX(Объёмы!$B$11:$F$11,C29)</f>
        <v>2</v>
      </c>
      <c r="H29" s="8" t="n">
        <f aca="false">(D29*Допущения!$B$2+E29*Допущения!$B$3+F29*Допущения!$B$4)*IF(B29=1,1,IF(B29=2,Допущения!$B$8,Допущения!$B$9))</f>
        <v>2088000</v>
      </c>
      <c r="I29" s="8" t="n">
        <f aca="false">(D29*Допущения!$B$2*Допущения!$B$5+E29*Допущения!$B$3*Допущения!$B$6+F29*Допущения!$B$4*Допущения!$B$7)*IF(B29=1,1,IF(B29=2,Допущения!$B$8,Допущения!$B$9))</f>
        <v>732600</v>
      </c>
      <c r="J29" s="8" t="n">
        <f aca="false">H29-I29</f>
        <v>1355400</v>
      </c>
      <c r="K29" s="8" t="n">
        <f aca="false">INDEX(Допущения!$B$10:$B$14, C29)+G29*Допущения!$B$15</f>
        <v>430000</v>
      </c>
      <c r="L29" s="8" t="n">
        <f aca="false">IF(R29&gt;Допущения!$B$20,H29*Допущения!$B$21,0)</f>
        <v>0</v>
      </c>
      <c r="M29" s="8" t="n">
        <f aca="false">(H29-L29)*Допущения!$B$16+MAX(0,H29-L29-Допущения!$B$18)*Допущения!$B$17+Допущения!$B$19</f>
        <v>150710</v>
      </c>
      <c r="N29" s="8" t="n">
        <f aca="false">J29-K29-L29-M29</f>
        <v>774690</v>
      </c>
      <c r="O29" s="8" t="n">
        <f aca="false">MAX(0,N29)*Допущения!$B$22</f>
        <v>542283</v>
      </c>
      <c r="P29" s="10" t="n">
        <f aca="false">MAX(0,D29*Допущения!$B$23+E29*Допущения!$B$24+F29*Допущения!$B$25-G29*Допущения!$B$27)+Допущения!$B$26</f>
        <v>59</v>
      </c>
      <c r="Q29" s="9" t="n">
        <f aca="false">P29/4.33</f>
        <v>13.6258660508083</v>
      </c>
      <c r="R29" s="8" t="n">
        <f aca="false">SUM(H14:H25)</f>
        <v>15312000</v>
      </c>
    </row>
    <row r="30" customFormat="false" ht="15" hidden="false" customHeight="false" outlineLevel="0" collapsed="false">
      <c r="A30" s="0" t="n">
        <v>29</v>
      </c>
      <c r="B30" s="0" t="n">
        <f aca="false">INT((A30-1)/12)+1</f>
        <v>3</v>
      </c>
      <c r="C30" s="0" t="n">
        <f aca="false">IF(A30&lt;=3,1,IF(A30&lt;=6,2,IF(A30&lt;=12,3,IF(A30&lt;=24,4,5))))</f>
        <v>5</v>
      </c>
      <c r="D30" s="0" t="n">
        <f aca="false">INDEX(Объёмы!$B$8:$F$8,C30)</f>
        <v>3</v>
      </c>
      <c r="E30" s="0" t="n">
        <f aca="false">INDEX(Объёмы!$B$9:$F$9,C30)</f>
        <v>1.5</v>
      </c>
      <c r="F30" s="0" t="n">
        <f aca="false">INDEX(Объёмы!$B$10:$F$10,C30)</f>
        <v>6</v>
      </c>
      <c r="G30" s="0" t="n">
        <f aca="false">INDEX(Объёмы!$B$11:$F$11,C30)</f>
        <v>2</v>
      </c>
      <c r="H30" s="8" t="n">
        <f aca="false">(D30*Допущения!$B$2+E30*Допущения!$B$3+F30*Допущения!$B$4)*IF(B30=1,1,IF(B30=2,Допущения!$B$8,Допущения!$B$9))</f>
        <v>2088000</v>
      </c>
      <c r="I30" s="8" t="n">
        <f aca="false">(D30*Допущения!$B$2*Допущения!$B$5+E30*Допущения!$B$3*Допущения!$B$6+F30*Допущения!$B$4*Допущения!$B$7)*IF(B30=1,1,IF(B30=2,Допущения!$B$8,Допущения!$B$9))</f>
        <v>732600</v>
      </c>
      <c r="J30" s="8" t="n">
        <f aca="false">H30-I30</f>
        <v>1355400</v>
      </c>
      <c r="K30" s="8" t="n">
        <f aca="false">INDEX(Допущения!$B$10:$B$14, C30)+G30*Допущения!$B$15</f>
        <v>430000</v>
      </c>
      <c r="L30" s="8" t="n">
        <f aca="false">IF(R30&gt;Допущения!$B$20,H30*Допущения!$B$21,0)</f>
        <v>0</v>
      </c>
      <c r="M30" s="8" t="n">
        <f aca="false">(H30-L30)*Допущения!$B$16+MAX(0,H30-L30-Допущения!$B$18)*Допущения!$B$17+Допущения!$B$19</f>
        <v>150710</v>
      </c>
      <c r="N30" s="8" t="n">
        <f aca="false">J30-K30-L30-M30</f>
        <v>774690</v>
      </c>
      <c r="O30" s="8" t="n">
        <f aca="false">MAX(0,N30)*Допущения!$B$22</f>
        <v>542283</v>
      </c>
      <c r="P30" s="10" t="n">
        <f aca="false">MAX(0,D30*Допущения!$B$23+E30*Допущения!$B$24+F30*Допущения!$B$25-G30*Допущения!$B$27)+Допущения!$B$26</f>
        <v>59</v>
      </c>
      <c r="Q30" s="9" t="n">
        <f aca="false">P30/4.33</f>
        <v>13.6258660508083</v>
      </c>
      <c r="R30" s="8" t="n">
        <f aca="false">SUM(H14:H25)</f>
        <v>15312000</v>
      </c>
    </row>
    <row r="31" customFormat="false" ht="15" hidden="false" customHeight="false" outlineLevel="0" collapsed="false">
      <c r="A31" s="0" t="n">
        <v>30</v>
      </c>
      <c r="B31" s="0" t="n">
        <f aca="false">INT((A31-1)/12)+1</f>
        <v>3</v>
      </c>
      <c r="C31" s="0" t="n">
        <f aca="false">IF(A31&lt;=3,1,IF(A31&lt;=6,2,IF(A31&lt;=12,3,IF(A31&lt;=24,4,5))))</f>
        <v>5</v>
      </c>
      <c r="D31" s="0" t="n">
        <f aca="false">INDEX(Объёмы!$B$8:$F$8,C31)</f>
        <v>3</v>
      </c>
      <c r="E31" s="0" t="n">
        <f aca="false">INDEX(Объёмы!$B$9:$F$9,C31)</f>
        <v>1.5</v>
      </c>
      <c r="F31" s="0" t="n">
        <f aca="false">INDEX(Объёмы!$B$10:$F$10,C31)</f>
        <v>6</v>
      </c>
      <c r="G31" s="0" t="n">
        <f aca="false">INDEX(Объёмы!$B$11:$F$11,C31)</f>
        <v>2</v>
      </c>
      <c r="H31" s="8" t="n">
        <f aca="false">(D31*Допущения!$B$2+E31*Допущения!$B$3+F31*Допущения!$B$4)*IF(B31=1,1,IF(B31=2,Допущения!$B$8,Допущения!$B$9))</f>
        <v>2088000</v>
      </c>
      <c r="I31" s="8" t="n">
        <f aca="false">(D31*Допущения!$B$2*Допущения!$B$5+E31*Допущения!$B$3*Допущения!$B$6+F31*Допущения!$B$4*Допущения!$B$7)*IF(B31=1,1,IF(B31=2,Допущения!$B$8,Допущения!$B$9))</f>
        <v>732600</v>
      </c>
      <c r="J31" s="8" t="n">
        <f aca="false">H31-I31</f>
        <v>1355400</v>
      </c>
      <c r="K31" s="8" t="n">
        <f aca="false">INDEX(Допущения!$B$10:$B$14, C31)+G31*Допущения!$B$15</f>
        <v>430000</v>
      </c>
      <c r="L31" s="8" t="n">
        <f aca="false">IF(R31&gt;Допущения!$B$20,H31*Допущения!$B$21,0)</f>
        <v>0</v>
      </c>
      <c r="M31" s="8" t="n">
        <f aca="false">(H31-L31)*Допущения!$B$16+MAX(0,H31-L31-Допущения!$B$18)*Допущения!$B$17+Допущения!$B$19</f>
        <v>150710</v>
      </c>
      <c r="N31" s="8" t="n">
        <f aca="false">J31-K31-L31-M31</f>
        <v>774690</v>
      </c>
      <c r="O31" s="8" t="n">
        <f aca="false">MAX(0,N31)*Допущения!$B$22</f>
        <v>542283</v>
      </c>
      <c r="P31" s="10" t="n">
        <f aca="false">MAX(0,D31*Допущения!$B$23+E31*Допущения!$B$24+F31*Допущения!$B$25-G31*Допущения!$B$27)+Допущения!$B$26</f>
        <v>59</v>
      </c>
      <c r="Q31" s="9" t="n">
        <f aca="false">P31/4.33</f>
        <v>13.6258660508083</v>
      </c>
      <c r="R31" s="8" t="n">
        <f aca="false">SUM(H14:H25)</f>
        <v>15312000</v>
      </c>
    </row>
    <row r="32" customFormat="false" ht="15" hidden="false" customHeight="false" outlineLevel="0" collapsed="false">
      <c r="A32" s="0" t="n">
        <v>31</v>
      </c>
      <c r="B32" s="0" t="n">
        <f aca="false">INT((A32-1)/12)+1</f>
        <v>3</v>
      </c>
      <c r="C32" s="0" t="n">
        <f aca="false">IF(A32&lt;=3,1,IF(A32&lt;=6,2,IF(A32&lt;=12,3,IF(A32&lt;=24,4,5))))</f>
        <v>5</v>
      </c>
      <c r="D32" s="0" t="n">
        <f aca="false">INDEX(Объёмы!$B$8:$F$8,C32)</f>
        <v>3</v>
      </c>
      <c r="E32" s="0" t="n">
        <f aca="false">INDEX(Объёмы!$B$9:$F$9,C32)</f>
        <v>1.5</v>
      </c>
      <c r="F32" s="0" t="n">
        <f aca="false">INDEX(Объёмы!$B$10:$F$10,C32)</f>
        <v>6</v>
      </c>
      <c r="G32" s="0" t="n">
        <f aca="false">INDEX(Объёмы!$B$11:$F$11,C32)</f>
        <v>2</v>
      </c>
      <c r="H32" s="8" t="n">
        <f aca="false">(D32*Допущения!$B$2+E32*Допущения!$B$3+F32*Допущения!$B$4)*IF(B32=1,1,IF(B32=2,Допущения!$B$8,Допущения!$B$9))</f>
        <v>2088000</v>
      </c>
      <c r="I32" s="8" t="n">
        <f aca="false">(D32*Допущения!$B$2*Допущения!$B$5+E32*Допущения!$B$3*Допущения!$B$6+F32*Допущения!$B$4*Допущения!$B$7)*IF(B32=1,1,IF(B32=2,Допущения!$B$8,Допущения!$B$9))</f>
        <v>732600</v>
      </c>
      <c r="J32" s="8" t="n">
        <f aca="false">H32-I32</f>
        <v>1355400</v>
      </c>
      <c r="K32" s="8" t="n">
        <f aca="false">INDEX(Допущения!$B$10:$B$14, C32)+G32*Допущения!$B$15</f>
        <v>430000</v>
      </c>
      <c r="L32" s="8" t="n">
        <f aca="false">IF(R32&gt;Допущения!$B$20,H32*Допущения!$B$21,0)</f>
        <v>0</v>
      </c>
      <c r="M32" s="8" t="n">
        <f aca="false">(H32-L32)*Допущения!$B$16+MAX(0,H32-L32-Допущения!$B$18)*Допущения!$B$17+Допущения!$B$19</f>
        <v>150710</v>
      </c>
      <c r="N32" s="8" t="n">
        <f aca="false">J32-K32-L32-M32</f>
        <v>774690</v>
      </c>
      <c r="O32" s="8" t="n">
        <f aca="false">MAX(0,N32)*Допущения!$B$22</f>
        <v>542283</v>
      </c>
      <c r="P32" s="10" t="n">
        <f aca="false">MAX(0,D32*Допущения!$B$23+E32*Допущения!$B$24+F32*Допущения!$B$25-G32*Допущения!$B$27)+Допущения!$B$26</f>
        <v>59</v>
      </c>
      <c r="Q32" s="9" t="n">
        <f aca="false">P32/4.33</f>
        <v>13.6258660508083</v>
      </c>
      <c r="R32" s="8" t="n">
        <f aca="false">SUM(H14:H25)</f>
        <v>15312000</v>
      </c>
    </row>
    <row r="33" customFormat="false" ht="15" hidden="false" customHeight="false" outlineLevel="0" collapsed="false">
      <c r="A33" s="0" t="n">
        <v>32</v>
      </c>
      <c r="B33" s="0" t="n">
        <f aca="false">INT((A33-1)/12)+1</f>
        <v>3</v>
      </c>
      <c r="C33" s="0" t="n">
        <f aca="false">IF(A33&lt;=3,1,IF(A33&lt;=6,2,IF(A33&lt;=12,3,IF(A33&lt;=24,4,5))))</f>
        <v>5</v>
      </c>
      <c r="D33" s="0" t="n">
        <f aca="false">INDEX(Объёмы!$B$8:$F$8,C33)</f>
        <v>3</v>
      </c>
      <c r="E33" s="0" t="n">
        <f aca="false">INDEX(Объёмы!$B$9:$F$9,C33)</f>
        <v>1.5</v>
      </c>
      <c r="F33" s="0" t="n">
        <f aca="false">INDEX(Объёмы!$B$10:$F$10,C33)</f>
        <v>6</v>
      </c>
      <c r="G33" s="0" t="n">
        <f aca="false">INDEX(Объёмы!$B$11:$F$11,C33)</f>
        <v>2</v>
      </c>
      <c r="H33" s="8" t="n">
        <f aca="false">(D33*Допущения!$B$2+E33*Допущения!$B$3+F33*Допущения!$B$4)*IF(B33=1,1,IF(B33=2,Допущения!$B$8,Допущения!$B$9))</f>
        <v>2088000</v>
      </c>
      <c r="I33" s="8" t="n">
        <f aca="false">(D33*Допущения!$B$2*Допущения!$B$5+E33*Допущения!$B$3*Допущения!$B$6+F33*Допущения!$B$4*Допущения!$B$7)*IF(B33=1,1,IF(B33=2,Допущения!$B$8,Допущения!$B$9))</f>
        <v>732600</v>
      </c>
      <c r="J33" s="8" t="n">
        <f aca="false">H33-I33</f>
        <v>1355400</v>
      </c>
      <c r="K33" s="8" t="n">
        <f aca="false">INDEX(Допущения!$B$10:$B$14, C33)+G33*Допущения!$B$15</f>
        <v>430000</v>
      </c>
      <c r="L33" s="8" t="n">
        <f aca="false">IF(R33&gt;Допущения!$B$20,H33*Допущения!$B$21,0)</f>
        <v>0</v>
      </c>
      <c r="M33" s="8" t="n">
        <f aca="false">(H33-L33)*Допущения!$B$16+MAX(0,H33-L33-Допущения!$B$18)*Допущения!$B$17+Допущения!$B$19</f>
        <v>150710</v>
      </c>
      <c r="N33" s="8" t="n">
        <f aca="false">J33-K33-L33-M33</f>
        <v>774690</v>
      </c>
      <c r="O33" s="8" t="n">
        <f aca="false">MAX(0,N33)*Допущения!$B$22</f>
        <v>542283</v>
      </c>
      <c r="P33" s="10" t="n">
        <f aca="false">MAX(0,D33*Допущения!$B$23+E33*Допущения!$B$24+F33*Допущения!$B$25-G33*Допущения!$B$27)+Допущения!$B$26</f>
        <v>59</v>
      </c>
      <c r="Q33" s="9" t="n">
        <f aca="false">P33/4.33</f>
        <v>13.6258660508083</v>
      </c>
      <c r="R33" s="8" t="n">
        <f aca="false">SUM(H14:H25)</f>
        <v>15312000</v>
      </c>
    </row>
    <row r="34" customFormat="false" ht="15" hidden="false" customHeight="false" outlineLevel="0" collapsed="false">
      <c r="A34" s="0" t="n">
        <v>33</v>
      </c>
      <c r="B34" s="0" t="n">
        <f aca="false">INT((A34-1)/12)+1</f>
        <v>3</v>
      </c>
      <c r="C34" s="0" t="n">
        <f aca="false">IF(A34&lt;=3,1,IF(A34&lt;=6,2,IF(A34&lt;=12,3,IF(A34&lt;=24,4,5))))</f>
        <v>5</v>
      </c>
      <c r="D34" s="0" t="n">
        <f aca="false">INDEX(Объёмы!$B$8:$F$8,C34)</f>
        <v>3</v>
      </c>
      <c r="E34" s="0" t="n">
        <f aca="false">INDEX(Объёмы!$B$9:$F$9,C34)</f>
        <v>1.5</v>
      </c>
      <c r="F34" s="0" t="n">
        <f aca="false">INDEX(Объёмы!$B$10:$F$10,C34)</f>
        <v>6</v>
      </c>
      <c r="G34" s="0" t="n">
        <f aca="false">INDEX(Объёмы!$B$11:$F$11,C34)</f>
        <v>2</v>
      </c>
      <c r="H34" s="8" t="n">
        <f aca="false">(D34*Допущения!$B$2+E34*Допущения!$B$3+F34*Допущения!$B$4)*IF(B34=1,1,IF(B34=2,Допущения!$B$8,Допущения!$B$9))</f>
        <v>2088000</v>
      </c>
      <c r="I34" s="8" t="n">
        <f aca="false">(D34*Допущения!$B$2*Допущения!$B$5+E34*Допущения!$B$3*Допущения!$B$6+F34*Допущения!$B$4*Допущения!$B$7)*IF(B34=1,1,IF(B34=2,Допущения!$B$8,Допущения!$B$9))</f>
        <v>732600</v>
      </c>
      <c r="J34" s="8" t="n">
        <f aca="false">H34-I34</f>
        <v>1355400</v>
      </c>
      <c r="K34" s="8" t="n">
        <f aca="false">INDEX(Допущения!$B$10:$B$14, C34)+G34*Допущения!$B$15</f>
        <v>430000</v>
      </c>
      <c r="L34" s="8" t="n">
        <f aca="false">IF(R34&gt;Допущения!$B$20,H34*Допущения!$B$21,0)</f>
        <v>0</v>
      </c>
      <c r="M34" s="8" t="n">
        <f aca="false">(H34-L34)*Допущения!$B$16+MAX(0,H34-L34-Допущения!$B$18)*Допущения!$B$17+Допущения!$B$19</f>
        <v>150710</v>
      </c>
      <c r="N34" s="8" t="n">
        <f aca="false">J34-K34-L34-M34</f>
        <v>774690</v>
      </c>
      <c r="O34" s="8" t="n">
        <f aca="false">MAX(0,N34)*Допущения!$B$22</f>
        <v>542283</v>
      </c>
      <c r="P34" s="10" t="n">
        <f aca="false">MAX(0,D34*Допущения!$B$23+E34*Допущения!$B$24+F34*Допущения!$B$25-G34*Допущения!$B$27)+Допущения!$B$26</f>
        <v>59</v>
      </c>
      <c r="Q34" s="9" t="n">
        <f aca="false">P34/4.33</f>
        <v>13.6258660508083</v>
      </c>
      <c r="R34" s="8" t="n">
        <f aca="false">SUM(H14:H25)</f>
        <v>15312000</v>
      </c>
    </row>
    <row r="35" customFormat="false" ht="15" hidden="false" customHeight="false" outlineLevel="0" collapsed="false">
      <c r="A35" s="0" t="n">
        <v>34</v>
      </c>
      <c r="B35" s="0" t="n">
        <f aca="false">INT((A35-1)/12)+1</f>
        <v>3</v>
      </c>
      <c r="C35" s="0" t="n">
        <f aca="false">IF(A35&lt;=3,1,IF(A35&lt;=6,2,IF(A35&lt;=12,3,IF(A35&lt;=24,4,5))))</f>
        <v>5</v>
      </c>
      <c r="D35" s="0" t="n">
        <f aca="false">INDEX(Объёмы!$B$8:$F$8,C35)</f>
        <v>3</v>
      </c>
      <c r="E35" s="0" t="n">
        <f aca="false">INDEX(Объёмы!$B$9:$F$9,C35)</f>
        <v>1.5</v>
      </c>
      <c r="F35" s="0" t="n">
        <f aca="false">INDEX(Объёмы!$B$10:$F$10,C35)</f>
        <v>6</v>
      </c>
      <c r="G35" s="0" t="n">
        <f aca="false">INDEX(Объёмы!$B$11:$F$11,C35)</f>
        <v>2</v>
      </c>
      <c r="H35" s="8" t="n">
        <f aca="false">(D35*Допущения!$B$2+E35*Допущения!$B$3+F35*Допущения!$B$4)*IF(B35=1,1,IF(B35=2,Допущения!$B$8,Допущения!$B$9))</f>
        <v>2088000</v>
      </c>
      <c r="I35" s="8" t="n">
        <f aca="false">(D35*Допущения!$B$2*Допущения!$B$5+E35*Допущения!$B$3*Допущения!$B$6+F35*Допущения!$B$4*Допущения!$B$7)*IF(B35=1,1,IF(B35=2,Допущения!$B$8,Допущения!$B$9))</f>
        <v>732600</v>
      </c>
      <c r="J35" s="8" t="n">
        <f aca="false">H35-I35</f>
        <v>1355400</v>
      </c>
      <c r="K35" s="8" t="n">
        <f aca="false">INDEX(Допущения!$B$10:$B$14, C35)+G35*Допущения!$B$15</f>
        <v>430000</v>
      </c>
      <c r="L35" s="8" t="n">
        <f aca="false">IF(R35&gt;Допущения!$B$20,H35*Допущения!$B$21,0)</f>
        <v>0</v>
      </c>
      <c r="M35" s="8" t="n">
        <f aca="false">(H35-L35)*Допущения!$B$16+MAX(0,H35-L35-Допущения!$B$18)*Допущения!$B$17+Допущения!$B$19</f>
        <v>150710</v>
      </c>
      <c r="N35" s="8" t="n">
        <f aca="false">J35-K35-L35-M35</f>
        <v>774690</v>
      </c>
      <c r="O35" s="8" t="n">
        <f aca="false">MAX(0,N35)*Допущения!$B$22</f>
        <v>542283</v>
      </c>
      <c r="P35" s="10" t="n">
        <f aca="false">MAX(0,D35*Допущения!$B$23+E35*Допущения!$B$24+F35*Допущения!$B$25-G35*Допущения!$B$27)+Допущения!$B$26</f>
        <v>59</v>
      </c>
      <c r="Q35" s="9" t="n">
        <f aca="false">P35/4.33</f>
        <v>13.6258660508083</v>
      </c>
      <c r="R35" s="8" t="n">
        <f aca="false">SUM(H14:H25)</f>
        <v>15312000</v>
      </c>
    </row>
    <row r="36" customFormat="false" ht="15" hidden="false" customHeight="false" outlineLevel="0" collapsed="false">
      <c r="A36" s="0" t="n">
        <v>35</v>
      </c>
      <c r="B36" s="0" t="n">
        <f aca="false">INT((A36-1)/12)+1</f>
        <v>3</v>
      </c>
      <c r="C36" s="0" t="n">
        <f aca="false">IF(A36&lt;=3,1,IF(A36&lt;=6,2,IF(A36&lt;=12,3,IF(A36&lt;=24,4,5))))</f>
        <v>5</v>
      </c>
      <c r="D36" s="0" t="n">
        <f aca="false">INDEX(Объёмы!$B$8:$F$8,C36)</f>
        <v>3</v>
      </c>
      <c r="E36" s="0" t="n">
        <f aca="false">INDEX(Объёмы!$B$9:$F$9,C36)</f>
        <v>1.5</v>
      </c>
      <c r="F36" s="0" t="n">
        <f aca="false">INDEX(Объёмы!$B$10:$F$10,C36)</f>
        <v>6</v>
      </c>
      <c r="G36" s="0" t="n">
        <f aca="false">INDEX(Объёмы!$B$11:$F$11,C36)</f>
        <v>2</v>
      </c>
      <c r="H36" s="8" t="n">
        <f aca="false">(D36*Допущения!$B$2+E36*Допущения!$B$3+F36*Допущения!$B$4)*IF(B36=1,1,IF(B36=2,Допущения!$B$8,Допущения!$B$9))</f>
        <v>2088000</v>
      </c>
      <c r="I36" s="8" t="n">
        <f aca="false">(D36*Допущения!$B$2*Допущения!$B$5+E36*Допущения!$B$3*Допущения!$B$6+F36*Допущения!$B$4*Допущения!$B$7)*IF(B36=1,1,IF(B36=2,Допущения!$B$8,Допущения!$B$9))</f>
        <v>732600</v>
      </c>
      <c r="J36" s="8" t="n">
        <f aca="false">H36-I36</f>
        <v>1355400</v>
      </c>
      <c r="K36" s="8" t="n">
        <f aca="false">INDEX(Допущения!$B$10:$B$14, C36)+G36*Допущения!$B$15</f>
        <v>430000</v>
      </c>
      <c r="L36" s="8" t="n">
        <f aca="false">IF(R36&gt;Допущения!$B$20,H36*Допущения!$B$21,0)</f>
        <v>0</v>
      </c>
      <c r="M36" s="8" t="n">
        <f aca="false">(H36-L36)*Допущения!$B$16+MAX(0,H36-L36-Допущения!$B$18)*Допущения!$B$17+Допущения!$B$19</f>
        <v>150710</v>
      </c>
      <c r="N36" s="8" t="n">
        <f aca="false">J36-K36-L36-M36</f>
        <v>774690</v>
      </c>
      <c r="O36" s="8" t="n">
        <f aca="false">MAX(0,N36)*Допущения!$B$22</f>
        <v>542283</v>
      </c>
      <c r="P36" s="10" t="n">
        <f aca="false">MAX(0,D36*Допущения!$B$23+E36*Допущения!$B$24+F36*Допущения!$B$25-G36*Допущения!$B$27)+Допущения!$B$26</f>
        <v>59</v>
      </c>
      <c r="Q36" s="9" t="n">
        <f aca="false">P36/4.33</f>
        <v>13.6258660508083</v>
      </c>
      <c r="R36" s="8" t="n">
        <f aca="false">SUM(H14:H25)</f>
        <v>15312000</v>
      </c>
    </row>
    <row r="37" customFormat="false" ht="15" hidden="false" customHeight="false" outlineLevel="0" collapsed="false">
      <c r="A37" s="0" t="n">
        <v>36</v>
      </c>
      <c r="B37" s="0" t="n">
        <f aca="false">INT((A37-1)/12)+1</f>
        <v>3</v>
      </c>
      <c r="C37" s="0" t="n">
        <f aca="false">IF(A37&lt;=3,1,IF(A37&lt;=6,2,IF(A37&lt;=12,3,IF(A37&lt;=24,4,5))))</f>
        <v>5</v>
      </c>
      <c r="D37" s="0" t="n">
        <f aca="false">INDEX(Объёмы!$B$8:$F$8,C37)</f>
        <v>3</v>
      </c>
      <c r="E37" s="0" t="n">
        <f aca="false">INDEX(Объёмы!$B$9:$F$9,C37)</f>
        <v>1.5</v>
      </c>
      <c r="F37" s="0" t="n">
        <f aca="false">INDEX(Объёмы!$B$10:$F$10,C37)</f>
        <v>6</v>
      </c>
      <c r="G37" s="0" t="n">
        <f aca="false">INDEX(Объёмы!$B$11:$F$11,C37)</f>
        <v>2</v>
      </c>
      <c r="H37" s="8" t="n">
        <f aca="false">(D37*Допущения!$B$2+E37*Допущения!$B$3+F37*Допущения!$B$4)*IF(B37=1,1,IF(B37=2,Допущения!$B$8,Допущения!$B$9))</f>
        <v>2088000</v>
      </c>
      <c r="I37" s="8" t="n">
        <f aca="false">(D37*Допущения!$B$2*Допущения!$B$5+E37*Допущения!$B$3*Допущения!$B$6+F37*Допущения!$B$4*Допущения!$B$7)*IF(B37=1,1,IF(B37=2,Допущения!$B$8,Допущения!$B$9))</f>
        <v>732600</v>
      </c>
      <c r="J37" s="8" t="n">
        <f aca="false">H37-I37</f>
        <v>1355400</v>
      </c>
      <c r="K37" s="8" t="n">
        <f aca="false">INDEX(Допущения!$B$10:$B$14, C37)+G37*Допущения!$B$15</f>
        <v>430000</v>
      </c>
      <c r="L37" s="8" t="n">
        <f aca="false">IF(R37&gt;Допущения!$B$20,H37*Допущения!$B$21,0)</f>
        <v>0</v>
      </c>
      <c r="M37" s="8" t="n">
        <f aca="false">(H37-L37)*Допущения!$B$16+MAX(0,H37-L37-Допущения!$B$18)*Допущения!$B$17+Допущения!$B$19</f>
        <v>150710</v>
      </c>
      <c r="N37" s="8" t="n">
        <f aca="false">J37-K37-L37-M37</f>
        <v>774690</v>
      </c>
      <c r="O37" s="8" t="n">
        <f aca="false">MAX(0,N37)*Допущения!$B$22</f>
        <v>542283</v>
      </c>
      <c r="P37" s="10" t="n">
        <f aca="false">MAX(0,D37*Допущения!$B$23+E37*Допущения!$B$24+F37*Допущения!$B$25-G37*Допущения!$B$27)+Допущения!$B$26</f>
        <v>59</v>
      </c>
      <c r="Q37" s="9" t="n">
        <f aca="false">P37/4.33</f>
        <v>13.6258660508083</v>
      </c>
      <c r="R37" s="8" t="n">
        <f aca="false">SUM(H14:H25)</f>
        <v>15312000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8" min="1" style="0" width="14"/>
  </cols>
  <sheetData>
    <row r="1" customFormat="false" ht="41.75" hidden="false" customHeight="false" outlineLevel="0" collapsed="false">
      <c r="A1" s="3" t="s">
        <v>80</v>
      </c>
      <c r="B1" s="3" t="s">
        <v>81</v>
      </c>
      <c r="C1" s="3" t="s">
        <v>82</v>
      </c>
      <c r="D1" s="3" t="s">
        <v>83</v>
      </c>
      <c r="E1" s="3" t="s">
        <v>84</v>
      </c>
      <c r="F1" s="3" t="s">
        <v>85</v>
      </c>
      <c r="G1" s="3" t="s">
        <v>86</v>
      </c>
      <c r="H1" s="3" t="s">
        <v>54</v>
      </c>
      <c r="I1" s="3" t="s">
        <v>55</v>
      </c>
      <c r="J1" s="3" t="s">
        <v>87</v>
      </c>
      <c r="K1" s="3" t="s">
        <v>88</v>
      </c>
      <c r="L1" s="3" t="s">
        <v>89</v>
      </c>
      <c r="M1" s="3" t="s">
        <v>90</v>
      </c>
      <c r="N1" s="3" t="s">
        <v>91</v>
      </c>
      <c r="O1" s="3" t="s">
        <v>92</v>
      </c>
      <c r="P1" s="3" t="s">
        <v>93</v>
      </c>
      <c r="Q1" s="3" t="s">
        <v>94</v>
      </c>
      <c r="R1" s="3" t="s">
        <v>95</v>
      </c>
    </row>
    <row r="2" customFormat="false" ht="15" hidden="false" customHeight="false" outlineLevel="0" collapsed="false">
      <c r="A2" s="0" t="n">
        <v>1</v>
      </c>
      <c r="B2" s="0" t="n">
        <f aca="false">INT((A2-1)/12)+1</f>
        <v>1</v>
      </c>
      <c r="C2" s="0" t="n">
        <f aca="false">IF(A2&lt;=3,1,IF(A2&lt;=6,2,IF(A2&lt;=12,3,IF(A2&lt;=24,4,5))))</f>
        <v>1</v>
      </c>
      <c r="D2" s="0" t="n">
        <f aca="false">INDEX(Объёмы!$B$13:$F$13,C2)</f>
        <v>1</v>
      </c>
      <c r="E2" s="0" t="n">
        <f aca="false">INDEX(Объёмы!$B$14:$F$14,C2)</f>
        <v>0.33</v>
      </c>
      <c r="F2" s="0" t="n">
        <f aca="false">INDEX(Объёмы!$B$15:$F$15,C2)</f>
        <v>0</v>
      </c>
      <c r="G2" s="0" t="n">
        <f aca="false">INDEX(Объёмы!$B$16:$F$16,C2)</f>
        <v>0</v>
      </c>
      <c r="H2" s="8" t="n">
        <f aca="false">(D2*Допущения!$B$2+E2*Допущения!$B$3+F2*Допущения!$B$4)*IF(B2=1,1,IF(B2=2,Допущения!$B$8,Допущения!$B$9))</f>
        <v>228600</v>
      </c>
      <c r="I2" s="8" t="n">
        <f aca="false">(D2*Допущения!$B$2*Допущения!$B$5+E2*Допущения!$B$3*Допущения!$B$6+F2*Допущения!$B$4*Допущения!$B$7)*IF(B2=1,1,IF(B2=2,Допущения!$B$8,Допущения!$B$9))</f>
        <v>66510</v>
      </c>
      <c r="J2" s="8" t="n">
        <f aca="false">H2-I2</f>
        <v>162090</v>
      </c>
      <c r="K2" s="8" t="n">
        <f aca="false">INDEX(Допущения!$B$10:$B$14, C2)+G2*Допущения!$B$15</f>
        <v>35000</v>
      </c>
      <c r="L2" s="8" t="n">
        <f aca="false">IF(R2&gt;Допущения!$B$20,H2*Допущения!$B$21,0)</f>
        <v>0</v>
      </c>
      <c r="M2" s="8" t="n">
        <f aca="false">(H2-L2)*Допущения!$B$16+MAX(0,H2-L2-Допущения!$B$18)*Допущения!$B$17+Допущения!$B$19</f>
        <v>20552</v>
      </c>
      <c r="N2" s="8" t="n">
        <f aca="false">J2-K2-L2-M2</f>
        <v>106538</v>
      </c>
      <c r="O2" s="8" t="n">
        <f aca="false">MAX(0,N2)*Допущения!$B$22</f>
        <v>74576.6</v>
      </c>
      <c r="P2" s="10" t="n">
        <f aca="false">MAX(0,D2*Допущения!$B$23+E2*Допущения!$B$24+F2*Допущения!$B$25-G2*Допущения!$B$27)+Допущения!$B$26</f>
        <v>35.9</v>
      </c>
      <c r="Q2" s="9" t="n">
        <f aca="false">P2/4.33</f>
        <v>8.29099307159353</v>
      </c>
      <c r="R2" s="8" t="n">
        <v>0</v>
      </c>
    </row>
    <row r="3" customFormat="false" ht="15" hidden="false" customHeight="false" outlineLevel="0" collapsed="false">
      <c r="A3" s="0" t="n">
        <v>2</v>
      </c>
      <c r="B3" s="0" t="n">
        <f aca="false">INT((A3-1)/12)+1</f>
        <v>1</v>
      </c>
      <c r="C3" s="0" t="n">
        <f aca="false">IF(A3&lt;=3,1,IF(A3&lt;=6,2,IF(A3&lt;=12,3,IF(A3&lt;=24,4,5))))</f>
        <v>1</v>
      </c>
      <c r="D3" s="0" t="n">
        <f aca="false">INDEX(Объёмы!$B$13:$F$13,C3)</f>
        <v>1</v>
      </c>
      <c r="E3" s="0" t="n">
        <f aca="false">INDEX(Объёмы!$B$14:$F$14,C3)</f>
        <v>0.33</v>
      </c>
      <c r="F3" s="0" t="n">
        <f aca="false">INDEX(Объёмы!$B$15:$F$15,C3)</f>
        <v>0</v>
      </c>
      <c r="G3" s="0" t="n">
        <f aca="false">INDEX(Объёмы!$B$16:$F$16,C3)</f>
        <v>0</v>
      </c>
      <c r="H3" s="8" t="n">
        <f aca="false">(D3*Допущения!$B$2+E3*Допущения!$B$3+F3*Допущения!$B$4)*IF(B3=1,1,IF(B3=2,Допущения!$B$8,Допущения!$B$9))</f>
        <v>228600</v>
      </c>
      <c r="I3" s="8" t="n">
        <f aca="false">(D3*Допущения!$B$2*Допущения!$B$5+E3*Допущения!$B$3*Допущения!$B$6+F3*Допущения!$B$4*Допущения!$B$7)*IF(B3=1,1,IF(B3=2,Допущения!$B$8,Допущения!$B$9))</f>
        <v>66510</v>
      </c>
      <c r="J3" s="8" t="n">
        <f aca="false">H3-I3</f>
        <v>162090</v>
      </c>
      <c r="K3" s="8" t="n">
        <f aca="false">INDEX(Допущения!$B$10:$B$14, C3)+G3*Допущения!$B$15</f>
        <v>35000</v>
      </c>
      <c r="L3" s="8" t="n">
        <f aca="false">IF(R3&gt;Допущения!$B$20,H3*Допущения!$B$21,0)</f>
        <v>0</v>
      </c>
      <c r="M3" s="8" t="n">
        <f aca="false">(H3-L3)*Допущения!$B$16+MAX(0,H3-L3-Допущения!$B$18)*Допущения!$B$17+Допущения!$B$19</f>
        <v>20552</v>
      </c>
      <c r="N3" s="8" t="n">
        <f aca="false">J3-K3-L3-M3</f>
        <v>106538</v>
      </c>
      <c r="O3" s="8" t="n">
        <f aca="false">MAX(0,N3)*Допущения!$B$22</f>
        <v>74576.6</v>
      </c>
      <c r="P3" s="10" t="n">
        <f aca="false">MAX(0,D3*Допущения!$B$23+E3*Допущения!$B$24+F3*Допущения!$B$25-G3*Допущения!$B$27)+Допущения!$B$26</f>
        <v>35.9</v>
      </c>
      <c r="Q3" s="9" t="n">
        <f aca="false">P3/4.33</f>
        <v>8.29099307159353</v>
      </c>
      <c r="R3" s="8" t="n">
        <v>0</v>
      </c>
    </row>
    <row r="4" customFormat="false" ht="15" hidden="false" customHeight="false" outlineLevel="0" collapsed="false">
      <c r="A4" s="0" t="n">
        <v>3</v>
      </c>
      <c r="B4" s="0" t="n">
        <f aca="false">INT((A4-1)/12)+1</f>
        <v>1</v>
      </c>
      <c r="C4" s="0" t="n">
        <f aca="false">IF(A4&lt;=3,1,IF(A4&lt;=6,2,IF(A4&lt;=12,3,IF(A4&lt;=24,4,5))))</f>
        <v>1</v>
      </c>
      <c r="D4" s="0" t="n">
        <f aca="false">INDEX(Объёмы!$B$13:$F$13,C4)</f>
        <v>1</v>
      </c>
      <c r="E4" s="0" t="n">
        <f aca="false">INDEX(Объёмы!$B$14:$F$14,C4)</f>
        <v>0.33</v>
      </c>
      <c r="F4" s="0" t="n">
        <f aca="false">INDEX(Объёмы!$B$15:$F$15,C4)</f>
        <v>0</v>
      </c>
      <c r="G4" s="0" t="n">
        <f aca="false">INDEX(Объёмы!$B$16:$F$16,C4)</f>
        <v>0</v>
      </c>
      <c r="H4" s="8" t="n">
        <f aca="false">(D4*Допущения!$B$2+E4*Допущения!$B$3+F4*Допущения!$B$4)*IF(B4=1,1,IF(B4=2,Допущения!$B$8,Допущения!$B$9))</f>
        <v>228600</v>
      </c>
      <c r="I4" s="8" t="n">
        <f aca="false">(D4*Допущения!$B$2*Допущения!$B$5+E4*Допущения!$B$3*Допущения!$B$6+F4*Допущения!$B$4*Допущения!$B$7)*IF(B4=1,1,IF(B4=2,Допущения!$B$8,Допущения!$B$9))</f>
        <v>66510</v>
      </c>
      <c r="J4" s="8" t="n">
        <f aca="false">H4-I4</f>
        <v>162090</v>
      </c>
      <c r="K4" s="8" t="n">
        <f aca="false">INDEX(Допущения!$B$10:$B$14, C4)+G4*Допущения!$B$15</f>
        <v>35000</v>
      </c>
      <c r="L4" s="8" t="n">
        <f aca="false">IF(R4&gt;Допущения!$B$20,H4*Допущения!$B$21,0)</f>
        <v>0</v>
      </c>
      <c r="M4" s="8" t="n">
        <f aca="false">(H4-L4)*Допущения!$B$16+MAX(0,H4-L4-Допущения!$B$18)*Допущения!$B$17+Допущения!$B$19</f>
        <v>20552</v>
      </c>
      <c r="N4" s="8" t="n">
        <f aca="false">J4-K4-L4-M4</f>
        <v>106538</v>
      </c>
      <c r="O4" s="8" t="n">
        <f aca="false">MAX(0,N4)*Допущения!$B$22</f>
        <v>74576.6</v>
      </c>
      <c r="P4" s="10" t="n">
        <f aca="false">MAX(0,D4*Допущения!$B$23+E4*Допущения!$B$24+F4*Допущения!$B$25-G4*Допущения!$B$27)+Допущения!$B$26</f>
        <v>35.9</v>
      </c>
      <c r="Q4" s="9" t="n">
        <f aca="false">P4/4.33</f>
        <v>8.29099307159353</v>
      </c>
      <c r="R4" s="8" t="n">
        <v>0</v>
      </c>
    </row>
    <row r="5" customFormat="false" ht="15" hidden="false" customHeight="false" outlineLevel="0" collapsed="false">
      <c r="A5" s="0" t="n">
        <v>4</v>
      </c>
      <c r="B5" s="0" t="n">
        <f aca="false">INT((A5-1)/12)+1</f>
        <v>1</v>
      </c>
      <c r="C5" s="0" t="n">
        <f aca="false">IF(A5&lt;=3,1,IF(A5&lt;=6,2,IF(A5&lt;=12,3,IF(A5&lt;=24,4,5))))</f>
        <v>2</v>
      </c>
      <c r="D5" s="0" t="n">
        <f aca="false">INDEX(Объёмы!$B$13:$F$13,C5)</f>
        <v>1.5</v>
      </c>
      <c r="E5" s="0" t="n">
        <f aca="false">INDEX(Объёмы!$B$14:$F$14,C5)</f>
        <v>0.67</v>
      </c>
      <c r="F5" s="0" t="n">
        <f aca="false">INDEX(Объёмы!$B$15:$F$15,C5)</f>
        <v>1</v>
      </c>
      <c r="G5" s="0" t="n">
        <f aca="false">INDEX(Объёмы!$B$16:$F$16,C5)</f>
        <v>0</v>
      </c>
      <c r="H5" s="8" t="n">
        <f aca="false">(D5*Допущения!$B$2+E5*Допущения!$B$3+F5*Допущения!$B$4)*IF(B5=1,1,IF(B5=2,Допущения!$B$8,Допущения!$B$9))</f>
        <v>556400</v>
      </c>
      <c r="I5" s="8" t="n">
        <f aca="false">(D5*Допущения!$B$2*Допущения!$B$5+E5*Допущения!$B$3*Допущения!$B$6+F5*Допущения!$B$4*Допущения!$B$7)*IF(B5=1,1,IF(B5=2,Допущения!$B$8,Допущения!$B$9))</f>
        <v>181490</v>
      </c>
      <c r="J5" s="8" t="n">
        <f aca="false">H5-I5</f>
        <v>374910</v>
      </c>
      <c r="K5" s="8" t="n">
        <f aca="false">INDEX(Допущения!$B$10:$B$14, C5)+G5*Допущения!$B$15</f>
        <v>35000</v>
      </c>
      <c r="L5" s="8" t="n">
        <f aca="false">IF(R5&gt;Допущения!$B$20,H5*Допущения!$B$21,0)</f>
        <v>0</v>
      </c>
      <c r="M5" s="8" t="n">
        <f aca="false">(H5-L5)*Допущения!$B$16+MAX(0,H5-L5-Допущения!$B$18)*Допущения!$B$17+Допущения!$B$19</f>
        <v>43498</v>
      </c>
      <c r="N5" s="8" t="n">
        <f aca="false">J5-K5-L5-M5</f>
        <v>296412</v>
      </c>
      <c r="O5" s="8" t="n">
        <f aca="false">MAX(0,N5)*Допущения!$B$22</f>
        <v>207488.4</v>
      </c>
      <c r="P5" s="10" t="n">
        <f aca="false">MAX(0,D5*Допущения!$B$23+E5*Допущения!$B$24+F5*Допущения!$B$25-G5*Допущения!$B$27)+Допущения!$B$26</f>
        <v>59.1</v>
      </c>
      <c r="Q5" s="9" t="n">
        <f aca="false">P5/4.33</f>
        <v>13.64896073903</v>
      </c>
      <c r="R5" s="8" t="n">
        <v>0</v>
      </c>
    </row>
    <row r="6" customFormat="false" ht="15" hidden="false" customHeight="false" outlineLevel="0" collapsed="false">
      <c r="A6" s="0" t="n">
        <v>5</v>
      </c>
      <c r="B6" s="0" t="n">
        <f aca="false">INT((A6-1)/12)+1</f>
        <v>1</v>
      </c>
      <c r="C6" s="0" t="n">
        <f aca="false">IF(A6&lt;=3,1,IF(A6&lt;=6,2,IF(A6&lt;=12,3,IF(A6&lt;=24,4,5))))</f>
        <v>2</v>
      </c>
      <c r="D6" s="0" t="n">
        <f aca="false">INDEX(Объёмы!$B$13:$F$13,C6)</f>
        <v>1.5</v>
      </c>
      <c r="E6" s="0" t="n">
        <f aca="false">INDEX(Объёмы!$B$14:$F$14,C6)</f>
        <v>0.67</v>
      </c>
      <c r="F6" s="0" t="n">
        <f aca="false">INDEX(Объёмы!$B$15:$F$15,C6)</f>
        <v>1</v>
      </c>
      <c r="G6" s="0" t="n">
        <f aca="false">INDEX(Объёмы!$B$16:$F$16,C6)</f>
        <v>0</v>
      </c>
      <c r="H6" s="8" t="n">
        <f aca="false">(D6*Допущения!$B$2+E6*Допущения!$B$3+F6*Допущения!$B$4)*IF(B6=1,1,IF(B6=2,Допущения!$B$8,Допущения!$B$9))</f>
        <v>556400</v>
      </c>
      <c r="I6" s="8" t="n">
        <f aca="false">(D6*Допущения!$B$2*Допущения!$B$5+E6*Допущения!$B$3*Допущения!$B$6+F6*Допущения!$B$4*Допущения!$B$7)*IF(B6=1,1,IF(B6=2,Допущения!$B$8,Допущения!$B$9))</f>
        <v>181490</v>
      </c>
      <c r="J6" s="8" t="n">
        <f aca="false">H6-I6</f>
        <v>374910</v>
      </c>
      <c r="K6" s="8" t="n">
        <f aca="false">INDEX(Допущения!$B$10:$B$14, C6)+G6*Допущения!$B$15</f>
        <v>35000</v>
      </c>
      <c r="L6" s="8" t="n">
        <f aca="false">IF(R6&gt;Допущения!$B$20,H6*Допущения!$B$21,0)</f>
        <v>0</v>
      </c>
      <c r="M6" s="8" t="n">
        <f aca="false">(H6-L6)*Допущения!$B$16+MAX(0,H6-L6-Допущения!$B$18)*Допущения!$B$17+Допущения!$B$19</f>
        <v>43498</v>
      </c>
      <c r="N6" s="8" t="n">
        <f aca="false">J6-K6-L6-M6</f>
        <v>296412</v>
      </c>
      <c r="O6" s="8" t="n">
        <f aca="false">MAX(0,N6)*Допущения!$B$22</f>
        <v>207488.4</v>
      </c>
      <c r="P6" s="10" t="n">
        <f aca="false">MAX(0,D6*Допущения!$B$23+E6*Допущения!$B$24+F6*Допущения!$B$25-G6*Допущения!$B$27)+Допущения!$B$26</f>
        <v>59.1</v>
      </c>
      <c r="Q6" s="9" t="n">
        <f aca="false">P6/4.33</f>
        <v>13.64896073903</v>
      </c>
      <c r="R6" s="8" t="n">
        <v>0</v>
      </c>
    </row>
    <row r="7" customFormat="false" ht="15" hidden="false" customHeight="false" outlineLevel="0" collapsed="false">
      <c r="A7" s="0" t="n">
        <v>6</v>
      </c>
      <c r="B7" s="0" t="n">
        <f aca="false">INT((A7-1)/12)+1</f>
        <v>1</v>
      </c>
      <c r="C7" s="0" t="n">
        <f aca="false">IF(A7&lt;=3,1,IF(A7&lt;=6,2,IF(A7&lt;=12,3,IF(A7&lt;=24,4,5))))</f>
        <v>2</v>
      </c>
      <c r="D7" s="0" t="n">
        <f aca="false">INDEX(Объёмы!$B$13:$F$13,C7)</f>
        <v>1.5</v>
      </c>
      <c r="E7" s="0" t="n">
        <f aca="false">INDEX(Объёмы!$B$14:$F$14,C7)</f>
        <v>0.67</v>
      </c>
      <c r="F7" s="0" t="n">
        <f aca="false">INDEX(Объёмы!$B$15:$F$15,C7)</f>
        <v>1</v>
      </c>
      <c r="G7" s="0" t="n">
        <f aca="false">INDEX(Объёмы!$B$16:$F$16,C7)</f>
        <v>0</v>
      </c>
      <c r="H7" s="8" t="n">
        <f aca="false">(D7*Допущения!$B$2+E7*Допущения!$B$3+F7*Допущения!$B$4)*IF(B7=1,1,IF(B7=2,Допущения!$B$8,Допущения!$B$9))</f>
        <v>556400</v>
      </c>
      <c r="I7" s="8" t="n">
        <f aca="false">(D7*Допущения!$B$2*Допущения!$B$5+E7*Допущения!$B$3*Допущения!$B$6+F7*Допущения!$B$4*Допущения!$B$7)*IF(B7=1,1,IF(B7=2,Допущения!$B$8,Допущения!$B$9))</f>
        <v>181490</v>
      </c>
      <c r="J7" s="8" t="n">
        <f aca="false">H7-I7</f>
        <v>374910</v>
      </c>
      <c r="K7" s="8" t="n">
        <f aca="false">INDEX(Допущения!$B$10:$B$14, C7)+G7*Допущения!$B$15</f>
        <v>35000</v>
      </c>
      <c r="L7" s="8" t="n">
        <f aca="false">IF(R7&gt;Допущения!$B$20,H7*Допущения!$B$21,0)</f>
        <v>0</v>
      </c>
      <c r="M7" s="8" t="n">
        <f aca="false">(H7-L7)*Допущения!$B$16+MAX(0,H7-L7-Допущения!$B$18)*Допущения!$B$17+Допущения!$B$19</f>
        <v>43498</v>
      </c>
      <c r="N7" s="8" t="n">
        <f aca="false">J7-K7-L7-M7</f>
        <v>296412</v>
      </c>
      <c r="O7" s="8" t="n">
        <f aca="false">MAX(0,N7)*Допущения!$B$22</f>
        <v>207488.4</v>
      </c>
      <c r="P7" s="10" t="n">
        <f aca="false">MAX(0,D7*Допущения!$B$23+E7*Допущения!$B$24+F7*Допущения!$B$25-G7*Допущения!$B$27)+Допущения!$B$26</f>
        <v>59.1</v>
      </c>
      <c r="Q7" s="9" t="n">
        <f aca="false">P7/4.33</f>
        <v>13.64896073903</v>
      </c>
      <c r="R7" s="8" t="n">
        <v>0</v>
      </c>
    </row>
    <row r="8" customFormat="false" ht="15" hidden="false" customHeight="false" outlineLevel="0" collapsed="false">
      <c r="A8" s="0" t="n">
        <v>7</v>
      </c>
      <c r="B8" s="0" t="n">
        <f aca="false">INT((A8-1)/12)+1</f>
        <v>1</v>
      </c>
      <c r="C8" s="0" t="n">
        <f aca="false">IF(A8&lt;=3,1,IF(A8&lt;=6,2,IF(A8&lt;=12,3,IF(A8&lt;=24,4,5))))</f>
        <v>3</v>
      </c>
      <c r="D8" s="0" t="n">
        <f aca="false">INDEX(Объёмы!$B$13:$F$13,C8)</f>
        <v>2</v>
      </c>
      <c r="E8" s="0" t="n">
        <f aca="false">INDEX(Объёмы!$B$14:$F$14,C8)</f>
        <v>1</v>
      </c>
      <c r="F8" s="0" t="n">
        <f aca="false">INDEX(Объёмы!$B$15:$F$15,C8)</f>
        <v>3</v>
      </c>
      <c r="G8" s="0" t="n">
        <f aca="false">INDEX(Объёмы!$B$16:$F$16,C8)</f>
        <v>1</v>
      </c>
      <c r="H8" s="8" t="n">
        <f aca="false">(D8*Допущения!$B$2+E8*Допущения!$B$3+F8*Допущения!$B$4)*IF(B8=1,1,IF(B8=2,Допущения!$B$8,Допущения!$B$9))</f>
        <v>1020000</v>
      </c>
      <c r="I8" s="8" t="n">
        <f aca="false">(D8*Допущения!$B$2*Допущения!$B$5+E8*Допущения!$B$3*Допущения!$B$6+F8*Допущения!$B$4*Допущения!$B$7)*IF(B8=1,1,IF(B8=2,Допущения!$B$8,Допущения!$B$9))</f>
        <v>351000</v>
      </c>
      <c r="J8" s="8" t="n">
        <f aca="false">H8-I8</f>
        <v>669000</v>
      </c>
      <c r="K8" s="8" t="n">
        <f aca="false">INDEX(Допущения!$B$10:$B$14, C8)+G8*Допущения!$B$15</f>
        <v>215000</v>
      </c>
      <c r="L8" s="8" t="n">
        <f aca="false">IF(R8&gt;Допущения!$B$20,H8*Допущения!$B$21,0)</f>
        <v>0</v>
      </c>
      <c r="M8" s="8" t="n">
        <f aca="false">(H8-L8)*Допущения!$B$16+MAX(0,H8-L8-Допущения!$B$18)*Допущения!$B$17+Допущения!$B$19</f>
        <v>75950</v>
      </c>
      <c r="N8" s="8" t="n">
        <f aca="false">J8-K8-L8-M8</f>
        <v>378050</v>
      </c>
      <c r="O8" s="8" t="n">
        <f aca="false">MAX(0,N8)*Допущения!$B$22</f>
        <v>264635</v>
      </c>
      <c r="P8" s="10" t="n">
        <f aca="false">MAX(0,D8*Допущения!$B$23+E8*Допущения!$B$24+F8*Допущения!$B$25-G8*Допущения!$B$27)+Допущения!$B$26</f>
        <v>50</v>
      </c>
      <c r="Q8" s="9" t="n">
        <f aca="false">P8/4.33</f>
        <v>11.5473441108545</v>
      </c>
      <c r="R8" s="8" t="n">
        <v>0</v>
      </c>
    </row>
    <row r="9" customFormat="false" ht="15" hidden="false" customHeight="false" outlineLevel="0" collapsed="false">
      <c r="A9" s="0" t="n">
        <v>8</v>
      </c>
      <c r="B9" s="0" t="n">
        <f aca="false">INT((A9-1)/12)+1</f>
        <v>1</v>
      </c>
      <c r="C9" s="0" t="n">
        <f aca="false">IF(A9&lt;=3,1,IF(A9&lt;=6,2,IF(A9&lt;=12,3,IF(A9&lt;=24,4,5))))</f>
        <v>3</v>
      </c>
      <c r="D9" s="0" t="n">
        <f aca="false">INDEX(Объёмы!$B$13:$F$13,C9)</f>
        <v>2</v>
      </c>
      <c r="E9" s="0" t="n">
        <f aca="false">INDEX(Объёмы!$B$14:$F$14,C9)</f>
        <v>1</v>
      </c>
      <c r="F9" s="0" t="n">
        <f aca="false">INDEX(Объёмы!$B$15:$F$15,C9)</f>
        <v>3</v>
      </c>
      <c r="G9" s="0" t="n">
        <f aca="false">INDEX(Объёмы!$B$16:$F$16,C9)</f>
        <v>1</v>
      </c>
      <c r="H9" s="8" t="n">
        <f aca="false">(D9*Допущения!$B$2+E9*Допущения!$B$3+F9*Допущения!$B$4)*IF(B9=1,1,IF(B9=2,Допущения!$B$8,Допущения!$B$9))</f>
        <v>1020000</v>
      </c>
      <c r="I9" s="8" t="n">
        <f aca="false">(D9*Допущения!$B$2*Допущения!$B$5+E9*Допущения!$B$3*Допущения!$B$6+F9*Допущения!$B$4*Допущения!$B$7)*IF(B9=1,1,IF(B9=2,Допущения!$B$8,Допущения!$B$9))</f>
        <v>351000</v>
      </c>
      <c r="J9" s="8" t="n">
        <f aca="false">H9-I9</f>
        <v>669000</v>
      </c>
      <c r="K9" s="8" t="n">
        <f aca="false">INDEX(Допущения!$B$10:$B$14, C9)+G9*Допущения!$B$15</f>
        <v>215000</v>
      </c>
      <c r="L9" s="8" t="n">
        <f aca="false">IF(R9&gt;Допущения!$B$20,H9*Допущения!$B$21,0)</f>
        <v>0</v>
      </c>
      <c r="M9" s="8" t="n">
        <f aca="false">(H9-L9)*Допущения!$B$16+MAX(0,H9-L9-Допущения!$B$18)*Допущения!$B$17+Допущения!$B$19</f>
        <v>75950</v>
      </c>
      <c r="N9" s="8" t="n">
        <f aca="false">J9-K9-L9-M9</f>
        <v>378050</v>
      </c>
      <c r="O9" s="8" t="n">
        <f aca="false">MAX(0,N9)*Допущения!$B$22</f>
        <v>264635</v>
      </c>
      <c r="P9" s="10" t="n">
        <f aca="false">MAX(0,D9*Допущения!$B$23+E9*Допущения!$B$24+F9*Допущения!$B$25-G9*Допущения!$B$27)+Допущения!$B$26</f>
        <v>50</v>
      </c>
      <c r="Q9" s="9" t="n">
        <f aca="false">P9/4.33</f>
        <v>11.5473441108545</v>
      </c>
      <c r="R9" s="8" t="n">
        <v>0</v>
      </c>
    </row>
    <row r="10" customFormat="false" ht="15" hidden="false" customHeight="false" outlineLevel="0" collapsed="false">
      <c r="A10" s="0" t="n">
        <v>9</v>
      </c>
      <c r="B10" s="0" t="n">
        <f aca="false">INT((A10-1)/12)+1</f>
        <v>1</v>
      </c>
      <c r="C10" s="0" t="n">
        <f aca="false">IF(A10&lt;=3,1,IF(A10&lt;=6,2,IF(A10&lt;=12,3,IF(A10&lt;=24,4,5))))</f>
        <v>3</v>
      </c>
      <c r="D10" s="0" t="n">
        <f aca="false">INDEX(Объёмы!$B$13:$F$13,C10)</f>
        <v>2</v>
      </c>
      <c r="E10" s="0" t="n">
        <f aca="false">INDEX(Объёмы!$B$14:$F$14,C10)</f>
        <v>1</v>
      </c>
      <c r="F10" s="0" t="n">
        <f aca="false">INDEX(Объёмы!$B$15:$F$15,C10)</f>
        <v>3</v>
      </c>
      <c r="G10" s="0" t="n">
        <f aca="false">INDEX(Объёмы!$B$16:$F$16,C10)</f>
        <v>1</v>
      </c>
      <c r="H10" s="8" t="n">
        <f aca="false">(D10*Допущения!$B$2+E10*Допущения!$B$3+F10*Допущения!$B$4)*IF(B10=1,1,IF(B10=2,Допущения!$B$8,Допущения!$B$9))</f>
        <v>1020000</v>
      </c>
      <c r="I10" s="8" t="n">
        <f aca="false">(D10*Допущения!$B$2*Допущения!$B$5+E10*Допущения!$B$3*Допущения!$B$6+F10*Допущения!$B$4*Допущения!$B$7)*IF(B10=1,1,IF(B10=2,Допущения!$B$8,Допущения!$B$9))</f>
        <v>351000</v>
      </c>
      <c r="J10" s="8" t="n">
        <f aca="false">H10-I10</f>
        <v>669000</v>
      </c>
      <c r="K10" s="8" t="n">
        <f aca="false">INDEX(Допущения!$B$10:$B$14, C10)+G10*Допущения!$B$15</f>
        <v>215000</v>
      </c>
      <c r="L10" s="8" t="n">
        <f aca="false">IF(R10&gt;Допущения!$B$20,H10*Допущения!$B$21,0)</f>
        <v>0</v>
      </c>
      <c r="M10" s="8" t="n">
        <f aca="false">(H10-L10)*Допущения!$B$16+MAX(0,H10-L10-Допущения!$B$18)*Допущения!$B$17+Допущения!$B$19</f>
        <v>75950</v>
      </c>
      <c r="N10" s="8" t="n">
        <f aca="false">J10-K10-L10-M10</f>
        <v>378050</v>
      </c>
      <c r="O10" s="8" t="n">
        <f aca="false">MAX(0,N10)*Допущения!$B$22</f>
        <v>264635</v>
      </c>
      <c r="P10" s="10" t="n">
        <f aca="false">MAX(0,D10*Допущения!$B$23+E10*Допущения!$B$24+F10*Допущения!$B$25-G10*Допущения!$B$27)+Допущения!$B$26</f>
        <v>50</v>
      </c>
      <c r="Q10" s="9" t="n">
        <f aca="false">P10/4.33</f>
        <v>11.5473441108545</v>
      </c>
      <c r="R10" s="8" t="n">
        <v>0</v>
      </c>
    </row>
    <row r="11" customFormat="false" ht="15" hidden="false" customHeight="false" outlineLevel="0" collapsed="false">
      <c r="A11" s="0" t="n">
        <v>10</v>
      </c>
      <c r="B11" s="0" t="n">
        <f aca="false">INT((A11-1)/12)+1</f>
        <v>1</v>
      </c>
      <c r="C11" s="0" t="n">
        <f aca="false">IF(A11&lt;=3,1,IF(A11&lt;=6,2,IF(A11&lt;=12,3,IF(A11&lt;=24,4,5))))</f>
        <v>3</v>
      </c>
      <c r="D11" s="0" t="n">
        <f aca="false">INDEX(Объёмы!$B$13:$F$13,C11)</f>
        <v>2</v>
      </c>
      <c r="E11" s="0" t="n">
        <f aca="false">INDEX(Объёмы!$B$14:$F$14,C11)</f>
        <v>1</v>
      </c>
      <c r="F11" s="0" t="n">
        <f aca="false">INDEX(Объёмы!$B$15:$F$15,C11)</f>
        <v>3</v>
      </c>
      <c r="G11" s="0" t="n">
        <f aca="false">INDEX(Объёмы!$B$16:$F$16,C11)</f>
        <v>1</v>
      </c>
      <c r="H11" s="8" t="n">
        <f aca="false">(D11*Допущения!$B$2+E11*Допущения!$B$3+F11*Допущения!$B$4)*IF(B11=1,1,IF(B11=2,Допущения!$B$8,Допущения!$B$9))</f>
        <v>1020000</v>
      </c>
      <c r="I11" s="8" t="n">
        <f aca="false">(D11*Допущения!$B$2*Допущения!$B$5+E11*Допущения!$B$3*Допущения!$B$6+F11*Допущения!$B$4*Допущения!$B$7)*IF(B11=1,1,IF(B11=2,Допущения!$B$8,Допущения!$B$9))</f>
        <v>351000</v>
      </c>
      <c r="J11" s="8" t="n">
        <f aca="false">H11-I11</f>
        <v>669000</v>
      </c>
      <c r="K11" s="8" t="n">
        <f aca="false">INDEX(Допущения!$B$10:$B$14, C11)+G11*Допущения!$B$15</f>
        <v>215000</v>
      </c>
      <c r="L11" s="8" t="n">
        <f aca="false">IF(R11&gt;Допущения!$B$20,H11*Допущения!$B$21,0)</f>
        <v>0</v>
      </c>
      <c r="M11" s="8" t="n">
        <f aca="false">(H11-L11)*Допущения!$B$16+MAX(0,H11-L11-Допущения!$B$18)*Допущения!$B$17+Допущения!$B$19</f>
        <v>75950</v>
      </c>
      <c r="N11" s="8" t="n">
        <f aca="false">J11-K11-L11-M11</f>
        <v>378050</v>
      </c>
      <c r="O11" s="8" t="n">
        <f aca="false">MAX(0,N11)*Допущения!$B$22</f>
        <v>264635</v>
      </c>
      <c r="P11" s="10" t="n">
        <f aca="false">MAX(0,D11*Допущения!$B$23+E11*Допущения!$B$24+F11*Допущения!$B$25-G11*Допущения!$B$27)+Допущения!$B$26</f>
        <v>50</v>
      </c>
      <c r="Q11" s="9" t="n">
        <f aca="false">P11/4.33</f>
        <v>11.5473441108545</v>
      </c>
      <c r="R11" s="8" t="n">
        <v>0</v>
      </c>
    </row>
    <row r="12" customFormat="false" ht="15" hidden="false" customHeight="false" outlineLevel="0" collapsed="false">
      <c r="A12" s="0" t="n">
        <v>11</v>
      </c>
      <c r="B12" s="0" t="n">
        <f aca="false">INT((A12-1)/12)+1</f>
        <v>1</v>
      </c>
      <c r="C12" s="0" t="n">
        <f aca="false">IF(A12&lt;=3,1,IF(A12&lt;=6,2,IF(A12&lt;=12,3,IF(A12&lt;=24,4,5))))</f>
        <v>3</v>
      </c>
      <c r="D12" s="0" t="n">
        <f aca="false">INDEX(Объёмы!$B$13:$F$13,C12)</f>
        <v>2</v>
      </c>
      <c r="E12" s="0" t="n">
        <f aca="false">INDEX(Объёмы!$B$14:$F$14,C12)</f>
        <v>1</v>
      </c>
      <c r="F12" s="0" t="n">
        <f aca="false">INDEX(Объёмы!$B$15:$F$15,C12)</f>
        <v>3</v>
      </c>
      <c r="G12" s="0" t="n">
        <f aca="false">INDEX(Объёмы!$B$16:$F$16,C12)</f>
        <v>1</v>
      </c>
      <c r="H12" s="8" t="n">
        <f aca="false">(D12*Допущения!$B$2+E12*Допущения!$B$3+F12*Допущения!$B$4)*IF(B12=1,1,IF(B12=2,Допущения!$B$8,Допущения!$B$9))</f>
        <v>1020000</v>
      </c>
      <c r="I12" s="8" t="n">
        <f aca="false">(D12*Допущения!$B$2*Допущения!$B$5+E12*Допущения!$B$3*Допущения!$B$6+F12*Допущения!$B$4*Допущения!$B$7)*IF(B12=1,1,IF(B12=2,Допущения!$B$8,Допущения!$B$9))</f>
        <v>351000</v>
      </c>
      <c r="J12" s="8" t="n">
        <f aca="false">H12-I12</f>
        <v>669000</v>
      </c>
      <c r="K12" s="8" t="n">
        <f aca="false">INDEX(Допущения!$B$10:$B$14, C12)+G12*Допущения!$B$15</f>
        <v>215000</v>
      </c>
      <c r="L12" s="8" t="n">
        <f aca="false">IF(R12&gt;Допущения!$B$20,H12*Допущения!$B$21,0)</f>
        <v>0</v>
      </c>
      <c r="M12" s="8" t="n">
        <f aca="false">(H12-L12)*Допущения!$B$16+MAX(0,H12-L12-Допущения!$B$18)*Допущения!$B$17+Допущения!$B$19</f>
        <v>75950</v>
      </c>
      <c r="N12" s="8" t="n">
        <f aca="false">J12-K12-L12-M12</f>
        <v>378050</v>
      </c>
      <c r="O12" s="8" t="n">
        <f aca="false">MAX(0,N12)*Допущения!$B$22</f>
        <v>264635</v>
      </c>
      <c r="P12" s="10" t="n">
        <f aca="false">MAX(0,D12*Допущения!$B$23+E12*Допущения!$B$24+F12*Допущения!$B$25-G12*Допущения!$B$27)+Допущения!$B$26</f>
        <v>50</v>
      </c>
      <c r="Q12" s="9" t="n">
        <f aca="false">P12/4.33</f>
        <v>11.5473441108545</v>
      </c>
      <c r="R12" s="8" t="n">
        <v>0</v>
      </c>
    </row>
    <row r="13" customFormat="false" ht="15" hidden="false" customHeight="false" outlineLevel="0" collapsed="false">
      <c r="A13" s="0" t="n">
        <v>12</v>
      </c>
      <c r="B13" s="0" t="n">
        <f aca="false">INT((A13-1)/12)+1</f>
        <v>1</v>
      </c>
      <c r="C13" s="0" t="n">
        <f aca="false">IF(A13&lt;=3,1,IF(A13&lt;=6,2,IF(A13&lt;=12,3,IF(A13&lt;=24,4,5))))</f>
        <v>3</v>
      </c>
      <c r="D13" s="0" t="n">
        <f aca="false">INDEX(Объёмы!$B$13:$F$13,C13)</f>
        <v>2</v>
      </c>
      <c r="E13" s="0" t="n">
        <f aca="false">INDEX(Объёмы!$B$14:$F$14,C13)</f>
        <v>1</v>
      </c>
      <c r="F13" s="0" t="n">
        <f aca="false">INDEX(Объёмы!$B$15:$F$15,C13)</f>
        <v>3</v>
      </c>
      <c r="G13" s="0" t="n">
        <f aca="false">INDEX(Объёмы!$B$16:$F$16,C13)</f>
        <v>1</v>
      </c>
      <c r="H13" s="8" t="n">
        <f aca="false">(D13*Допущения!$B$2+E13*Допущения!$B$3+F13*Допущения!$B$4)*IF(B13=1,1,IF(B13=2,Допущения!$B$8,Допущения!$B$9))</f>
        <v>1020000</v>
      </c>
      <c r="I13" s="8" t="n">
        <f aca="false">(D13*Допущения!$B$2*Допущения!$B$5+E13*Допущения!$B$3*Допущения!$B$6+F13*Допущения!$B$4*Допущения!$B$7)*IF(B13=1,1,IF(B13=2,Допущения!$B$8,Допущения!$B$9))</f>
        <v>351000</v>
      </c>
      <c r="J13" s="8" t="n">
        <f aca="false">H13-I13</f>
        <v>669000</v>
      </c>
      <c r="K13" s="8" t="n">
        <f aca="false">INDEX(Допущения!$B$10:$B$14, C13)+G13*Допущения!$B$15</f>
        <v>215000</v>
      </c>
      <c r="L13" s="8" t="n">
        <f aca="false">IF(R13&gt;Допущения!$B$20,H13*Допущения!$B$21,0)</f>
        <v>0</v>
      </c>
      <c r="M13" s="8" t="n">
        <f aca="false">(H13-L13)*Допущения!$B$16+MAX(0,H13-L13-Допущения!$B$18)*Допущения!$B$17+Допущения!$B$19</f>
        <v>75950</v>
      </c>
      <c r="N13" s="8" t="n">
        <f aca="false">J13-K13-L13-M13</f>
        <v>378050</v>
      </c>
      <c r="O13" s="8" t="n">
        <f aca="false">MAX(0,N13)*Допущения!$B$22</f>
        <v>264635</v>
      </c>
      <c r="P13" s="10" t="n">
        <f aca="false">MAX(0,D13*Допущения!$B$23+E13*Допущения!$B$24+F13*Допущения!$B$25-G13*Допущения!$B$27)+Допущения!$B$26</f>
        <v>50</v>
      </c>
      <c r="Q13" s="9" t="n">
        <f aca="false">P13/4.33</f>
        <v>11.5473441108545</v>
      </c>
      <c r="R13" s="8" t="n">
        <v>0</v>
      </c>
    </row>
    <row r="14" customFormat="false" ht="15" hidden="false" customHeight="false" outlineLevel="0" collapsed="false">
      <c r="A14" s="0" t="n">
        <v>13</v>
      </c>
      <c r="B14" s="0" t="n">
        <f aca="false">INT((A14-1)/12)+1</f>
        <v>2</v>
      </c>
      <c r="C14" s="0" t="n">
        <f aca="false">IF(A14&lt;=3,1,IF(A14&lt;=6,2,IF(A14&lt;=12,3,IF(A14&lt;=24,4,5))))</f>
        <v>4</v>
      </c>
      <c r="D14" s="0" t="n">
        <f aca="false">INDEX(Объёмы!$B$13:$F$13,C14)</f>
        <v>3</v>
      </c>
      <c r="E14" s="0" t="n">
        <f aca="false">INDEX(Объёмы!$B$14:$F$14,C14)</f>
        <v>1.5</v>
      </c>
      <c r="F14" s="0" t="n">
        <f aca="false">INDEX(Объёмы!$B$15:$F$15,C14)</f>
        <v>6</v>
      </c>
      <c r="G14" s="0" t="n">
        <f aca="false">INDEX(Объёмы!$B$16:$F$16,C14)</f>
        <v>2</v>
      </c>
      <c r="H14" s="8" t="n">
        <f aca="false">(D14*Допущения!$B$2+E14*Допущения!$B$3+F14*Допущения!$B$4)*IF(B14=1,1,IF(B14=2,Допущения!$B$8,Допущения!$B$9))</f>
        <v>1914000</v>
      </c>
      <c r="I14" s="8" t="n">
        <f aca="false">(D14*Допущения!$B$2*Допущения!$B$5+E14*Допущения!$B$3*Допущения!$B$6+F14*Допущения!$B$4*Допущения!$B$7)*IF(B14=1,1,IF(B14=2,Допущения!$B$8,Допущения!$B$9))</f>
        <v>671550</v>
      </c>
      <c r="J14" s="8" t="n">
        <f aca="false">H14-I14</f>
        <v>1242450</v>
      </c>
      <c r="K14" s="8" t="n">
        <f aca="false">INDEX(Допущения!$B$10:$B$14, C14)+G14*Допущения!$B$15</f>
        <v>410000</v>
      </c>
      <c r="L14" s="8" t="n">
        <f aca="false">IF(R14&gt;Допущения!$B$20,H14*Допущения!$B$21,0)</f>
        <v>0</v>
      </c>
      <c r="M14" s="8" t="n">
        <f aca="false">(H14-L14)*Допущения!$B$16+MAX(0,H14-L14-Допущения!$B$18)*Допущения!$B$17+Допущения!$B$19</f>
        <v>138530</v>
      </c>
      <c r="N14" s="8" t="n">
        <f aca="false">J14-K14-L14-M14</f>
        <v>693920</v>
      </c>
      <c r="O14" s="8" t="n">
        <f aca="false">MAX(0,N14)*Допущения!$B$22</f>
        <v>485744</v>
      </c>
      <c r="P14" s="10" t="n">
        <f aca="false">MAX(0,D14*Допущения!$B$23+E14*Допущения!$B$24+F14*Допущения!$B$25-G14*Допущения!$B$27)+Допущения!$B$26</f>
        <v>59</v>
      </c>
      <c r="Q14" s="9" t="n">
        <f aca="false">P14/4.33</f>
        <v>13.6258660508083</v>
      </c>
      <c r="R14" s="8" t="n">
        <f aca="false">SUM(H2:H13)</f>
        <v>8475000</v>
      </c>
    </row>
    <row r="15" customFormat="false" ht="15" hidden="false" customHeight="false" outlineLevel="0" collapsed="false">
      <c r="A15" s="0" t="n">
        <v>14</v>
      </c>
      <c r="B15" s="0" t="n">
        <f aca="false">INT((A15-1)/12)+1</f>
        <v>2</v>
      </c>
      <c r="C15" s="0" t="n">
        <f aca="false">IF(A15&lt;=3,1,IF(A15&lt;=6,2,IF(A15&lt;=12,3,IF(A15&lt;=24,4,5))))</f>
        <v>4</v>
      </c>
      <c r="D15" s="0" t="n">
        <f aca="false">INDEX(Объёмы!$B$13:$F$13,C15)</f>
        <v>3</v>
      </c>
      <c r="E15" s="0" t="n">
        <f aca="false">INDEX(Объёмы!$B$14:$F$14,C15)</f>
        <v>1.5</v>
      </c>
      <c r="F15" s="0" t="n">
        <f aca="false">INDEX(Объёмы!$B$15:$F$15,C15)</f>
        <v>6</v>
      </c>
      <c r="G15" s="0" t="n">
        <f aca="false">INDEX(Объёмы!$B$16:$F$16,C15)</f>
        <v>2</v>
      </c>
      <c r="H15" s="8" t="n">
        <f aca="false">(D15*Допущения!$B$2+E15*Допущения!$B$3+F15*Допущения!$B$4)*IF(B15=1,1,IF(B15=2,Допущения!$B$8,Допущения!$B$9))</f>
        <v>1914000</v>
      </c>
      <c r="I15" s="8" t="n">
        <f aca="false">(D15*Допущения!$B$2*Допущения!$B$5+E15*Допущения!$B$3*Допущения!$B$6+F15*Допущения!$B$4*Допущения!$B$7)*IF(B15=1,1,IF(B15=2,Допущения!$B$8,Допущения!$B$9))</f>
        <v>671550</v>
      </c>
      <c r="J15" s="8" t="n">
        <f aca="false">H15-I15</f>
        <v>1242450</v>
      </c>
      <c r="K15" s="8" t="n">
        <f aca="false">INDEX(Допущения!$B$10:$B$14, C15)+G15*Допущения!$B$15</f>
        <v>410000</v>
      </c>
      <c r="L15" s="8" t="n">
        <f aca="false">IF(R15&gt;Допущения!$B$20,H15*Допущения!$B$21,0)</f>
        <v>0</v>
      </c>
      <c r="M15" s="8" t="n">
        <f aca="false">(H15-L15)*Допущения!$B$16+MAX(0,H15-L15-Допущения!$B$18)*Допущения!$B$17+Допущения!$B$19</f>
        <v>138530</v>
      </c>
      <c r="N15" s="8" t="n">
        <f aca="false">J15-K15-L15-M15</f>
        <v>693920</v>
      </c>
      <c r="O15" s="8" t="n">
        <f aca="false">MAX(0,N15)*Допущения!$B$22</f>
        <v>485744</v>
      </c>
      <c r="P15" s="10" t="n">
        <f aca="false">MAX(0,D15*Допущения!$B$23+E15*Допущения!$B$24+F15*Допущения!$B$25-G15*Допущения!$B$27)+Допущения!$B$26</f>
        <v>59</v>
      </c>
      <c r="Q15" s="9" t="n">
        <f aca="false">P15/4.33</f>
        <v>13.6258660508083</v>
      </c>
      <c r="R15" s="8" t="n">
        <f aca="false">SUM(H2:H13)</f>
        <v>8475000</v>
      </c>
    </row>
    <row r="16" customFormat="false" ht="15" hidden="false" customHeight="false" outlineLevel="0" collapsed="false">
      <c r="A16" s="0" t="n">
        <v>15</v>
      </c>
      <c r="B16" s="0" t="n">
        <f aca="false">INT((A16-1)/12)+1</f>
        <v>2</v>
      </c>
      <c r="C16" s="0" t="n">
        <f aca="false">IF(A16&lt;=3,1,IF(A16&lt;=6,2,IF(A16&lt;=12,3,IF(A16&lt;=24,4,5))))</f>
        <v>4</v>
      </c>
      <c r="D16" s="0" t="n">
        <f aca="false">INDEX(Объёмы!$B$13:$F$13,C16)</f>
        <v>3</v>
      </c>
      <c r="E16" s="0" t="n">
        <f aca="false">INDEX(Объёмы!$B$14:$F$14,C16)</f>
        <v>1.5</v>
      </c>
      <c r="F16" s="0" t="n">
        <f aca="false">INDEX(Объёмы!$B$15:$F$15,C16)</f>
        <v>6</v>
      </c>
      <c r="G16" s="0" t="n">
        <f aca="false">INDEX(Объёмы!$B$16:$F$16,C16)</f>
        <v>2</v>
      </c>
      <c r="H16" s="8" t="n">
        <f aca="false">(D16*Допущения!$B$2+E16*Допущения!$B$3+F16*Допущения!$B$4)*IF(B16=1,1,IF(B16=2,Допущения!$B$8,Допущения!$B$9))</f>
        <v>1914000</v>
      </c>
      <c r="I16" s="8" t="n">
        <f aca="false">(D16*Допущения!$B$2*Допущения!$B$5+E16*Допущения!$B$3*Допущения!$B$6+F16*Допущения!$B$4*Допущения!$B$7)*IF(B16=1,1,IF(B16=2,Допущения!$B$8,Допущения!$B$9))</f>
        <v>671550</v>
      </c>
      <c r="J16" s="8" t="n">
        <f aca="false">H16-I16</f>
        <v>1242450</v>
      </c>
      <c r="K16" s="8" t="n">
        <f aca="false">INDEX(Допущения!$B$10:$B$14, C16)+G16*Допущения!$B$15</f>
        <v>410000</v>
      </c>
      <c r="L16" s="8" t="n">
        <f aca="false">IF(R16&gt;Допущения!$B$20,H16*Допущения!$B$21,0)</f>
        <v>0</v>
      </c>
      <c r="M16" s="8" t="n">
        <f aca="false">(H16-L16)*Допущения!$B$16+MAX(0,H16-L16-Допущения!$B$18)*Допущения!$B$17+Допущения!$B$19</f>
        <v>138530</v>
      </c>
      <c r="N16" s="8" t="n">
        <f aca="false">J16-K16-L16-M16</f>
        <v>693920</v>
      </c>
      <c r="O16" s="8" t="n">
        <f aca="false">MAX(0,N16)*Допущения!$B$22</f>
        <v>485744</v>
      </c>
      <c r="P16" s="10" t="n">
        <f aca="false">MAX(0,D16*Допущения!$B$23+E16*Допущения!$B$24+F16*Допущения!$B$25-G16*Допущения!$B$27)+Допущения!$B$26</f>
        <v>59</v>
      </c>
      <c r="Q16" s="9" t="n">
        <f aca="false">P16/4.33</f>
        <v>13.6258660508083</v>
      </c>
      <c r="R16" s="8" t="n">
        <f aca="false">SUM(H2:H13)</f>
        <v>8475000</v>
      </c>
    </row>
    <row r="17" customFormat="false" ht="15" hidden="false" customHeight="false" outlineLevel="0" collapsed="false">
      <c r="A17" s="0" t="n">
        <v>16</v>
      </c>
      <c r="B17" s="0" t="n">
        <f aca="false">INT((A17-1)/12)+1</f>
        <v>2</v>
      </c>
      <c r="C17" s="0" t="n">
        <f aca="false">IF(A17&lt;=3,1,IF(A17&lt;=6,2,IF(A17&lt;=12,3,IF(A17&lt;=24,4,5))))</f>
        <v>4</v>
      </c>
      <c r="D17" s="0" t="n">
        <f aca="false">INDEX(Объёмы!$B$13:$F$13,C17)</f>
        <v>3</v>
      </c>
      <c r="E17" s="0" t="n">
        <f aca="false">INDEX(Объёмы!$B$14:$F$14,C17)</f>
        <v>1.5</v>
      </c>
      <c r="F17" s="0" t="n">
        <f aca="false">INDEX(Объёмы!$B$15:$F$15,C17)</f>
        <v>6</v>
      </c>
      <c r="G17" s="0" t="n">
        <f aca="false">INDEX(Объёмы!$B$16:$F$16,C17)</f>
        <v>2</v>
      </c>
      <c r="H17" s="8" t="n">
        <f aca="false">(D17*Допущения!$B$2+E17*Допущения!$B$3+F17*Допущения!$B$4)*IF(B17=1,1,IF(B17=2,Допущения!$B$8,Допущения!$B$9))</f>
        <v>1914000</v>
      </c>
      <c r="I17" s="8" t="n">
        <f aca="false">(D17*Допущения!$B$2*Допущения!$B$5+E17*Допущения!$B$3*Допущения!$B$6+F17*Допущения!$B$4*Допущения!$B$7)*IF(B17=1,1,IF(B17=2,Допущения!$B$8,Допущения!$B$9))</f>
        <v>671550</v>
      </c>
      <c r="J17" s="8" t="n">
        <f aca="false">H17-I17</f>
        <v>1242450</v>
      </c>
      <c r="K17" s="8" t="n">
        <f aca="false">INDEX(Допущения!$B$10:$B$14, C17)+G17*Допущения!$B$15</f>
        <v>410000</v>
      </c>
      <c r="L17" s="8" t="n">
        <f aca="false">IF(R17&gt;Допущения!$B$20,H17*Допущения!$B$21,0)</f>
        <v>0</v>
      </c>
      <c r="M17" s="8" t="n">
        <f aca="false">(H17-L17)*Допущения!$B$16+MAX(0,H17-L17-Допущения!$B$18)*Допущения!$B$17+Допущения!$B$19</f>
        <v>138530</v>
      </c>
      <c r="N17" s="8" t="n">
        <f aca="false">J17-K17-L17-M17</f>
        <v>693920</v>
      </c>
      <c r="O17" s="8" t="n">
        <f aca="false">MAX(0,N17)*Допущения!$B$22</f>
        <v>485744</v>
      </c>
      <c r="P17" s="10" t="n">
        <f aca="false">MAX(0,D17*Допущения!$B$23+E17*Допущения!$B$24+F17*Допущения!$B$25-G17*Допущения!$B$27)+Допущения!$B$26</f>
        <v>59</v>
      </c>
      <c r="Q17" s="9" t="n">
        <f aca="false">P17/4.33</f>
        <v>13.6258660508083</v>
      </c>
      <c r="R17" s="8" t="n">
        <f aca="false">SUM(H2:H13)</f>
        <v>8475000</v>
      </c>
    </row>
    <row r="18" customFormat="false" ht="15" hidden="false" customHeight="false" outlineLevel="0" collapsed="false">
      <c r="A18" s="0" t="n">
        <v>17</v>
      </c>
      <c r="B18" s="0" t="n">
        <f aca="false">INT((A18-1)/12)+1</f>
        <v>2</v>
      </c>
      <c r="C18" s="0" t="n">
        <f aca="false">IF(A18&lt;=3,1,IF(A18&lt;=6,2,IF(A18&lt;=12,3,IF(A18&lt;=24,4,5))))</f>
        <v>4</v>
      </c>
      <c r="D18" s="0" t="n">
        <f aca="false">INDEX(Объёмы!$B$13:$F$13,C18)</f>
        <v>3</v>
      </c>
      <c r="E18" s="0" t="n">
        <f aca="false">INDEX(Объёмы!$B$14:$F$14,C18)</f>
        <v>1.5</v>
      </c>
      <c r="F18" s="0" t="n">
        <f aca="false">INDEX(Объёмы!$B$15:$F$15,C18)</f>
        <v>6</v>
      </c>
      <c r="G18" s="0" t="n">
        <f aca="false">INDEX(Объёмы!$B$16:$F$16,C18)</f>
        <v>2</v>
      </c>
      <c r="H18" s="8" t="n">
        <f aca="false">(D18*Допущения!$B$2+E18*Допущения!$B$3+F18*Допущения!$B$4)*IF(B18=1,1,IF(B18=2,Допущения!$B$8,Допущения!$B$9))</f>
        <v>1914000</v>
      </c>
      <c r="I18" s="8" t="n">
        <f aca="false">(D18*Допущения!$B$2*Допущения!$B$5+E18*Допущения!$B$3*Допущения!$B$6+F18*Допущения!$B$4*Допущения!$B$7)*IF(B18=1,1,IF(B18=2,Допущения!$B$8,Допущения!$B$9))</f>
        <v>671550</v>
      </c>
      <c r="J18" s="8" t="n">
        <f aca="false">H18-I18</f>
        <v>1242450</v>
      </c>
      <c r="K18" s="8" t="n">
        <f aca="false">INDEX(Допущения!$B$10:$B$14, C18)+G18*Допущения!$B$15</f>
        <v>410000</v>
      </c>
      <c r="L18" s="8" t="n">
        <f aca="false">IF(R18&gt;Допущения!$B$20,H18*Допущения!$B$21,0)</f>
        <v>0</v>
      </c>
      <c r="M18" s="8" t="n">
        <f aca="false">(H18-L18)*Допущения!$B$16+MAX(0,H18-L18-Допущения!$B$18)*Допущения!$B$17+Допущения!$B$19</f>
        <v>138530</v>
      </c>
      <c r="N18" s="8" t="n">
        <f aca="false">J18-K18-L18-M18</f>
        <v>693920</v>
      </c>
      <c r="O18" s="8" t="n">
        <f aca="false">MAX(0,N18)*Допущения!$B$22</f>
        <v>485744</v>
      </c>
      <c r="P18" s="10" t="n">
        <f aca="false">MAX(0,D18*Допущения!$B$23+E18*Допущения!$B$24+F18*Допущения!$B$25-G18*Допущения!$B$27)+Допущения!$B$26</f>
        <v>59</v>
      </c>
      <c r="Q18" s="9" t="n">
        <f aca="false">P18/4.33</f>
        <v>13.6258660508083</v>
      </c>
      <c r="R18" s="8" t="n">
        <f aca="false">SUM(H2:H13)</f>
        <v>8475000</v>
      </c>
    </row>
    <row r="19" customFormat="false" ht="15" hidden="false" customHeight="false" outlineLevel="0" collapsed="false">
      <c r="A19" s="0" t="n">
        <v>18</v>
      </c>
      <c r="B19" s="0" t="n">
        <f aca="false">INT((A19-1)/12)+1</f>
        <v>2</v>
      </c>
      <c r="C19" s="0" t="n">
        <f aca="false">IF(A19&lt;=3,1,IF(A19&lt;=6,2,IF(A19&lt;=12,3,IF(A19&lt;=24,4,5))))</f>
        <v>4</v>
      </c>
      <c r="D19" s="0" t="n">
        <f aca="false">INDEX(Объёмы!$B$13:$F$13,C19)</f>
        <v>3</v>
      </c>
      <c r="E19" s="0" t="n">
        <f aca="false">INDEX(Объёмы!$B$14:$F$14,C19)</f>
        <v>1.5</v>
      </c>
      <c r="F19" s="0" t="n">
        <f aca="false">INDEX(Объёмы!$B$15:$F$15,C19)</f>
        <v>6</v>
      </c>
      <c r="G19" s="0" t="n">
        <f aca="false">INDEX(Объёмы!$B$16:$F$16,C19)</f>
        <v>2</v>
      </c>
      <c r="H19" s="8" t="n">
        <f aca="false">(D19*Допущения!$B$2+E19*Допущения!$B$3+F19*Допущения!$B$4)*IF(B19=1,1,IF(B19=2,Допущения!$B$8,Допущения!$B$9))</f>
        <v>1914000</v>
      </c>
      <c r="I19" s="8" t="n">
        <f aca="false">(D19*Допущения!$B$2*Допущения!$B$5+E19*Допущения!$B$3*Допущения!$B$6+F19*Допущения!$B$4*Допущения!$B$7)*IF(B19=1,1,IF(B19=2,Допущения!$B$8,Допущения!$B$9))</f>
        <v>671550</v>
      </c>
      <c r="J19" s="8" t="n">
        <f aca="false">H19-I19</f>
        <v>1242450</v>
      </c>
      <c r="K19" s="8" t="n">
        <f aca="false">INDEX(Допущения!$B$10:$B$14, C19)+G19*Допущения!$B$15</f>
        <v>410000</v>
      </c>
      <c r="L19" s="8" t="n">
        <f aca="false">IF(R19&gt;Допущения!$B$20,H19*Допущения!$B$21,0)</f>
        <v>0</v>
      </c>
      <c r="M19" s="8" t="n">
        <f aca="false">(H19-L19)*Допущения!$B$16+MAX(0,H19-L19-Допущения!$B$18)*Допущения!$B$17+Допущения!$B$19</f>
        <v>138530</v>
      </c>
      <c r="N19" s="8" t="n">
        <f aca="false">J19-K19-L19-M19</f>
        <v>693920</v>
      </c>
      <c r="O19" s="8" t="n">
        <f aca="false">MAX(0,N19)*Допущения!$B$22</f>
        <v>485744</v>
      </c>
      <c r="P19" s="10" t="n">
        <f aca="false">MAX(0,D19*Допущения!$B$23+E19*Допущения!$B$24+F19*Допущения!$B$25-G19*Допущения!$B$27)+Допущения!$B$26</f>
        <v>59</v>
      </c>
      <c r="Q19" s="9" t="n">
        <f aca="false">P19/4.33</f>
        <v>13.6258660508083</v>
      </c>
      <c r="R19" s="8" t="n">
        <f aca="false">SUM(H2:H13)</f>
        <v>8475000</v>
      </c>
    </row>
    <row r="20" customFormat="false" ht="15" hidden="false" customHeight="false" outlineLevel="0" collapsed="false">
      <c r="A20" s="0" t="n">
        <v>19</v>
      </c>
      <c r="B20" s="0" t="n">
        <f aca="false">INT((A20-1)/12)+1</f>
        <v>2</v>
      </c>
      <c r="C20" s="0" t="n">
        <f aca="false">IF(A20&lt;=3,1,IF(A20&lt;=6,2,IF(A20&lt;=12,3,IF(A20&lt;=24,4,5))))</f>
        <v>4</v>
      </c>
      <c r="D20" s="0" t="n">
        <f aca="false">INDEX(Объёмы!$B$13:$F$13,C20)</f>
        <v>3</v>
      </c>
      <c r="E20" s="0" t="n">
        <f aca="false">INDEX(Объёмы!$B$14:$F$14,C20)</f>
        <v>1.5</v>
      </c>
      <c r="F20" s="0" t="n">
        <f aca="false">INDEX(Объёмы!$B$15:$F$15,C20)</f>
        <v>6</v>
      </c>
      <c r="G20" s="0" t="n">
        <f aca="false">INDEX(Объёмы!$B$16:$F$16,C20)</f>
        <v>2</v>
      </c>
      <c r="H20" s="8" t="n">
        <f aca="false">(D20*Допущения!$B$2+E20*Допущения!$B$3+F20*Допущения!$B$4)*IF(B20=1,1,IF(B20=2,Допущения!$B$8,Допущения!$B$9))</f>
        <v>1914000</v>
      </c>
      <c r="I20" s="8" t="n">
        <f aca="false">(D20*Допущения!$B$2*Допущения!$B$5+E20*Допущения!$B$3*Допущения!$B$6+F20*Допущения!$B$4*Допущения!$B$7)*IF(B20=1,1,IF(B20=2,Допущения!$B$8,Допущения!$B$9))</f>
        <v>671550</v>
      </c>
      <c r="J20" s="8" t="n">
        <f aca="false">H20-I20</f>
        <v>1242450</v>
      </c>
      <c r="K20" s="8" t="n">
        <f aca="false">INDEX(Допущения!$B$10:$B$14, C20)+G20*Допущения!$B$15</f>
        <v>410000</v>
      </c>
      <c r="L20" s="8" t="n">
        <f aca="false">IF(R20&gt;Допущения!$B$20,H20*Допущения!$B$21,0)</f>
        <v>0</v>
      </c>
      <c r="M20" s="8" t="n">
        <f aca="false">(H20-L20)*Допущения!$B$16+MAX(0,H20-L20-Допущения!$B$18)*Допущения!$B$17+Допущения!$B$19</f>
        <v>138530</v>
      </c>
      <c r="N20" s="8" t="n">
        <f aca="false">J20-K20-L20-M20</f>
        <v>693920</v>
      </c>
      <c r="O20" s="8" t="n">
        <f aca="false">MAX(0,N20)*Допущения!$B$22</f>
        <v>485744</v>
      </c>
      <c r="P20" s="10" t="n">
        <f aca="false">MAX(0,D20*Допущения!$B$23+E20*Допущения!$B$24+F20*Допущения!$B$25-G20*Допущения!$B$27)+Допущения!$B$26</f>
        <v>59</v>
      </c>
      <c r="Q20" s="9" t="n">
        <f aca="false">P20/4.33</f>
        <v>13.6258660508083</v>
      </c>
      <c r="R20" s="8" t="n">
        <f aca="false">SUM(H2:H13)</f>
        <v>8475000</v>
      </c>
    </row>
    <row r="21" customFormat="false" ht="15" hidden="false" customHeight="false" outlineLevel="0" collapsed="false">
      <c r="A21" s="0" t="n">
        <v>20</v>
      </c>
      <c r="B21" s="0" t="n">
        <f aca="false">INT((A21-1)/12)+1</f>
        <v>2</v>
      </c>
      <c r="C21" s="0" t="n">
        <f aca="false">IF(A21&lt;=3,1,IF(A21&lt;=6,2,IF(A21&lt;=12,3,IF(A21&lt;=24,4,5))))</f>
        <v>4</v>
      </c>
      <c r="D21" s="0" t="n">
        <f aca="false">INDEX(Объёмы!$B$13:$F$13,C21)</f>
        <v>3</v>
      </c>
      <c r="E21" s="0" t="n">
        <f aca="false">INDEX(Объёмы!$B$14:$F$14,C21)</f>
        <v>1.5</v>
      </c>
      <c r="F21" s="0" t="n">
        <f aca="false">INDEX(Объёмы!$B$15:$F$15,C21)</f>
        <v>6</v>
      </c>
      <c r="G21" s="0" t="n">
        <f aca="false">INDEX(Объёмы!$B$16:$F$16,C21)</f>
        <v>2</v>
      </c>
      <c r="H21" s="8" t="n">
        <f aca="false">(D21*Допущения!$B$2+E21*Допущения!$B$3+F21*Допущения!$B$4)*IF(B21=1,1,IF(B21=2,Допущения!$B$8,Допущения!$B$9))</f>
        <v>1914000</v>
      </c>
      <c r="I21" s="8" t="n">
        <f aca="false">(D21*Допущения!$B$2*Допущения!$B$5+E21*Допущения!$B$3*Допущения!$B$6+F21*Допущения!$B$4*Допущения!$B$7)*IF(B21=1,1,IF(B21=2,Допущения!$B$8,Допущения!$B$9))</f>
        <v>671550</v>
      </c>
      <c r="J21" s="8" t="n">
        <f aca="false">H21-I21</f>
        <v>1242450</v>
      </c>
      <c r="K21" s="8" t="n">
        <f aca="false">INDEX(Допущения!$B$10:$B$14, C21)+G21*Допущения!$B$15</f>
        <v>410000</v>
      </c>
      <c r="L21" s="8" t="n">
        <f aca="false">IF(R21&gt;Допущения!$B$20,H21*Допущения!$B$21,0)</f>
        <v>0</v>
      </c>
      <c r="M21" s="8" t="n">
        <f aca="false">(H21-L21)*Допущения!$B$16+MAX(0,H21-L21-Допущения!$B$18)*Допущения!$B$17+Допущения!$B$19</f>
        <v>138530</v>
      </c>
      <c r="N21" s="8" t="n">
        <f aca="false">J21-K21-L21-M21</f>
        <v>693920</v>
      </c>
      <c r="O21" s="8" t="n">
        <f aca="false">MAX(0,N21)*Допущения!$B$22</f>
        <v>485744</v>
      </c>
      <c r="P21" s="10" t="n">
        <f aca="false">MAX(0,D21*Допущения!$B$23+E21*Допущения!$B$24+F21*Допущения!$B$25-G21*Допущения!$B$27)+Допущения!$B$26</f>
        <v>59</v>
      </c>
      <c r="Q21" s="9" t="n">
        <f aca="false">P21/4.33</f>
        <v>13.6258660508083</v>
      </c>
      <c r="R21" s="8" t="n">
        <f aca="false">SUM(H2:H13)</f>
        <v>8475000</v>
      </c>
    </row>
    <row r="22" customFormat="false" ht="15" hidden="false" customHeight="false" outlineLevel="0" collapsed="false">
      <c r="A22" s="0" t="n">
        <v>21</v>
      </c>
      <c r="B22" s="0" t="n">
        <f aca="false">INT((A22-1)/12)+1</f>
        <v>2</v>
      </c>
      <c r="C22" s="0" t="n">
        <f aca="false">IF(A22&lt;=3,1,IF(A22&lt;=6,2,IF(A22&lt;=12,3,IF(A22&lt;=24,4,5))))</f>
        <v>4</v>
      </c>
      <c r="D22" s="0" t="n">
        <f aca="false">INDEX(Объёмы!$B$13:$F$13,C22)</f>
        <v>3</v>
      </c>
      <c r="E22" s="0" t="n">
        <f aca="false">INDEX(Объёмы!$B$14:$F$14,C22)</f>
        <v>1.5</v>
      </c>
      <c r="F22" s="0" t="n">
        <f aca="false">INDEX(Объёмы!$B$15:$F$15,C22)</f>
        <v>6</v>
      </c>
      <c r="G22" s="0" t="n">
        <f aca="false">INDEX(Объёмы!$B$16:$F$16,C22)</f>
        <v>2</v>
      </c>
      <c r="H22" s="8" t="n">
        <f aca="false">(D22*Допущения!$B$2+E22*Допущения!$B$3+F22*Допущения!$B$4)*IF(B22=1,1,IF(B22=2,Допущения!$B$8,Допущения!$B$9))</f>
        <v>1914000</v>
      </c>
      <c r="I22" s="8" t="n">
        <f aca="false">(D22*Допущения!$B$2*Допущения!$B$5+E22*Допущения!$B$3*Допущения!$B$6+F22*Допущения!$B$4*Допущения!$B$7)*IF(B22=1,1,IF(B22=2,Допущения!$B$8,Допущения!$B$9))</f>
        <v>671550</v>
      </c>
      <c r="J22" s="8" t="n">
        <f aca="false">H22-I22</f>
        <v>1242450</v>
      </c>
      <c r="K22" s="8" t="n">
        <f aca="false">INDEX(Допущения!$B$10:$B$14, C22)+G22*Допущения!$B$15</f>
        <v>410000</v>
      </c>
      <c r="L22" s="8" t="n">
        <f aca="false">IF(R22&gt;Допущения!$B$20,H22*Допущения!$B$21,0)</f>
        <v>0</v>
      </c>
      <c r="M22" s="8" t="n">
        <f aca="false">(H22-L22)*Допущения!$B$16+MAX(0,H22-L22-Допущения!$B$18)*Допущения!$B$17+Допущения!$B$19</f>
        <v>138530</v>
      </c>
      <c r="N22" s="8" t="n">
        <f aca="false">J22-K22-L22-M22</f>
        <v>693920</v>
      </c>
      <c r="O22" s="8" t="n">
        <f aca="false">MAX(0,N22)*Допущения!$B$22</f>
        <v>485744</v>
      </c>
      <c r="P22" s="10" t="n">
        <f aca="false">MAX(0,D22*Допущения!$B$23+E22*Допущения!$B$24+F22*Допущения!$B$25-G22*Допущения!$B$27)+Допущения!$B$26</f>
        <v>59</v>
      </c>
      <c r="Q22" s="9" t="n">
        <f aca="false">P22/4.33</f>
        <v>13.6258660508083</v>
      </c>
      <c r="R22" s="8" t="n">
        <f aca="false">SUM(H2:H13)</f>
        <v>8475000</v>
      </c>
    </row>
    <row r="23" customFormat="false" ht="15" hidden="false" customHeight="false" outlineLevel="0" collapsed="false">
      <c r="A23" s="0" t="n">
        <v>22</v>
      </c>
      <c r="B23" s="0" t="n">
        <f aca="false">INT((A23-1)/12)+1</f>
        <v>2</v>
      </c>
      <c r="C23" s="0" t="n">
        <f aca="false">IF(A23&lt;=3,1,IF(A23&lt;=6,2,IF(A23&lt;=12,3,IF(A23&lt;=24,4,5))))</f>
        <v>4</v>
      </c>
      <c r="D23" s="0" t="n">
        <f aca="false">INDEX(Объёмы!$B$13:$F$13,C23)</f>
        <v>3</v>
      </c>
      <c r="E23" s="0" t="n">
        <f aca="false">INDEX(Объёмы!$B$14:$F$14,C23)</f>
        <v>1.5</v>
      </c>
      <c r="F23" s="0" t="n">
        <f aca="false">INDEX(Объёмы!$B$15:$F$15,C23)</f>
        <v>6</v>
      </c>
      <c r="G23" s="0" t="n">
        <f aca="false">INDEX(Объёмы!$B$16:$F$16,C23)</f>
        <v>2</v>
      </c>
      <c r="H23" s="8" t="n">
        <f aca="false">(D23*Допущения!$B$2+E23*Допущения!$B$3+F23*Допущения!$B$4)*IF(B23=1,1,IF(B23=2,Допущения!$B$8,Допущения!$B$9))</f>
        <v>1914000</v>
      </c>
      <c r="I23" s="8" t="n">
        <f aca="false">(D23*Допущения!$B$2*Допущения!$B$5+E23*Допущения!$B$3*Допущения!$B$6+F23*Допущения!$B$4*Допущения!$B$7)*IF(B23=1,1,IF(B23=2,Допущения!$B$8,Допущения!$B$9))</f>
        <v>671550</v>
      </c>
      <c r="J23" s="8" t="n">
        <f aca="false">H23-I23</f>
        <v>1242450</v>
      </c>
      <c r="K23" s="8" t="n">
        <f aca="false">INDEX(Допущения!$B$10:$B$14, C23)+G23*Допущения!$B$15</f>
        <v>410000</v>
      </c>
      <c r="L23" s="8" t="n">
        <f aca="false">IF(R23&gt;Допущения!$B$20,H23*Допущения!$B$21,0)</f>
        <v>0</v>
      </c>
      <c r="M23" s="8" t="n">
        <f aca="false">(H23-L23)*Допущения!$B$16+MAX(0,H23-L23-Допущения!$B$18)*Допущения!$B$17+Допущения!$B$19</f>
        <v>138530</v>
      </c>
      <c r="N23" s="8" t="n">
        <f aca="false">J23-K23-L23-M23</f>
        <v>693920</v>
      </c>
      <c r="O23" s="8" t="n">
        <f aca="false">MAX(0,N23)*Допущения!$B$22</f>
        <v>485744</v>
      </c>
      <c r="P23" s="10" t="n">
        <f aca="false">MAX(0,D23*Допущения!$B$23+E23*Допущения!$B$24+F23*Допущения!$B$25-G23*Допущения!$B$27)+Допущения!$B$26</f>
        <v>59</v>
      </c>
      <c r="Q23" s="9" t="n">
        <f aca="false">P23/4.33</f>
        <v>13.6258660508083</v>
      </c>
      <c r="R23" s="8" t="n">
        <f aca="false">SUM(H2:H13)</f>
        <v>8475000</v>
      </c>
    </row>
    <row r="24" customFormat="false" ht="15" hidden="false" customHeight="false" outlineLevel="0" collapsed="false">
      <c r="A24" s="0" t="n">
        <v>23</v>
      </c>
      <c r="B24" s="0" t="n">
        <f aca="false">INT((A24-1)/12)+1</f>
        <v>2</v>
      </c>
      <c r="C24" s="0" t="n">
        <f aca="false">IF(A24&lt;=3,1,IF(A24&lt;=6,2,IF(A24&lt;=12,3,IF(A24&lt;=24,4,5))))</f>
        <v>4</v>
      </c>
      <c r="D24" s="0" t="n">
        <f aca="false">INDEX(Объёмы!$B$13:$F$13,C24)</f>
        <v>3</v>
      </c>
      <c r="E24" s="0" t="n">
        <f aca="false">INDEX(Объёмы!$B$14:$F$14,C24)</f>
        <v>1.5</v>
      </c>
      <c r="F24" s="0" t="n">
        <f aca="false">INDEX(Объёмы!$B$15:$F$15,C24)</f>
        <v>6</v>
      </c>
      <c r="G24" s="0" t="n">
        <f aca="false">INDEX(Объёмы!$B$16:$F$16,C24)</f>
        <v>2</v>
      </c>
      <c r="H24" s="8" t="n">
        <f aca="false">(D24*Допущения!$B$2+E24*Допущения!$B$3+F24*Допущения!$B$4)*IF(B24=1,1,IF(B24=2,Допущения!$B$8,Допущения!$B$9))</f>
        <v>1914000</v>
      </c>
      <c r="I24" s="8" t="n">
        <f aca="false">(D24*Допущения!$B$2*Допущения!$B$5+E24*Допущения!$B$3*Допущения!$B$6+F24*Допущения!$B$4*Допущения!$B$7)*IF(B24=1,1,IF(B24=2,Допущения!$B$8,Допущения!$B$9))</f>
        <v>671550</v>
      </c>
      <c r="J24" s="8" t="n">
        <f aca="false">H24-I24</f>
        <v>1242450</v>
      </c>
      <c r="K24" s="8" t="n">
        <f aca="false">INDEX(Допущения!$B$10:$B$14, C24)+G24*Допущения!$B$15</f>
        <v>410000</v>
      </c>
      <c r="L24" s="8" t="n">
        <f aca="false">IF(R24&gt;Допущения!$B$20,H24*Допущения!$B$21,0)</f>
        <v>0</v>
      </c>
      <c r="M24" s="8" t="n">
        <f aca="false">(H24-L24)*Допущения!$B$16+MAX(0,H24-L24-Допущения!$B$18)*Допущения!$B$17+Допущения!$B$19</f>
        <v>138530</v>
      </c>
      <c r="N24" s="8" t="n">
        <f aca="false">J24-K24-L24-M24</f>
        <v>693920</v>
      </c>
      <c r="O24" s="8" t="n">
        <f aca="false">MAX(0,N24)*Допущения!$B$22</f>
        <v>485744</v>
      </c>
      <c r="P24" s="10" t="n">
        <f aca="false">MAX(0,D24*Допущения!$B$23+E24*Допущения!$B$24+F24*Допущения!$B$25-G24*Допущения!$B$27)+Допущения!$B$26</f>
        <v>59</v>
      </c>
      <c r="Q24" s="9" t="n">
        <f aca="false">P24/4.33</f>
        <v>13.6258660508083</v>
      </c>
      <c r="R24" s="8" t="n">
        <f aca="false">SUM(H2:H13)</f>
        <v>8475000</v>
      </c>
    </row>
    <row r="25" customFormat="false" ht="15" hidden="false" customHeight="false" outlineLevel="0" collapsed="false">
      <c r="A25" s="0" t="n">
        <v>24</v>
      </c>
      <c r="B25" s="0" t="n">
        <f aca="false">INT((A25-1)/12)+1</f>
        <v>2</v>
      </c>
      <c r="C25" s="0" t="n">
        <f aca="false">IF(A25&lt;=3,1,IF(A25&lt;=6,2,IF(A25&lt;=12,3,IF(A25&lt;=24,4,5))))</f>
        <v>4</v>
      </c>
      <c r="D25" s="0" t="n">
        <f aca="false">INDEX(Объёмы!$B$13:$F$13,C25)</f>
        <v>3</v>
      </c>
      <c r="E25" s="0" t="n">
        <f aca="false">INDEX(Объёмы!$B$14:$F$14,C25)</f>
        <v>1.5</v>
      </c>
      <c r="F25" s="0" t="n">
        <f aca="false">INDEX(Объёмы!$B$15:$F$15,C25)</f>
        <v>6</v>
      </c>
      <c r="G25" s="0" t="n">
        <f aca="false">INDEX(Объёмы!$B$16:$F$16,C25)</f>
        <v>2</v>
      </c>
      <c r="H25" s="8" t="n">
        <f aca="false">(D25*Допущения!$B$2+E25*Допущения!$B$3+F25*Допущения!$B$4)*IF(B25=1,1,IF(B25=2,Допущения!$B$8,Допущения!$B$9))</f>
        <v>1914000</v>
      </c>
      <c r="I25" s="8" t="n">
        <f aca="false">(D25*Допущения!$B$2*Допущения!$B$5+E25*Допущения!$B$3*Допущения!$B$6+F25*Допущения!$B$4*Допущения!$B$7)*IF(B25=1,1,IF(B25=2,Допущения!$B$8,Допущения!$B$9))</f>
        <v>671550</v>
      </c>
      <c r="J25" s="8" t="n">
        <f aca="false">H25-I25</f>
        <v>1242450</v>
      </c>
      <c r="K25" s="8" t="n">
        <f aca="false">INDEX(Допущения!$B$10:$B$14, C25)+G25*Допущения!$B$15</f>
        <v>410000</v>
      </c>
      <c r="L25" s="8" t="n">
        <f aca="false">IF(R25&gt;Допущения!$B$20,H25*Допущения!$B$21,0)</f>
        <v>0</v>
      </c>
      <c r="M25" s="8" t="n">
        <f aca="false">(H25-L25)*Допущения!$B$16+MAX(0,H25-L25-Допущения!$B$18)*Допущения!$B$17+Допущения!$B$19</f>
        <v>138530</v>
      </c>
      <c r="N25" s="8" t="n">
        <f aca="false">J25-K25-L25-M25</f>
        <v>693920</v>
      </c>
      <c r="O25" s="8" t="n">
        <f aca="false">MAX(0,N25)*Допущения!$B$22</f>
        <v>485744</v>
      </c>
      <c r="P25" s="10" t="n">
        <f aca="false">MAX(0,D25*Допущения!$B$23+E25*Допущения!$B$24+F25*Допущения!$B$25-G25*Допущения!$B$27)+Допущения!$B$26</f>
        <v>59</v>
      </c>
      <c r="Q25" s="9" t="n">
        <f aca="false">P25/4.33</f>
        <v>13.6258660508083</v>
      </c>
      <c r="R25" s="8" t="n">
        <f aca="false">SUM(H2:H13)</f>
        <v>8475000</v>
      </c>
    </row>
    <row r="26" customFormat="false" ht="15" hidden="false" customHeight="false" outlineLevel="0" collapsed="false">
      <c r="A26" s="0" t="n">
        <v>25</v>
      </c>
      <c r="B26" s="0" t="n">
        <f aca="false">INT((A26-1)/12)+1</f>
        <v>3</v>
      </c>
      <c r="C26" s="0" t="n">
        <f aca="false">IF(A26&lt;=3,1,IF(A26&lt;=6,2,IF(A26&lt;=12,3,IF(A26&lt;=24,4,5))))</f>
        <v>5</v>
      </c>
      <c r="D26" s="0" t="n">
        <f aca="false">INDEX(Объёмы!$B$13:$F$13,C26)</f>
        <v>4</v>
      </c>
      <c r="E26" s="0" t="n">
        <f aca="false">INDEX(Объёмы!$B$14:$F$14,C26)</f>
        <v>2.5</v>
      </c>
      <c r="F26" s="0" t="n">
        <f aca="false">INDEX(Объёмы!$B$15:$F$15,C26)</f>
        <v>9</v>
      </c>
      <c r="G26" s="0" t="n">
        <f aca="false">INDEX(Объёмы!$B$16:$F$16,C26)</f>
        <v>3</v>
      </c>
      <c r="H26" s="8" t="n">
        <f aca="false">(D26*Допущения!$B$2+E26*Допущения!$B$3+F26*Допущения!$B$4)*IF(B26=1,1,IF(B26=2,Допущения!$B$8,Допущения!$B$9))</f>
        <v>3204000</v>
      </c>
      <c r="I26" s="8" t="n">
        <f aca="false">(D26*Допущения!$B$2*Допущения!$B$5+E26*Допущения!$B$3*Допущения!$B$6+F26*Допущения!$B$4*Допущения!$B$7)*IF(B26=1,1,IF(B26=2,Допущения!$B$8,Допущения!$B$9))</f>
        <v>1132200</v>
      </c>
      <c r="J26" s="8" t="n">
        <f aca="false">H26-I26</f>
        <v>2071800</v>
      </c>
      <c r="K26" s="8" t="n">
        <f aca="false">INDEX(Допущения!$B$10:$B$14, C26)+G26*Допущения!$B$15</f>
        <v>600000</v>
      </c>
      <c r="L26" s="8" t="n">
        <f aca="false">IF(R26&gt;Допущения!$B$20,H26*Допущения!$B$21,0)</f>
        <v>160200</v>
      </c>
      <c r="M26" s="8" t="n">
        <f aca="false">(H26-L26)*Допущения!$B$16+MAX(0,H26-L26-Допущения!$B$18)*Допущения!$B$17+Допущения!$B$19</f>
        <v>217616</v>
      </c>
      <c r="N26" s="8" t="n">
        <f aca="false">J26-K26-L26-M26</f>
        <v>1093984</v>
      </c>
      <c r="O26" s="8" t="n">
        <f aca="false">MAX(0,N26)*Допущения!$B$22</f>
        <v>765788.8</v>
      </c>
      <c r="P26" s="10" t="n">
        <f aca="false">MAX(0,D26*Допущения!$B$23+E26*Допущения!$B$24+F26*Допущения!$B$25-G26*Допущения!$B$27)+Допущения!$B$26</f>
        <v>83</v>
      </c>
      <c r="Q26" s="9" t="n">
        <f aca="false">P26/4.33</f>
        <v>19.1685912240185</v>
      </c>
      <c r="R26" s="8" t="n">
        <f aca="false">SUM(H14:H25)</f>
        <v>22968000</v>
      </c>
    </row>
    <row r="27" customFormat="false" ht="15" hidden="false" customHeight="false" outlineLevel="0" collapsed="false">
      <c r="A27" s="0" t="n">
        <v>26</v>
      </c>
      <c r="B27" s="0" t="n">
        <f aca="false">INT((A27-1)/12)+1</f>
        <v>3</v>
      </c>
      <c r="C27" s="0" t="n">
        <f aca="false">IF(A27&lt;=3,1,IF(A27&lt;=6,2,IF(A27&lt;=12,3,IF(A27&lt;=24,4,5))))</f>
        <v>5</v>
      </c>
      <c r="D27" s="0" t="n">
        <f aca="false">INDEX(Объёмы!$B$13:$F$13,C27)</f>
        <v>4</v>
      </c>
      <c r="E27" s="0" t="n">
        <f aca="false">INDEX(Объёмы!$B$14:$F$14,C27)</f>
        <v>2.5</v>
      </c>
      <c r="F27" s="0" t="n">
        <f aca="false">INDEX(Объёмы!$B$15:$F$15,C27)</f>
        <v>9</v>
      </c>
      <c r="G27" s="0" t="n">
        <f aca="false">INDEX(Объёмы!$B$16:$F$16,C27)</f>
        <v>3</v>
      </c>
      <c r="H27" s="8" t="n">
        <f aca="false">(D27*Допущения!$B$2+E27*Допущения!$B$3+F27*Допущения!$B$4)*IF(B27=1,1,IF(B27=2,Допущения!$B$8,Допущения!$B$9))</f>
        <v>3204000</v>
      </c>
      <c r="I27" s="8" t="n">
        <f aca="false">(D27*Допущения!$B$2*Допущения!$B$5+E27*Допущения!$B$3*Допущения!$B$6+F27*Допущения!$B$4*Допущения!$B$7)*IF(B27=1,1,IF(B27=2,Допущения!$B$8,Допущения!$B$9))</f>
        <v>1132200</v>
      </c>
      <c r="J27" s="8" t="n">
        <f aca="false">H27-I27</f>
        <v>2071800</v>
      </c>
      <c r="K27" s="8" t="n">
        <f aca="false">INDEX(Допущения!$B$10:$B$14, C27)+G27*Допущения!$B$15</f>
        <v>600000</v>
      </c>
      <c r="L27" s="8" t="n">
        <f aca="false">IF(R27&gt;Допущения!$B$20,H27*Допущения!$B$21,0)</f>
        <v>160200</v>
      </c>
      <c r="M27" s="8" t="n">
        <f aca="false">(H27-L27)*Допущения!$B$16+MAX(0,H27-L27-Допущения!$B$18)*Допущения!$B$17+Допущения!$B$19</f>
        <v>217616</v>
      </c>
      <c r="N27" s="8" t="n">
        <f aca="false">J27-K27-L27-M27</f>
        <v>1093984</v>
      </c>
      <c r="O27" s="8" t="n">
        <f aca="false">MAX(0,N27)*Допущения!$B$22</f>
        <v>765788.8</v>
      </c>
      <c r="P27" s="10" t="n">
        <f aca="false">MAX(0,D27*Допущения!$B$23+E27*Допущения!$B$24+F27*Допущения!$B$25-G27*Допущения!$B$27)+Допущения!$B$26</f>
        <v>83</v>
      </c>
      <c r="Q27" s="9" t="n">
        <f aca="false">P27/4.33</f>
        <v>19.1685912240185</v>
      </c>
      <c r="R27" s="8" t="n">
        <f aca="false">SUM(H14:H25)</f>
        <v>22968000</v>
      </c>
    </row>
    <row r="28" customFormat="false" ht="15" hidden="false" customHeight="false" outlineLevel="0" collapsed="false">
      <c r="A28" s="0" t="n">
        <v>27</v>
      </c>
      <c r="B28" s="0" t="n">
        <f aca="false">INT((A28-1)/12)+1</f>
        <v>3</v>
      </c>
      <c r="C28" s="0" t="n">
        <f aca="false">IF(A28&lt;=3,1,IF(A28&lt;=6,2,IF(A28&lt;=12,3,IF(A28&lt;=24,4,5))))</f>
        <v>5</v>
      </c>
      <c r="D28" s="0" t="n">
        <f aca="false">INDEX(Объёмы!$B$13:$F$13,C28)</f>
        <v>4</v>
      </c>
      <c r="E28" s="0" t="n">
        <f aca="false">INDEX(Объёмы!$B$14:$F$14,C28)</f>
        <v>2.5</v>
      </c>
      <c r="F28" s="0" t="n">
        <f aca="false">INDEX(Объёмы!$B$15:$F$15,C28)</f>
        <v>9</v>
      </c>
      <c r="G28" s="0" t="n">
        <f aca="false">INDEX(Объёмы!$B$16:$F$16,C28)</f>
        <v>3</v>
      </c>
      <c r="H28" s="8" t="n">
        <f aca="false">(D28*Допущения!$B$2+E28*Допущения!$B$3+F28*Допущения!$B$4)*IF(B28=1,1,IF(B28=2,Допущения!$B$8,Допущения!$B$9))</f>
        <v>3204000</v>
      </c>
      <c r="I28" s="8" t="n">
        <f aca="false">(D28*Допущения!$B$2*Допущения!$B$5+E28*Допущения!$B$3*Допущения!$B$6+F28*Допущения!$B$4*Допущения!$B$7)*IF(B28=1,1,IF(B28=2,Допущения!$B$8,Допущения!$B$9))</f>
        <v>1132200</v>
      </c>
      <c r="J28" s="8" t="n">
        <f aca="false">H28-I28</f>
        <v>2071800</v>
      </c>
      <c r="K28" s="8" t="n">
        <f aca="false">INDEX(Допущения!$B$10:$B$14, C28)+G28*Допущения!$B$15</f>
        <v>600000</v>
      </c>
      <c r="L28" s="8" t="n">
        <f aca="false">IF(R28&gt;Допущения!$B$20,H28*Допущения!$B$21,0)</f>
        <v>160200</v>
      </c>
      <c r="M28" s="8" t="n">
        <f aca="false">(H28-L28)*Допущения!$B$16+MAX(0,H28-L28-Допущения!$B$18)*Допущения!$B$17+Допущения!$B$19</f>
        <v>217616</v>
      </c>
      <c r="N28" s="8" t="n">
        <f aca="false">J28-K28-L28-M28</f>
        <v>1093984</v>
      </c>
      <c r="O28" s="8" t="n">
        <f aca="false">MAX(0,N28)*Допущения!$B$22</f>
        <v>765788.8</v>
      </c>
      <c r="P28" s="10" t="n">
        <f aca="false">MAX(0,D28*Допущения!$B$23+E28*Допущения!$B$24+F28*Допущения!$B$25-G28*Допущения!$B$27)+Допущения!$B$26</f>
        <v>83</v>
      </c>
      <c r="Q28" s="9" t="n">
        <f aca="false">P28/4.33</f>
        <v>19.1685912240185</v>
      </c>
      <c r="R28" s="8" t="n">
        <f aca="false">SUM(H14:H25)</f>
        <v>22968000</v>
      </c>
    </row>
    <row r="29" customFormat="false" ht="15" hidden="false" customHeight="false" outlineLevel="0" collapsed="false">
      <c r="A29" s="0" t="n">
        <v>28</v>
      </c>
      <c r="B29" s="0" t="n">
        <f aca="false">INT((A29-1)/12)+1</f>
        <v>3</v>
      </c>
      <c r="C29" s="0" t="n">
        <f aca="false">IF(A29&lt;=3,1,IF(A29&lt;=6,2,IF(A29&lt;=12,3,IF(A29&lt;=24,4,5))))</f>
        <v>5</v>
      </c>
      <c r="D29" s="0" t="n">
        <f aca="false">INDEX(Объёмы!$B$13:$F$13,C29)</f>
        <v>4</v>
      </c>
      <c r="E29" s="0" t="n">
        <f aca="false">INDEX(Объёмы!$B$14:$F$14,C29)</f>
        <v>2.5</v>
      </c>
      <c r="F29" s="0" t="n">
        <f aca="false">INDEX(Объёмы!$B$15:$F$15,C29)</f>
        <v>9</v>
      </c>
      <c r="G29" s="0" t="n">
        <f aca="false">INDEX(Объёмы!$B$16:$F$16,C29)</f>
        <v>3</v>
      </c>
      <c r="H29" s="8" t="n">
        <f aca="false">(D29*Допущения!$B$2+E29*Допущения!$B$3+F29*Допущения!$B$4)*IF(B29=1,1,IF(B29=2,Допущения!$B$8,Допущения!$B$9))</f>
        <v>3204000</v>
      </c>
      <c r="I29" s="8" t="n">
        <f aca="false">(D29*Допущения!$B$2*Допущения!$B$5+E29*Допущения!$B$3*Допущения!$B$6+F29*Допущения!$B$4*Допущения!$B$7)*IF(B29=1,1,IF(B29=2,Допущения!$B$8,Допущения!$B$9))</f>
        <v>1132200</v>
      </c>
      <c r="J29" s="8" t="n">
        <f aca="false">H29-I29</f>
        <v>2071800</v>
      </c>
      <c r="K29" s="8" t="n">
        <f aca="false">INDEX(Допущения!$B$10:$B$14, C29)+G29*Допущения!$B$15</f>
        <v>600000</v>
      </c>
      <c r="L29" s="8" t="n">
        <f aca="false">IF(R29&gt;Допущения!$B$20,H29*Допущения!$B$21,0)</f>
        <v>160200</v>
      </c>
      <c r="M29" s="8" t="n">
        <f aca="false">(H29-L29)*Допущения!$B$16+MAX(0,H29-L29-Допущения!$B$18)*Допущения!$B$17+Допущения!$B$19</f>
        <v>217616</v>
      </c>
      <c r="N29" s="8" t="n">
        <f aca="false">J29-K29-L29-M29</f>
        <v>1093984</v>
      </c>
      <c r="O29" s="8" t="n">
        <f aca="false">MAX(0,N29)*Допущения!$B$22</f>
        <v>765788.8</v>
      </c>
      <c r="P29" s="10" t="n">
        <f aca="false">MAX(0,D29*Допущения!$B$23+E29*Допущения!$B$24+F29*Допущения!$B$25-G29*Допущения!$B$27)+Допущения!$B$26</f>
        <v>83</v>
      </c>
      <c r="Q29" s="9" t="n">
        <f aca="false">P29/4.33</f>
        <v>19.1685912240185</v>
      </c>
      <c r="R29" s="8" t="n">
        <f aca="false">SUM(H14:H25)</f>
        <v>22968000</v>
      </c>
    </row>
    <row r="30" customFormat="false" ht="15" hidden="false" customHeight="false" outlineLevel="0" collapsed="false">
      <c r="A30" s="0" t="n">
        <v>29</v>
      </c>
      <c r="B30" s="0" t="n">
        <f aca="false">INT((A30-1)/12)+1</f>
        <v>3</v>
      </c>
      <c r="C30" s="0" t="n">
        <f aca="false">IF(A30&lt;=3,1,IF(A30&lt;=6,2,IF(A30&lt;=12,3,IF(A30&lt;=24,4,5))))</f>
        <v>5</v>
      </c>
      <c r="D30" s="0" t="n">
        <f aca="false">INDEX(Объёмы!$B$13:$F$13,C30)</f>
        <v>4</v>
      </c>
      <c r="E30" s="0" t="n">
        <f aca="false">INDEX(Объёмы!$B$14:$F$14,C30)</f>
        <v>2.5</v>
      </c>
      <c r="F30" s="0" t="n">
        <f aca="false">INDEX(Объёмы!$B$15:$F$15,C30)</f>
        <v>9</v>
      </c>
      <c r="G30" s="0" t="n">
        <f aca="false">INDEX(Объёмы!$B$16:$F$16,C30)</f>
        <v>3</v>
      </c>
      <c r="H30" s="8" t="n">
        <f aca="false">(D30*Допущения!$B$2+E30*Допущения!$B$3+F30*Допущения!$B$4)*IF(B30=1,1,IF(B30=2,Допущения!$B$8,Допущения!$B$9))</f>
        <v>3204000</v>
      </c>
      <c r="I30" s="8" t="n">
        <f aca="false">(D30*Допущения!$B$2*Допущения!$B$5+E30*Допущения!$B$3*Допущения!$B$6+F30*Допущения!$B$4*Допущения!$B$7)*IF(B30=1,1,IF(B30=2,Допущения!$B$8,Допущения!$B$9))</f>
        <v>1132200</v>
      </c>
      <c r="J30" s="8" t="n">
        <f aca="false">H30-I30</f>
        <v>2071800</v>
      </c>
      <c r="K30" s="8" t="n">
        <f aca="false">INDEX(Допущения!$B$10:$B$14, C30)+G30*Допущения!$B$15</f>
        <v>600000</v>
      </c>
      <c r="L30" s="8" t="n">
        <f aca="false">IF(R30&gt;Допущения!$B$20,H30*Допущения!$B$21,0)</f>
        <v>160200</v>
      </c>
      <c r="M30" s="8" t="n">
        <f aca="false">(H30-L30)*Допущения!$B$16+MAX(0,H30-L30-Допущения!$B$18)*Допущения!$B$17+Допущения!$B$19</f>
        <v>217616</v>
      </c>
      <c r="N30" s="8" t="n">
        <f aca="false">J30-K30-L30-M30</f>
        <v>1093984</v>
      </c>
      <c r="O30" s="8" t="n">
        <f aca="false">MAX(0,N30)*Допущения!$B$22</f>
        <v>765788.8</v>
      </c>
      <c r="P30" s="10" t="n">
        <f aca="false">MAX(0,D30*Допущения!$B$23+E30*Допущения!$B$24+F30*Допущения!$B$25-G30*Допущения!$B$27)+Допущения!$B$26</f>
        <v>83</v>
      </c>
      <c r="Q30" s="9" t="n">
        <f aca="false">P30/4.33</f>
        <v>19.1685912240185</v>
      </c>
      <c r="R30" s="8" t="n">
        <f aca="false">SUM(H14:H25)</f>
        <v>22968000</v>
      </c>
    </row>
    <row r="31" customFormat="false" ht="15" hidden="false" customHeight="false" outlineLevel="0" collapsed="false">
      <c r="A31" s="0" t="n">
        <v>30</v>
      </c>
      <c r="B31" s="0" t="n">
        <f aca="false">INT((A31-1)/12)+1</f>
        <v>3</v>
      </c>
      <c r="C31" s="0" t="n">
        <f aca="false">IF(A31&lt;=3,1,IF(A31&lt;=6,2,IF(A31&lt;=12,3,IF(A31&lt;=24,4,5))))</f>
        <v>5</v>
      </c>
      <c r="D31" s="0" t="n">
        <f aca="false">INDEX(Объёмы!$B$13:$F$13,C31)</f>
        <v>4</v>
      </c>
      <c r="E31" s="0" t="n">
        <f aca="false">INDEX(Объёмы!$B$14:$F$14,C31)</f>
        <v>2.5</v>
      </c>
      <c r="F31" s="0" t="n">
        <f aca="false">INDEX(Объёмы!$B$15:$F$15,C31)</f>
        <v>9</v>
      </c>
      <c r="G31" s="0" t="n">
        <f aca="false">INDEX(Объёмы!$B$16:$F$16,C31)</f>
        <v>3</v>
      </c>
      <c r="H31" s="8" t="n">
        <f aca="false">(D31*Допущения!$B$2+E31*Допущения!$B$3+F31*Допущения!$B$4)*IF(B31=1,1,IF(B31=2,Допущения!$B$8,Допущения!$B$9))</f>
        <v>3204000</v>
      </c>
      <c r="I31" s="8" t="n">
        <f aca="false">(D31*Допущения!$B$2*Допущения!$B$5+E31*Допущения!$B$3*Допущения!$B$6+F31*Допущения!$B$4*Допущения!$B$7)*IF(B31=1,1,IF(B31=2,Допущения!$B$8,Допущения!$B$9))</f>
        <v>1132200</v>
      </c>
      <c r="J31" s="8" t="n">
        <f aca="false">H31-I31</f>
        <v>2071800</v>
      </c>
      <c r="K31" s="8" t="n">
        <f aca="false">INDEX(Допущения!$B$10:$B$14, C31)+G31*Допущения!$B$15</f>
        <v>600000</v>
      </c>
      <c r="L31" s="8" t="n">
        <f aca="false">IF(R31&gt;Допущения!$B$20,H31*Допущения!$B$21,0)</f>
        <v>160200</v>
      </c>
      <c r="M31" s="8" t="n">
        <f aca="false">(H31-L31)*Допущения!$B$16+MAX(0,H31-L31-Допущения!$B$18)*Допущения!$B$17+Допущения!$B$19</f>
        <v>217616</v>
      </c>
      <c r="N31" s="8" t="n">
        <f aca="false">J31-K31-L31-M31</f>
        <v>1093984</v>
      </c>
      <c r="O31" s="8" t="n">
        <f aca="false">MAX(0,N31)*Допущения!$B$22</f>
        <v>765788.8</v>
      </c>
      <c r="P31" s="10" t="n">
        <f aca="false">MAX(0,D31*Допущения!$B$23+E31*Допущения!$B$24+F31*Допущения!$B$25-G31*Допущения!$B$27)+Допущения!$B$26</f>
        <v>83</v>
      </c>
      <c r="Q31" s="9" t="n">
        <f aca="false">P31/4.33</f>
        <v>19.1685912240185</v>
      </c>
      <c r="R31" s="8" t="n">
        <f aca="false">SUM(H14:H25)</f>
        <v>22968000</v>
      </c>
    </row>
    <row r="32" customFormat="false" ht="15" hidden="false" customHeight="false" outlineLevel="0" collapsed="false">
      <c r="A32" s="0" t="n">
        <v>31</v>
      </c>
      <c r="B32" s="0" t="n">
        <f aca="false">INT((A32-1)/12)+1</f>
        <v>3</v>
      </c>
      <c r="C32" s="0" t="n">
        <f aca="false">IF(A32&lt;=3,1,IF(A32&lt;=6,2,IF(A32&lt;=12,3,IF(A32&lt;=24,4,5))))</f>
        <v>5</v>
      </c>
      <c r="D32" s="0" t="n">
        <f aca="false">INDEX(Объёмы!$B$13:$F$13,C32)</f>
        <v>4</v>
      </c>
      <c r="E32" s="0" t="n">
        <f aca="false">INDEX(Объёмы!$B$14:$F$14,C32)</f>
        <v>2.5</v>
      </c>
      <c r="F32" s="0" t="n">
        <f aca="false">INDEX(Объёмы!$B$15:$F$15,C32)</f>
        <v>9</v>
      </c>
      <c r="G32" s="0" t="n">
        <f aca="false">INDEX(Объёмы!$B$16:$F$16,C32)</f>
        <v>3</v>
      </c>
      <c r="H32" s="8" t="n">
        <f aca="false">(D32*Допущения!$B$2+E32*Допущения!$B$3+F32*Допущения!$B$4)*IF(B32=1,1,IF(B32=2,Допущения!$B$8,Допущения!$B$9))</f>
        <v>3204000</v>
      </c>
      <c r="I32" s="8" t="n">
        <f aca="false">(D32*Допущения!$B$2*Допущения!$B$5+E32*Допущения!$B$3*Допущения!$B$6+F32*Допущения!$B$4*Допущения!$B$7)*IF(B32=1,1,IF(B32=2,Допущения!$B$8,Допущения!$B$9))</f>
        <v>1132200</v>
      </c>
      <c r="J32" s="8" t="n">
        <f aca="false">H32-I32</f>
        <v>2071800</v>
      </c>
      <c r="K32" s="8" t="n">
        <f aca="false">INDEX(Допущения!$B$10:$B$14, C32)+G32*Допущения!$B$15</f>
        <v>600000</v>
      </c>
      <c r="L32" s="8" t="n">
        <f aca="false">IF(R32&gt;Допущения!$B$20,H32*Допущения!$B$21,0)</f>
        <v>160200</v>
      </c>
      <c r="M32" s="8" t="n">
        <f aca="false">(H32-L32)*Допущения!$B$16+MAX(0,H32-L32-Допущения!$B$18)*Допущения!$B$17+Допущения!$B$19</f>
        <v>217616</v>
      </c>
      <c r="N32" s="8" t="n">
        <f aca="false">J32-K32-L32-M32</f>
        <v>1093984</v>
      </c>
      <c r="O32" s="8" t="n">
        <f aca="false">MAX(0,N32)*Допущения!$B$22</f>
        <v>765788.8</v>
      </c>
      <c r="P32" s="10" t="n">
        <f aca="false">MAX(0,D32*Допущения!$B$23+E32*Допущения!$B$24+F32*Допущения!$B$25-G32*Допущения!$B$27)+Допущения!$B$26</f>
        <v>83</v>
      </c>
      <c r="Q32" s="9" t="n">
        <f aca="false">P32/4.33</f>
        <v>19.1685912240185</v>
      </c>
      <c r="R32" s="8" t="n">
        <f aca="false">SUM(H14:H25)</f>
        <v>22968000</v>
      </c>
    </row>
    <row r="33" customFormat="false" ht="15" hidden="false" customHeight="false" outlineLevel="0" collapsed="false">
      <c r="A33" s="0" t="n">
        <v>32</v>
      </c>
      <c r="B33" s="0" t="n">
        <f aca="false">INT((A33-1)/12)+1</f>
        <v>3</v>
      </c>
      <c r="C33" s="0" t="n">
        <f aca="false">IF(A33&lt;=3,1,IF(A33&lt;=6,2,IF(A33&lt;=12,3,IF(A33&lt;=24,4,5))))</f>
        <v>5</v>
      </c>
      <c r="D33" s="0" t="n">
        <f aca="false">INDEX(Объёмы!$B$13:$F$13,C33)</f>
        <v>4</v>
      </c>
      <c r="E33" s="0" t="n">
        <f aca="false">INDEX(Объёмы!$B$14:$F$14,C33)</f>
        <v>2.5</v>
      </c>
      <c r="F33" s="0" t="n">
        <f aca="false">INDEX(Объёмы!$B$15:$F$15,C33)</f>
        <v>9</v>
      </c>
      <c r="G33" s="0" t="n">
        <f aca="false">INDEX(Объёмы!$B$16:$F$16,C33)</f>
        <v>3</v>
      </c>
      <c r="H33" s="8" t="n">
        <f aca="false">(D33*Допущения!$B$2+E33*Допущения!$B$3+F33*Допущения!$B$4)*IF(B33=1,1,IF(B33=2,Допущения!$B$8,Допущения!$B$9))</f>
        <v>3204000</v>
      </c>
      <c r="I33" s="8" t="n">
        <f aca="false">(D33*Допущения!$B$2*Допущения!$B$5+E33*Допущения!$B$3*Допущения!$B$6+F33*Допущения!$B$4*Допущения!$B$7)*IF(B33=1,1,IF(B33=2,Допущения!$B$8,Допущения!$B$9))</f>
        <v>1132200</v>
      </c>
      <c r="J33" s="8" t="n">
        <f aca="false">H33-I33</f>
        <v>2071800</v>
      </c>
      <c r="K33" s="8" t="n">
        <f aca="false">INDEX(Допущения!$B$10:$B$14, C33)+G33*Допущения!$B$15</f>
        <v>600000</v>
      </c>
      <c r="L33" s="8" t="n">
        <f aca="false">IF(R33&gt;Допущения!$B$20,H33*Допущения!$B$21,0)</f>
        <v>160200</v>
      </c>
      <c r="M33" s="8" t="n">
        <f aca="false">(H33-L33)*Допущения!$B$16+MAX(0,H33-L33-Допущения!$B$18)*Допущения!$B$17+Допущения!$B$19</f>
        <v>217616</v>
      </c>
      <c r="N33" s="8" t="n">
        <f aca="false">J33-K33-L33-M33</f>
        <v>1093984</v>
      </c>
      <c r="O33" s="8" t="n">
        <f aca="false">MAX(0,N33)*Допущения!$B$22</f>
        <v>765788.8</v>
      </c>
      <c r="P33" s="10" t="n">
        <f aca="false">MAX(0,D33*Допущения!$B$23+E33*Допущения!$B$24+F33*Допущения!$B$25-G33*Допущения!$B$27)+Допущения!$B$26</f>
        <v>83</v>
      </c>
      <c r="Q33" s="9" t="n">
        <f aca="false">P33/4.33</f>
        <v>19.1685912240185</v>
      </c>
      <c r="R33" s="8" t="n">
        <f aca="false">SUM(H14:H25)</f>
        <v>22968000</v>
      </c>
    </row>
    <row r="34" customFormat="false" ht="15" hidden="false" customHeight="false" outlineLevel="0" collapsed="false">
      <c r="A34" s="0" t="n">
        <v>33</v>
      </c>
      <c r="B34" s="0" t="n">
        <f aca="false">INT((A34-1)/12)+1</f>
        <v>3</v>
      </c>
      <c r="C34" s="0" t="n">
        <f aca="false">IF(A34&lt;=3,1,IF(A34&lt;=6,2,IF(A34&lt;=12,3,IF(A34&lt;=24,4,5))))</f>
        <v>5</v>
      </c>
      <c r="D34" s="0" t="n">
        <f aca="false">INDEX(Объёмы!$B$13:$F$13,C34)</f>
        <v>4</v>
      </c>
      <c r="E34" s="0" t="n">
        <f aca="false">INDEX(Объёмы!$B$14:$F$14,C34)</f>
        <v>2.5</v>
      </c>
      <c r="F34" s="0" t="n">
        <f aca="false">INDEX(Объёмы!$B$15:$F$15,C34)</f>
        <v>9</v>
      </c>
      <c r="G34" s="0" t="n">
        <f aca="false">INDEX(Объёмы!$B$16:$F$16,C34)</f>
        <v>3</v>
      </c>
      <c r="H34" s="8" t="n">
        <f aca="false">(D34*Допущения!$B$2+E34*Допущения!$B$3+F34*Допущения!$B$4)*IF(B34=1,1,IF(B34=2,Допущения!$B$8,Допущения!$B$9))</f>
        <v>3204000</v>
      </c>
      <c r="I34" s="8" t="n">
        <f aca="false">(D34*Допущения!$B$2*Допущения!$B$5+E34*Допущения!$B$3*Допущения!$B$6+F34*Допущения!$B$4*Допущения!$B$7)*IF(B34=1,1,IF(B34=2,Допущения!$B$8,Допущения!$B$9))</f>
        <v>1132200</v>
      </c>
      <c r="J34" s="8" t="n">
        <f aca="false">H34-I34</f>
        <v>2071800</v>
      </c>
      <c r="K34" s="8" t="n">
        <f aca="false">INDEX(Допущения!$B$10:$B$14, C34)+G34*Допущения!$B$15</f>
        <v>600000</v>
      </c>
      <c r="L34" s="8" t="n">
        <f aca="false">IF(R34&gt;Допущения!$B$20,H34*Допущения!$B$21,0)</f>
        <v>160200</v>
      </c>
      <c r="M34" s="8" t="n">
        <f aca="false">(H34-L34)*Допущения!$B$16+MAX(0,H34-L34-Допущения!$B$18)*Допущения!$B$17+Допущения!$B$19</f>
        <v>217616</v>
      </c>
      <c r="N34" s="8" t="n">
        <f aca="false">J34-K34-L34-M34</f>
        <v>1093984</v>
      </c>
      <c r="O34" s="8" t="n">
        <f aca="false">MAX(0,N34)*Допущения!$B$22</f>
        <v>765788.8</v>
      </c>
      <c r="P34" s="10" t="n">
        <f aca="false">MAX(0,D34*Допущения!$B$23+E34*Допущения!$B$24+F34*Допущения!$B$25-G34*Допущения!$B$27)+Допущения!$B$26</f>
        <v>83</v>
      </c>
      <c r="Q34" s="9" t="n">
        <f aca="false">P34/4.33</f>
        <v>19.1685912240185</v>
      </c>
      <c r="R34" s="8" t="n">
        <f aca="false">SUM(H14:H25)</f>
        <v>22968000</v>
      </c>
    </row>
    <row r="35" customFormat="false" ht="15" hidden="false" customHeight="false" outlineLevel="0" collapsed="false">
      <c r="A35" s="0" t="n">
        <v>34</v>
      </c>
      <c r="B35" s="0" t="n">
        <f aca="false">INT((A35-1)/12)+1</f>
        <v>3</v>
      </c>
      <c r="C35" s="0" t="n">
        <f aca="false">IF(A35&lt;=3,1,IF(A35&lt;=6,2,IF(A35&lt;=12,3,IF(A35&lt;=24,4,5))))</f>
        <v>5</v>
      </c>
      <c r="D35" s="0" t="n">
        <f aca="false">INDEX(Объёмы!$B$13:$F$13,C35)</f>
        <v>4</v>
      </c>
      <c r="E35" s="0" t="n">
        <f aca="false">INDEX(Объёмы!$B$14:$F$14,C35)</f>
        <v>2.5</v>
      </c>
      <c r="F35" s="0" t="n">
        <f aca="false">INDEX(Объёмы!$B$15:$F$15,C35)</f>
        <v>9</v>
      </c>
      <c r="G35" s="0" t="n">
        <f aca="false">INDEX(Объёмы!$B$16:$F$16,C35)</f>
        <v>3</v>
      </c>
      <c r="H35" s="8" t="n">
        <f aca="false">(D35*Допущения!$B$2+E35*Допущения!$B$3+F35*Допущения!$B$4)*IF(B35=1,1,IF(B35=2,Допущения!$B$8,Допущения!$B$9))</f>
        <v>3204000</v>
      </c>
      <c r="I35" s="8" t="n">
        <f aca="false">(D35*Допущения!$B$2*Допущения!$B$5+E35*Допущения!$B$3*Допущения!$B$6+F35*Допущения!$B$4*Допущения!$B$7)*IF(B35=1,1,IF(B35=2,Допущения!$B$8,Допущения!$B$9))</f>
        <v>1132200</v>
      </c>
      <c r="J35" s="8" t="n">
        <f aca="false">H35-I35</f>
        <v>2071800</v>
      </c>
      <c r="K35" s="8" t="n">
        <f aca="false">INDEX(Допущения!$B$10:$B$14, C35)+G35*Допущения!$B$15</f>
        <v>600000</v>
      </c>
      <c r="L35" s="8" t="n">
        <f aca="false">IF(R35&gt;Допущения!$B$20,H35*Допущения!$B$21,0)</f>
        <v>160200</v>
      </c>
      <c r="M35" s="8" t="n">
        <f aca="false">(H35-L35)*Допущения!$B$16+MAX(0,H35-L35-Допущения!$B$18)*Допущения!$B$17+Допущения!$B$19</f>
        <v>217616</v>
      </c>
      <c r="N35" s="8" t="n">
        <f aca="false">J35-K35-L35-M35</f>
        <v>1093984</v>
      </c>
      <c r="O35" s="8" t="n">
        <f aca="false">MAX(0,N35)*Допущения!$B$22</f>
        <v>765788.8</v>
      </c>
      <c r="P35" s="10" t="n">
        <f aca="false">MAX(0,D35*Допущения!$B$23+E35*Допущения!$B$24+F35*Допущения!$B$25-G35*Допущения!$B$27)+Допущения!$B$26</f>
        <v>83</v>
      </c>
      <c r="Q35" s="9" t="n">
        <f aca="false">P35/4.33</f>
        <v>19.1685912240185</v>
      </c>
      <c r="R35" s="8" t="n">
        <f aca="false">SUM(H14:H25)</f>
        <v>22968000</v>
      </c>
    </row>
    <row r="36" customFormat="false" ht="15" hidden="false" customHeight="false" outlineLevel="0" collapsed="false">
      <c r="A36" s="0" t="n">
        <v>35</v>
      </c>
      <c r="B36" s="0" t="n">
        <f aca="false">INT((A36-1)/12)+1</f>
        <v>3</v>
      </c>
      <c r="C36" s="0" t="n">
        <f aca="false">IF(A36&lt;=3,1,IF(A36&lt;=6,2,IF(A36&lt;=12,3,IF(A36&lt;=24,4,5))))</f>
        <v>5</v>
      </c>
      <c r="D36" s="0" t="n">
        <f aca="false">INDEX(Объёмы!$B$13:$F$13,C36)</f>
        <v>4</v>
      </c>
      <c r="E36" s="0" t="n">
        <f aca="false">INDEX(Объёмы!$B$14:$F$14,C36)</f>
        <v>2.5</v>
      </c>
      <c r="F36" s="0" t="n">
        <f aca="false">INDEX(Объёмы!$B$15:$F$15,C36)</f>
        <v>9</v>
      </c>
      <c r="G36" s="0" t="n">
        <f aca="false">INDEX(Объёмы!$B$16:$F$16,C36)</f>
        <v>3</v>
      </c>
      <c r="H36" s="8" t="n">
        <f aca="false">(D36*Допущения!$B$2+E36*Допущения!$B$3+F36*Допущения!$B$4)*IF(B36=1,1,IF(B36=2,Допущения!$B$8,Допущения!$B$9))</f>
        <v>3204000</v>
      </c>
      <c r="I36" s="8" t="n">
        <f aca="false">(D36*Допущения!$B$2*Допущения!$B$5+E36*Допущения!$B$3*Допущения!$B$6+F36*Допущения!$B$4*Допущения!$B$7)*IF(B36=1,1,IF(B36=2,Допущения!$B$8,Допущения!$B$9))</f>
        <v>1132200</v>
      </c>
      <c r="J36" s="8" t="n">
        <f aca="false">H36-I36</f>
        <v>2071800</v>
      </c>
      <c r="K36" s="8" t="n">
        <f aca="false">INDEX(Допущения!$B$10:$B$14, C36)+G36*Допущения!$B$15</f>
        <v>600000</v>
      </c>
      <c r="L36" s="8" t="n">
        <f aca="false">IF(R36&gt;Допущения!$B$20,H36*Допущения!$B$21,0)</f>
        <v>160200</v>
      </c>
      <c r="M36" s="8" t="n">
        <f aca="false">(H36-L36)*Допущения!$B$16+MAX(0,H36-L36-Допущения!$B$18)*Допущения!$B$17+Допущения!$B$19</f>
        <v>217616</v>
      </c>
      <c r="N36" s="8" t="n">
        <f aca="false">J36-K36-L36-M36</f>
        <v>1093984</v>
      </c>
      <c r="O36" s="8" t="n">
        <f aca="false">MAX(0,N36)*Допущения!$B$22</f>
        <v>765788.8</v>
      </c>
      <c r="P36" s="10" t="n">
        <f aca="false">MAX(0,D36*Допущения!$B$23+E36*Допущения!$B$24+F36*Допущения!$B$25-G36*Допущения!$B$27)+Допущения!$B$26</f>
        <v>83</v>
      </c>
      <c r="Q36" s="9" t="n">
        <f aca="false">P36/4.33</f>
        <v>19.1685912240185</v>
      </c>
      <c r="R36" s="8" t="n">
        <f aca="false">SUM(H14:H25)</f>
        <v>22968000</v>
      </c>
    </row>
    <row r="37" customFormat="false" ht="15" hidden="false" customHeight="false" outlineLevel="0" collapsed="false">
      <c r="A37" s="0" t="n">
        <v>36</v>
      </c>
      <c r="B37" s="0" t="n">
        <f aca="false">INT((A37-1)/12)+1</f>
        <v>3</v>
      </c>
      <c r="C37" s="0" t="n">
        <f aca="false">IF(A37&lt;=3,1,IF(A37&lt;=6,2,IF(A37&lt;=12,3,IF(A37&lt;=24,4,5))))</f>
        <v>5</v>
      </c>
      <c r="D37" s="0" t="n">
        <f aca="false">INDEX(Объёмы!$B$13:$F$13,C37)</f>
        <v>4</v>
      </c>
      <c r="E37" s="0" t="n">
        <f aca="false">INDEX(Объёмы!$B$14:$F$14,C37)</f>
        <v>2.5</v>
      </c>
      <c r="F37" s="0" t="n">
        <f aca="false">INDEX(Объёмы!$B$15:$F$15,C37)</f>
        <v>9</v>
      </c>
      <c r="G37" s="0" t="n">
        <f aca="false">INDEX(Объёмы!$B$16:$F$16,C37)</f>
        <v>3</v>
      </c>
      <c r="H37" s="8" t="n">
        <f aca="false">(D37*Допущения!$B$2+E37*Допущения!$B$3+F37*Допущения!$B$4)*IF(B37=1,1,IF(B37=2,Допущения!$B$8,Допущения!$B$9))</f>
        <v>3204000</v>
      </c>
      <c r="I37" s="8" t="n">
        <f aca="false">(D37*Допущения!$B$2*Допущения!$B$5+E37*Допущения!$B$3*Допущения!$B$6+F37*Допущения!$B$4*Допущения!$B$7)*IF(B37=1,1,IF(B37=2,Допущения!$B$8,Допущения!$B$9))</f>
        <v>1132200</v>
      </c>
      <c r="J37" s="8" t="n">
        <f aca="false">H37-I37</f>
        <v>2071800</v>
      </c>
      <c r="K37" s="8" t="n">
        <f aca="false">INDEX(Допущения!$B$10:$B$14, C37)+G37*Допущения!$B$15</f>
        <v>600000</v>
      </c>
      <c r="L37" s="8" t="n">
        <f aca="false">IF(R37&gt;Допущения!$B$20,H37*Допущения!$B$21,0)</f>
        <v>160200</v>
      </c>
      <c r="M37" s="8" t="n">
        <f aca="false">(H37-L37)*Допущения!$B$16+MAX(0,H37-L37-Допущения!$B$18)*Допущения!$B$17+Допущения!$B$19</f>
        <v>217616</v>
      </c>
      <c r="N37" s="8" t="n">
        <f aca="false">J37-K37-L37-M37</f>
        <v>1093984</v>
      </c>
      <c r="O37" s="8" t="n">
        <f aca="false">MAX(0,N37)*Допущения!$B$22</f>
        <v>765788.8</v>
      </c>
      <c r="P37" s="10" t="n">
        <f aca="false">MAX(0,D37*Допущения!$B$23+E37*Допущения!$B$24+F37*Допущения!$B$25-G37*Допущения!$B$27)+Допущения!$B$26</f>
        <v>83</v>
      </c>
      <c r="Q37" s="9" t="n">
        <f aca="false">P37/4.33</f>
        <v>19.1685912240185</v>
      </c>
      <c r="R37" s="8" t="n">
        <f aca="false">SUM(H14:H25)</f>
        <v>22968000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2026-10-20T05:46:06Z</dcterms:created>
  <dc:creator>openpyxl</dc:creator>
  <dc:description/>
  <dc:language>en-US</dc:language>
  <cp:lastModifiedBy/>
  <dcterms:modified xsi:type="dcterms:W3CDTF">2026-10-20T05:46:06Z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